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S:\Sheets\"/>
    </mc:Choice>
  </mc:AlternateContent>
  <bookViews>
    <workbookView xWindow="0" yWindow="0" windowWidth="21555" windowHeight="9465"/>
  </bookViews>
  <sheets>
    <sheet name="Introduction" sheetId="4" r:id="rId1"/>
    <sheet name="Market Data" sheetId="1" r:id="rId2"/>
    <sheet name="Statistics" sheetId="2" r:id="rId3"/>
    <sheet name="Efficient Frontier" sheetId="3" r:id="rId4"/>
  </sheets>
  <definedNames>
    <definedName name="ALL_RETURN_SERIES">Statistics!$F$19:$F$47</definedName>
    <definedName name="COVARIANCE_MATRIX_CALCULATOR">'Efficient Frontier'!$C$71</definedName>
    <definedName name="DataFields">'Market Data'!$L$18:$L$29</definedName>
    <definedName name="LABEL_ROUNDING">'Efficient Frontier'!$K$10</definedName>
    <definedName name="MAX_PORTFOLIO_EXPECTED_RETURN">'Efficient Frontier'!$C$682</definedName>
    <definedName name="MAX_PORTFOLIO_EXPECTED_RETURNS">'Efficient Frontier'!$C$687:$C$715</definedName>
    <definedName name="MAX_PORTFOLIO_STANDARD_DEVIATION">'Efficient Frontier'!$C$683</definedName>
    <definedName name="MAX_PORTFOLIO_TARGET_RETURN">'Efficient Frontier'!$K$31</definedName>
    <definedName name="MAX_PORTFOLIO_TICKERS">'Efficient Frontier'!$B$687:$B$715</definedName>
    <definedName name="MAX_PORTFOLIO_WEIGHTS">'Efficient Frontier'!$E$687:$E$715</definedName>
    <definedName name="MAX_PORTFOLIO_WEIGHTS_TOTAL">'Efficient Frontier'!$E$716</definedName>
    <definedName name="MEAN_RETURNS">Statistics!$G$19:$G$47</definedName>
    <definedName name="MIN_PORTFOLIO_EXPECTED_RETURN">'Efficient Frontier'!$C$112</definedName>
    <definedName name="MIN_PORTFOLIO_EXPECTED_RETURNS">'Efficient Frontier'!$C$117:$C$145</definedName>
    <definedName name="MIN_PORTFOLIO_STANDARD_DEVIATION">'Efficient Frontier'!$C$113</definedName>
    <definedName name="MIN_PORTFOLIO_TARGET_RETURN">'Efficient Frontier'!$K$16</definedName>
    <definedName name="MIN_PORTFOLIO_TICKERS">'Efficient Frontier'!$B$117:$B$145</definedName>
    <definedName name="MIN_PORTFOLIO_WEIGHTS">'Efficient Frontier'!$E$117:$E$145</definedName>
    <definedName name="MIN_PORTFOLIO_WEIGHTS_TOTAL">'Efficient Frontier'!$E$146</definedName>
    <definedName name="RISK_FREE_RATE">'Efficient Frontier'!$C$33</definedName>
    <definedName name="SELECTED">'Market Data'!$F$52</definedName>
    <definedName name="solver_adj" localSheetId="3" hidden="1">'Efficient Frontier'!$E$725:$E$753</definedName>
    <definedName name="SOLVER_CONSTRAINT">'Efficient Frontier'!$K$9</definedName>
    <definedName name="solver_cvg" localSheetId="3" hidden="1">0.0001</definedName>
    <definedName name="solver_drv" localSheetId="3" hidden="1">2</definedName>
    <definedName name="solver_eng" localSheetId="3" hidden="1">1</definedName>
    <definedName name="solver_est" localSheetId="3" hidden="1">1</definedName>
    <definedName name="solver_itr" localSheetId="3" hidden="1">2147483647</definedName>
    <definedName name="solver_lhs1" localSheetId="3" hidden="1">'Efficient Frontier'!$E$754</definedName>
    <definedName name="solver_lhs2" localSheetId="3" hidden="1">'Efficient Frontier'!$C$644</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'Efficient Frontier'!$C$719</definedName>
    <definedName name="solver_pre" localSheetId="3" hidden="1">0.000001</definedName>
    <definedName name="solver_rbv" localSheetId="3" hidden="1">2</definedName>
    <definedName name="solver_rel1" localSheetId="3" hidden="1">2</definedName>
    <definedName name="solver_rel2" localSheetId="3" hidden="1">2</definedName>
    <definedName name="solver_rhs1" localSheetId="3" hidden="1">100%</definedName>
    <definedName name="solver_rhs2" localSheetId="3" hidden="1">'Efficient Frontier'!$K$30</definedName>
    <definedName name="solver_rlx" localSheetId="3" hidden="1">2</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1</definedName>
    <definedName name="solver_val" localSheetId="3" hidden="1">0.0210908617513556</definedName>
    <definedName name="solver_ver" localSheetId="3" hidden="1">3</definedName>
    <definedName name="TANGENCY_EXPECTED_RETURN" comment="The expected return of the tangency portfolio">'Efficient Frontier'!$C$720</definedName>
    <definedName name="TANGENCY_EXPECTED_RETURNS">'Efficient Frontier'!$C$725:$C$753</definedName>
    <definedName name="TANGENCY_SHARPE_RATIO" comment="The sharp ratio for the tangency portfolio that we use solver to maximize">'Efficient Frontier'!$C$719</definedName>
    <definedName name="TANGENCY_STANDARD_DEVIATION" comment="The standard deviation of the tangency portfolio">'Efficient Frontier'!$C$721</definedName>
    <definedName name="TANGENCY_WEIGHTS" comment="These are the weights for the tangency portfolio">'Efficient Frontier'!$E$725:$E$753</definedName>
    <definedName name="TANGENCY_WEIGHTS_TOTAL" comment="The total of all the weights of the tangency portfolio">'Efficient Frontier'!$E$754</definedName>
    <definedName name="TARGET_RETURN_DELTA">'Efficient Frontier'!$K$13</definedName>
    <definedName name="TEST_PORTFOLIO_EXPECTED_RETURN" comment="The expected return of the test portfolio">'Efficient Frontier'!$C$74</definedName>
    <definedName name="TEST_PORTFOLIO_EXPECTED_RETURNS" comment="The expected returns of the test portfolio">'Efficient Frontier'!$C$79:$C$107</definedName>
    <definedName name="TEST_PORTFOLIO_STANDARD_DEVIATION">'Efficient Frontier'!$C$75</definedName>
    <definedName name="TEST_PORTFOLIO_TICKERS" comment="Tickers of the test portfolio">'Efficient Frontier'!$B$79:$B$107</definedName>
    <definedName name="TEST_PORTFOLIO_WEIGHTS">'Efficient Frontier'!$E$79:$E$107</definedName>
    <definedName name="TR1_PORTFOLIO_EXPECTED_RETURN">'Efficient Frontier'!$C$150</definedName>
    <definedName name="TR1_PORTFOLIO_EXPECTED_RETURNS">'Efficient Frontier'!$C$155:$C$183</definedName>
    <definedName name="TR1_PORTFOLIO_STANDARD_DEVIATION">'Efficient Frontier'!$C$151</definedName>
    <definedName name="TR1_PORTFOLIO_TARGET_RETURN">'Efficient Frontier'!$K$17</definedName>
    <definedName name="TR1_PORTFOLIO_TICKERS">'Efficient Frontier'!$B$155:$B$183</definedName>
    <definedName name="TR1_PORTFOLIO_WEIGHTS">'Efficient Frontier'!$E$155:$E$183</definedName>
    <definedName name="TR1_PORTFOLIO_WEIGHTS_TOTAL">'Efficient Frontier'!$E$184</definedName>
    <definedName name="TR10_PORTFOLIO_EXPECTED_RETURN">'Efficient Frontier'!$C$492</definedName>
    <definedName name="TR10_PORTFOLIO_EXPECTED_RETURNS">'Efficient Frontier'!$C$497:$C$525</definedName>
    <definedName name="TR10_PORTFOLIO_STANDARD_DEVIATION">'Efficient Frontier'!$C$493</definedName>
    <definedName name="TR10_PORTFOLIO_TARGET_RETURN">'Efficient Frontier'!$K$26</definedName>
    <definedName name="TR10_PORTFOLIO_TICKERS">'Efficient Frontier'!$B$497:$B$525</definedName>
    <definedName name="TR10_PORTFOLIO_WEIGHTS">'Efficient Frontier'!$E$497:$E$525</definedName>
    <definedName name="TR10_PORTFOLIO_WEIGHTS_TOTAL">'Efficient Frontier'!$E$526</definedName>
    <definedName name="TR11_PORTFOLIO_EXPECTED_RETURN">'Efficient Frontier'!$C$530</definedName>
    <definedName name="TR11_PORTFOLIO_EXPECTED_RETURNS">'Efficient Frontier'!$C$535:$C$563</definedName>
    <definedName name="TR11_PORTFOLIO_STANDARD_DEVIATION">'Efficient Frontier'!$C$531</definedName>
    <definedName name="TR11_PORTFOLIO_TARGET_RETURN">'Efficient Frontier'!$K$27</definedName>
    <definedName name="TR11_PORTFOLIO_TICKERS">'Efficient Frontier'!$B$535:$B$563</definedName>
    <definedName name="TR11_PORTFOLIO_WEIGHTS">'Efficient Frontier'!$E$535:$E$563</definedName>
    <definedName name="TR11_PORTFOLIO_WEIGHTS_TOTAL">'Efficient Frontier'!$E$564</definedName>
    <definedName name="TR12_PORTFOLIO_EXPECTED_RETURN">'Efficient Frontier'!$C$568</definedName>
    <definedName name="TR12_PORTFOLIO_EXPECTED_RETURNS">'Efficient Frontier'!$C$573:$C$601</definedName>
    <definedName name="TR12_PORTFOLIO_STANDARD_DEVIATION">'Efficient Frontier'!$C$569</definedName>
    <definedName name="TR12_PORTFOLIO_TARGET_RETURN">'Efficient Frontier'!$K$28</definedName>
    <definedName name="TR12_PORTFOLIO_TICKERS">'Efficient Frontier'!$B$573:$B$601</definedName>
    <definedName name="TR12_PORTFOLIO_WEIGHTS">'Efficient Frontier'!$E$573:$E$601</definedName>
    <definedName name="TR12_PORTFOLIO_WEIGHTS_TOTAL">'Efficient Frontier'!$E$602</definedName>
    <definedName name="TR13_PORTFOLIO_EXPECTED_RETURN">'Efficient Frontier'!$C$606</definedName>
    <definedName name="TR13_PORTFOLIO_EXPECTED_RETURNS">'Efficient Frontier'!$C$611:$C$639</definedName>
    <definedName name="TR13_PORTFOLIO_STANDARD_DEVIATION">'Efficient Frontier'!$C$607</definedName>
    <definedName name="TR13_PORTFOLIO_TARGET_RETURN">'Efficient Frontier'!$K$29</definedName>
    <definedName name="TR13_PORTFOLIO_TICKERS">'Efficient Frontier'!$B$611:$B$639</definedName>
    <definedName name="TR13_PORTFOLIO_WEIGHTS">'Efficient Frontier'!$E$611:$E$639</definedName>
    <definedName name="TR13_PORTFOLIO_WEIGHTS_TOTAL">'Efficient Frontier'!$E$640</definedName>
    <definedName name="TR14_PORTFOLIO_EXPECTED_RETURN">'Efficient Frontier'!$C$644</definedName>
    <definedName name="TR14_PORTFOLIO_EXPECTED_RETURNS">'Efficient Frontier'!$C$649:$C$677</definedName>
    <definedName name="TR14_PORTFOLIO_STANDARD_DEVIATION">'Efficient Frontier'!$C$645</definedName>
    <definedName name="TR14_PORTFOLIO_TARGET_RETURN">'Efficient Frontier'!$K$30</definedName>
    <definedName name="TR14_PORTFOLIO_TICKERS">'Efficient Frontier'!$B$649:$B$677</definedName>
    <definedName name="TR14_PORTFOLIO_WEIGHTS">'Efficient Frontier'!$E$649:$E$677</definedName>
    <definedName name="TR14_PORTFOLIO_WEIGHTS_TOTAL">'Efficient Frontier'!$E$678</definedName>
    <definedName name="TR2_PORTFOLIO_EXPECTED_RETURN">'Efficient Frontier'!$C$188</definedName>
    <definedName name="TR2_PORTFOLIO_EXPECTED_RETURNS">'Efficient Frontier'!$C$193:$C$221</definedName>
    <definedName name="TR2_PORTFOLIO_STANDARD_DEVIATION">'Efficient Frontier'!$C$189</definedName>
    <definedName name="TR2_PORTFOLIO_TARGET_RETURN">'Efficient Frontier'!$K$18</definedName>
    <definedName name="TR2_PORTFOLIO_TICKERS">'Efficient Frontier'!$B$193:$B$221</definedName>
    <definedName name="TR2_PORTFOLIO_WEIGHTS">'Efficient Frontier'!$E$193:$E$221</definedName>
    <definedName name="TR2_PORTFOLIO_WEIGHTS_TOTAL">'Efficient Frontier'!$E$222</definedName>
    <definedName name="TR3_PORTFOLIO_EXPECTED_RETURN">'Efficient Frontier'!$C$226</definedName>
    <definedName name="TR3_PORTFOLIO_EXPECTED_RETURNS">'Efficient Frontier'!$C$231:$C$259</definedName>
    <definedName name="TR3_PORTFOLIO_STANDARD_DEVIATION">'Efficient Frontier'!$C$227</definedName>
    <definedName name="TR3_PORTFOLIO_TARGET_RETURN">'Efficient Frontier'!$K$19</definedName>
    <definedName name="TR3_PORTFOLIO_TICKERS">'Efficient Frontier'!$B$231:$B$259</definedName>
    <definedName name="TR3_PORTFOLIO_WEIGHTS">'Efficient Frontier'!$E$231:$E$259</definedName>
    <definedName name="TR3_PORTFOLIO_WEIGHTS_TOTAL">'Efficient Frontier'!$E$260</definedName>
    <definedName name="TR4_PORTFOLIO_EXPECTED_RETURN">'Efficient Frontier'!$C$264</definedName>
    <definedName name="TR4_PORTFOLIO_EXPECTED_RETURNS">'Efficient Frontier'!$C$269:$C$297</definedName>
    <definedName name="TR4_PORTFOLIO_STANDARD_DEVIATION">'Efficient Frontier'!$C$265</definedName>
    <definedName name="TR4_PORTFOLIO_TARGET_RETURN">'Efficient Frontier'!$K$20</definedName>
    <definedName name="TR4_PORTFOLIO_TICKERS">'Efficient Frontier'!$B$269:$B$297</definedName>
    <definedName name="TR4_PORTFOLIO_WEIGHTS">'Efficient Frontier'!$E$269:$E$297</definedName>
    <definedName name="TR4_PORTFOLIO_WEIGHTS_TOTAL">'Efficient Frontier'!$E$298</definedName>
    <definedName name="TR5_PORTFOLIO_EXPECTED_RETURN">'Efficient Frontier'!$C$302</definedName>
    <definedName name="TR5_PORTFOLIO_EXPECTED_RETURNS">'Efficient Frontier'!$C$307:$C$335</definedName>
    <definedName name="TR5_PORTFOLIO_STANDARD_DEVIATION">'Efficient Frontier'!$C$303</definedName>
    <definedName name="TR5_PORTFOLIO_TARGET_RETURN">'Efficient Frontier'!$K$21</definedName>
    <definedName name="TR5_PORTFOLIO_TICKERS">'Efficient Frontier'!$B$307:$B$335</definedName>
    <definedName name="TR5_PORTFOLIO_WEIGHTS">'Efficient Frontier'!$E$307:$E$335</definedName>
    <definedName name="TR5_PORTFOLIO_WEIGHTS_TOTAL">'Efficient Frontier'!$E$336</definedName>
    <definedName name="TR6_PORTFOLIO_EXPECTED_RETURN">'Efficient Frontier'!$C$340</definedName>
    <definedName name="TR6_PORTFOLIO_EXPECTED_RETURNS">'Efficient Frontier'!$C$345:$C$373</definedName>
    <definedName name="TR6_PORTFOLIO_STANDARD_DEVIATION">'Efficient Frontier'!$C$341</definedName>
    <definedName name="TR6_PORTFOLIO_TARGET_RETURN">'Efficient Frontier'!$K$22</definedName>
    <definedName name="TR6_PORTFOLIO_TICKERS">'Efficient Frontier'!$B$345:$B$373</definedName>
    <definedName name="TR6_PORTFOLIO_WEIGHTS">'Efficient Frontier'!$E$345:$E$373</definedName>
    <definedName name="TR6_PORTFOLIO_WEIGHTS_TOTAL">'Efficient Frontier'!$E$374</definedName>
    <definedName name="TR7_PORTFOLIO_EXPECTED_RETURN">'Efficient Frontier'!$C$378</definedName>
    <definedName name="TR7_PORTFOLIO_EXPECTED_RETURNS">'Efficient Frontier'!$C$383:$C$411</definedName>
    <definedName name="TR7_PORTFOLIO_STANDARD_DEVIATION">'Efficient Frontier'!$C$379</definedName>
    <definedName name="TR7_PORTFOLIO_TARGET_RETURN">'Efficient Frontier'!$K$23</definedName>
    <definedName name="TR7_PORTFOLIO_TICKERS">'Efficient Frontier'!$B$383:$B$411</definedName>
    <definedName name="TR7_PORTFOLIO_WEIGHTS">'Efficient Frontier'!$E$383:$E$411</definedName>
    <definedName name="TR7_PORTFOLIO_WEIGHTS_TOTAL">'Efficient Frontier'!$E$412</definedName>
    <definedName name="TR8_PORTFOLIO_EXPECTED_RETURN">'Efficient Frontier'!$C$416</definedName>
    <definedName name="TR8_PORTFOLIO_EXPECTED_RETURNS">'Efficient Frontier'!$C$421:$C$449</definedName>
    <definedName name="TR8_PORTFOLIO_STANDARD_DEVIATION">'Efficient Frontier'!$C$417</definedName>
    <definedName name="TR8_PORTFOLIO_TARGET_RETURN">'Efficient Frontier'!$K$24</definedName>
    <definedName name="TR8_PORTFOLIO_TICKERS">'Efficient Frontier'!$B$421:$B$449</definedName>
    <definedName name="TR8_PORTFOLIO_WEIGHTS">'Efficient Frontier'!$E$421:$E$449</definedName>
    <definedName name="TR8_PORTFOLIO_WEIGHTS_TOTAL">'Efficient Frontier'!$E$450</definedName>
    <definedName name="TR9_PORTFOLIO_EXPECTED_RETURN">'Efficient Frontier'!$C$454</definedName>
    <definedName name="TR9_PORTFOLIO_EXPECTED_RETURNS">'Efficient Frontier'!$C$459:$C$487</definedName>
    <definedName name="TR9_PORTFOLIO_STANDARD_DEVIATION">'Efficient Frontier'!$C$455</definedName>
    <definedName name="TR9_PORTFOLIO_TARGET_RETURN">'Efficient Frontier'!$K$25</definedName>
    <definedName name="TR9_PORTFOLIO_TICKERS">'Efficient Frontier'!$B$459:$B$487</definedName>
    <definedName name="TR9_PORTFOLIO_WEIGHTS">'Efficient Frontier'!$E$459:$E$487</definedName>
    <definedName name="TR9_PORTFOLIO_WEIGHTS_TOTAL">'Efficient Frontier'!$E$488</definedName>
    <definedName name="ZERO_SERIES">Statistics!$H$10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2" l="1"/>
  <c r="E412" i="3" l="1"/>
  <c r="K12" i="3" l="1"/>
  <c r="C71" i="3" l="1"/>
  <c r="C12" i="2" l="1"/>
  <c r="C9" i="2" l="1"/>
  <c r="R41" i="3" l="1" a="1"/>
  <c r="R42" i="3" s="1"/>
  <c r="Q41" i="3" a="1"/>
  <c r="Q41" i="3" s="1"/>
  <c r="P41" i="3" a="1"/>
  <c r="P42" i="3" s="1"/>
  <c r="O41" i="3" a="1"/>
  <c r="O42" i="3" s="1"/>
  <c r="N41" i="3" a="1"/>
  <c r="N41" i="3" s="1"/>
  <c r="M41" i="3" a="1"/>
  <c r="M42" i="3" s="1"/>
  <c r="L41" i="3" a="1"/>
  <c r="L48" i="3" s="1"/>
  <c r="K41" i="3" a="1"/>
  <c r="K42" i="3" s="1"/>
  <c r="J41" i="3" a="1"/>
  <c r="J41" i="3" s="1"/>
  <c r="I41" i="3" a="1"/>
  <c r="I41" i="3" s="1"/>
  <c r="H41" i="3" a="1"/>
  <c r="H58" i="3" s="1"/>
  <c r="G41" i="3" a="1"/>
  <c r="G41" i="3" s="1"/>
  <c r="F41" i="3" a="1"/>
  <c r="F42" i="3" s="1"/>
  <c r="E41" i="3" a="1"/>
  <c r="E42" i="3" s="1"/>
  <c r="D41" i="3" a="1"/>
  <c r="D41" i="3" s="1"/>
  <c r="F58" i="3" l="1"/>
  <c r="H56" i="3"/>
  <c r="F66" i="3"/>
  <c r="F50" i="3"/>
  <c r="F62" i="3"/>
  <c r="F54" i="3"/>
  <c r="F46" i="3"/>
  <c r="H66" i="3"/>
  <c r="H48" i="3"/>
  <c r="Q56" i="3"/>
  <c r="F68" i="3"/>
  <c r="F64" i="3"/>
  <c r="F60" i="3"/>
  <c r="F56" i="3"/>
  <c r="F52" i="3"/>
  <c r="F48" i="3"/>
  <c r="F44" i="3"/>
  <c r="H62" i="3"/>
  <c r="H52" i="3"/>
  <c r="H44" i="3"/>
  <c r="Q64" i="3"/>
  <c r="Q48" i="3"/>
  <c r="L50" i="3"/>
  <c r="Q68" i="3"/>
  <c r="Q60" i="3"/>
  <c r="Q52" i="3"/>
  <c r="Q44" i="3"/>
  <c r="J56" i="3"/>
  <c r="J64" i="3"/>
  <c r="J48" i="3"/>
  <c r="Q66" i="3"/>
  <c r="Q62" i="3"/>
  <c r="Q58" i="3"/>
  <c r="Q54" i="3"/>
  <c r="Q50" i="3"/>
  <c r="Q46" i="3"/>
  <c r="Q42" i="3"/>
  <c r="G64" i="3"/>
  <c r="G56" i="3"/>
  <c r="G48" i="3"/>
  <c r="F69" i="3"/>
  <c r="F67" i="3"/>
  <c r="F65" i="3"/>
  <c r="F63" i="3"/>
  <c r="F61" i="3"/>
  <c r="F59" i="3"/>
  <c r="F57" i="3"/>
  <c r="F55" i="3"/>
  <c r="F53" i="3"/>
  <c r="F51" i="3"/>
  <c r="F49" i="3"/>
  <c r="F47" i="3"/>
  <c r="F45" i="3"/>
  <c r="F43" i="3"/>
  <c r="F41" i="3"/>
  <c r="G68" i="3"/>
  <c r="G60" i="3"/>
  <c r="G52" i="3"/>
  <c r="G44" i="3"/>
  <c r="J68" i="3"/>
  <c r="J60" i="3"/>
  <c r="J52" i="3"/>
  <c r="J44" i="3"/>
  <c r="L44" i="3"/>
  <c r="H64" i="3"/>
  <c r="H60" i="3"/>
  <c r="H54" i="3"/>
  <c r="H50" i="3"/>
  <c r="H46" i="3"/>
  <c r="H42" i="3"/>
  <c r="J66" i="3"/>
  <c r="J62" i="3"/>
  <c r="J58" i="3"/>
  <c r="J54" i="3"/>
  <c r="J50" i="3"/>
  <c r="J46" i="3"/>
  <c r="J42" i="3"/>
  <c r="L46" i="3"/>
  <c r="L42" i="3"/>
  <c r="Q69" i="3"/>
  <c r="Q67" i="3"/>
  <c r="Q65" i="3"/>
  <c r="Q63" i="3"/>
  <c r="Q61" i="3"/>
  <c r="Q59" i="3"/>
  <c r="Q57" i="3"/>
  <c r="Q55" i="3"/>
  <c r="Q53" i="3"/>
  <c r="Q51" i="3"/>
  <c r="Q49" i="3"/>
  <c r="Q47" i="3"/>
  <c r="Q45" i="3"/>
  <c r="Q43" i="3"/>
  <c r="G66" i="3"/>
  <c r="G62" i="3"/>
  <c r="G58" i="3"/>
  <c r="G54" i="3"/>
  <c r="G50" i="3"/>
  <c r="G46" i="3"/>
  <c r="G42" i="3"/>
  <c r="R69" i="3"/>
  <c r="R67" i="3"/>
  <c r="R65" i="3"/>
  <c r="R63" i="3"/>
  <c r="R61" i="3"/>
  <c r="R59" i="3"/>
  <c r="R57" i="3"/>
  <c r="R55" i="3"/>
  <c r="R53" i="3"/>
  <c r="R51" i="3"/>
  <c r="R49" i="3"/>
  <c r="R47" i="3"/>
  <c r="R45" i="3"/>
  <c r="R43" i="3"/>
  <c r="R41" i="3"/>
  <c r="R68" i="3"/>
  <c r="R66" i="3"/>
  <c r="R64" i="3"/>
  <c r="R62" i="3"/>
  <c r="R60" i="3"/>
  <c r="R58" i="3"/>
  <c r="R56" i="3"/>
  <c r="R54" i="3"/>
  <c r="R52" i="3"/>
  <c r="R50" i="3"/>
  <c r="R48" i="3"/>
  <c r="R46" i="3"/>
  <c r="R44" i="3"/>
  <c r="P69" i="3"/>
  <c r="P67" i="3"/>
  <c r="P65" i="3"/>
  <c r="P63" i="3"/>
  <c r="P61" i="3"/>
  <c r="P59" i="3"/>
  <c r="P57" i="3"/>
  <c r="P55" i="3"/>
  <c r="P53" i="3"/>
  <c r="P51" i="3"/>
  <c r="P49" i="3"/>
  <c r="P47" i="3"/>
  <c r="P45" i="3"/>
  <c r="P43" i="3"/>
  <c r="P41" i="3"/>
  <c r="P68" i="3"/>
  <c r="P66" i="3"/>
  <c r="P64" i="3"/>
  <c r="P62" i="3"/>
  <c r="P60" i="3"/>
  <c r="P58" i="3"/>
  <c r="P56" i="3"/>
  <c r="P54" i="3"/>
  <c r="P52" i="3"/>
  <c r="P50" i="3"/>
  <c r="P48" i="3"/>
  <c r="P46" i="3"/>
  <c r="P44" i="3"/>
  <c r="O69" i="3"/>
  <c r="O67" i="3"/>
  <c r="O65" i="3"/>
  <c r="O63" i="3"/>
  <c r="O61" i="3"/>
  <c r="O59" i="3"/>
  <c r="O57" i="3"/>
  <c r="O55" i="3"/>
  <c r="O53" i="3"/>
  <c r="O51" i="3"/>
  <c r="O49" i="3"/>
  <c r="O47" i="3"/>
  <c r="O45" i="3"/>
  <c r="O43" i="3"/>
  <c r="O41" i="3"/>
  <c r="O68" i="3"/>
  <c r="O66" i="3"/>
  <c r="O64" i="3"/>
  <c r="O62" i="3"/>
  <c r="O60" i="3"/>
  <c r="O58" i="3"/>
  <c r="O56" i="3"/>
  <c r="O54" i="3"/>
  <c r="O52" i="3"/>
  <c r="O50" i="3"/>
  <c r="O48" i="3"/>
  <c r="O46" i="3"/>
  <c r="O44" i="3"/>
  <c r="N68" i="3"/>
  <c r="N66" i="3"/>
  <c r="N64" i="3"/>
  <c r="N62" i="3"/>
  <c r="N60" i="3"/>
  <c r="N58" i="3"/>
  <c r="N56" i="3"/>
  <c r="N54" i="3"/>
  <c r="N52" i="3"/>
  <c r="N50" i="3"/>
  <c r="N48" i="3"/>
  <c r="N46" i="3"/>
  <c r="N44" i="3"/>
  <c r="N42" i="3"/>
  <c r="N69" i="3"/>
  <c r="N67" i="3"/>
  <c r="N65" i="3"/>
  <c r="N63" i="3"/>
  <c r="N61" i="3"/>
  <c r="N59" i="3"/>
  <c r="N57" i="3"/>
  <c r="N55" i="3"/>
  <c r="N53" i="3"/>
  <c r="N51" i="3"/>
  <c r="N49" i="3"/>
  <c r="N47" i="3"/>
  <c r="N45" i="3"/>
  <c r="N43" i="3"/>
  <c r="M69" i="3"/>
  <c r="M67" i="3"/>
  <c r="M65" i="3"/>
  <c r="M63" i="3"/>
  <c r="M61" i="3"/>
  <c r="M59" i="3"/>
  <c r="M57" i="3"/>
  <c r="M55" i="3"/>
  <c r="M53" i="3"/>
  <c r="M51" i="3"/>
  <c r="M49" i="3"/>
  <c r="M47" i="3"/>
  <c r="M45" i="3"/>
  <c r="M43" i="3"/>
  <c r="M41" i="3"/>
  <c r="M68" i="3"/>
  <c r="M66" i="3"/>
  <c r="M64" i="3"/>
  <c r="M62" i="3"/>
  <c r="M60" i="3"/>
  <c r="M58" i="3"/>
  <c r="M56" i="3"/>
  <c r="M54" i="3"/>
  <c r="M52" i="3"/>
  <c r="M50" i="3"/>
  <c r="M48" i="3"/>
  <c r="M46" i="3"/>
  <c r="M44" i="3"/>
  <c r="L69" i="3"/>
  <c r="L67" i="3"/>
  <c r="L65" i="3"/>
  <c r="L63" i="3"/>
  <c r="L61" i="3"/>
  <c r="L59" i="3"/>
  <c r="L57" i="3"/>
  <c r="L55" i="3"/>
  <c r="L53" i="3"/>
  <c r="L51" i="3"/>
  <c r="L49" i="3"/>
  <c r="L47" i="3"/>
  <c r="L45" i="3"/>
  <c r="L43" i="3"/>
  <c r="L41" i="3"/>
  <c r="L68" i="3"/>
  <c r="L66" i="3"/>
  <c r="L64" i="3"/>
  <c r="L62" i="3"/>
  <c r="L60" i="3"/>
  <c r="L58" i="3"/>
  <c r="L56" i="3"/>
  <c r="L54" i="3"/>
  <c r="L52" i="3"/>
  <c r="K69" i="3"/>
  <c r="K67" i="3"/>
  <c r="K65" i="3"/>
  <c r="K63" i="3"/>
  <c r="K61" i="3"/>
  <c r="K59" i="3"/>
  <c r="K57" i="3"/>
  <c r="K55" i="3"/>
  <c r="K53" i="3"/>
  <c r="K51" i="3"/>
  <c r="K49" i="3"/>
  <c r="K47" i="3"/>
  <c r="K45" i="3"/>
  <c r="K43" i="3"/>
  <c r="K41" i="3"/>
  <c r="K68" i="3"/>
  <c r="K66" i="3"/>
  <c r="K64" i="3"/>
  <c r="K62" i="3"/>
  <c r="K60" i="3"/>
  <c r="K58" i="3"/>
  <c r="K56" i="3"/>
  <c r="K54" i="3"/>
  <c r="K52" i="3"/>
  <c r="K50" i="3"/>
  <c r="K48" i="3"/>
  <c r="K46" i="3"/>
  <c r="K44" i="3"/>
  <c r="J69" i="3"/>
  <c r="J67" i="3"/>
  <c r="J65" i="3"/>
  <c r="J63" i="3"/>
  <c r="J61" i="3"/>
  <c r="J59" i="3"/>
  <c r="J57" i="3"/>
  <c r="J55" i="3"/>
  <c r="J53" i="3"/>
  <c r="J51" i="3"/>
  <c r="J49" i="3"/>
  <c r="J47" i="3"/>
  <c r="J45" i="3"/>
  <c r="J43" i="3"/>
  <c r="I68" i="3"/>
  <c r="I66" i="3"/>
  <c r="I64" i="3"/>
  <c r="I62" i="3"/>
  <c r="I60" i="3"/>
  <c r="I58" i="3"/>
  <c r="I56" i="3"/>
  <c r="I54" i="3"/>
  <c r="I52" i="3"/>
  <c r="I50" i="3"/>
  <c r="I48" i="3"/>
  <c r="I46" i="3"/>
  <c r="I44" i="3"/>
  <c r="I42" i="3"/>
  <c r="I69" i="3"/>
  <c r="I67" i="3"/>
  <c r="I65" i="3"/>
  <c r="I63" i="3"/>
  <c r="I61" i="3"/>
  <c r="I59" i="3"/>
  <c r="I57" i="3"/>
  <c r="I55" i="3"/>
  <c r="I53" i="3"/>
  <c r="I51" i="3"/>
  <c r="I49" i="3"/>
  <c r="I47" i="3"/>
  <c r="I45" i="3"/>
  <c r="I43" i="3"/>
  <c r="H69" i="3"/>
  <c r="H67" i="3"/>
  <c r="H65" i="3"/>
  <c r="H63" i="3"/>
  <c r="H61" i="3"/>
  <c r="H59" i="3"/>
  <c r="H57" i="3"/>
  <c r="H55" i="3"/>
  <c r="H53" i="3"/>
  <c r="H51" i="3"/>
  <c r="H49" i="3"/>
  <c r="H47" i="3"/>
  <c r="H45" i="3"/>
  <c r="H43" i="3"/>
  <c r="H41" i="3"/>
  <c r="H68" i="3"/>
  <c r="G69" i="3"/>
  <c r="G67" i="3"/>
  <c r="G65" i="3"/>
  <c r="G63" i="3"/>
  <c r="G61" i="3"/>
  <c r="G59" i="3"/>
  <c r="G57" i="3"/>
  <c r="G55" i="3"/>
  <c r="G53" i="3"/>
  <c r="G51" i="3"/>
  <c r="G49" i="3"/>
  <c r="G47" i="3"/>
  <c r="G45" i="3"/>
  <c r="G43" i="3"/>
  <c r="E69" i="3"/>
  <c r="E67" i="3"/>
  <c r="E65" i="3"/>
  <c r="E63" i="3"/>
  <c r="E61" i="3"/>
  <c r="E59" i="3"/>
  <c r="E57" i="3"/>
  <c r="E55" i="3"/>
  <c r="E53" i="3"/>
  <c r="E51" i="3"/>
  <c r="E49" i="3"/>
  <c r="E47" i="3"/>
  <c r="E45" i="3"/>
  <c r="E43" i="3"/>
  <c r="E41" i="3"/>
  <c r="E68" i="3"/>
  <c r="E66" i="3"/>
  <c r="E64" i="3"/>
  <c r="E62" i="3"/>
  <c r="E60" i="3"/>
  <c r="E58" i="3"/>
  <c r="E56" i="3"/>
  <c r="E54" i="3"/>
  <c r="E52" i="3"/>
  <c r="E50" i="3"/>
  <c r="E48" i="3"/>
  <c r="E46" i="3"/>
  <c r="E44" i="3"/>
  <c r="D68" i="3"/>
  <c r="D66" i="3"/>
  <c r="D64" i="3"/>
  <c r="D62" i="3"/>
  <c r="D60" i="3"/>
  <c r="D58" i="3"/>
  <c r="D56" i="3"/>
  <c r="D54" i="3"/>
  <c r="D52" i="3"/>
  <c r="D50" i="3"/>
  <c r="D48" i="3"/>
  <c r="D46" i="3"/>
  <c r="D44" i="3"/>
  <c r="D42" i="3"/>
  <c r="D69" i="3"/>
  <c r="D67" i="3"/>
  <c r="D65" i="3"/>
  <c r="D63" i="3"/>
  <c r="D61" i="3"/>
  <c r="D59" i="3"/>
  <c r="D57" i="3"/>
  <c r="D55" i="3"/>
  <c r="D53" i="3"/>
  <c r="D51" i="3"/>
  <c r="D49" i="3"/>
  <c r="D47" i="3"/>
  <c r="D45" i="3"/>
  <c r="D43" i="3"/>
  <c r="G647" i="3" a="1"/>
  <c r="G647" i="3" s="1"/>
  <c r="G609" i="3" a="1"/>
  <c r="G609" i="3" s="1"/>
  <c r="G571" i="3" a="1"/>
  <c r="G571" i="3" s="1"/>
  <c r="V647" i="3" l="1"/>
  <c r="AD647" i="3"/>
  <c r="N647" i="3"/>
  <c r="AH647" i="3"/>
  <c r="Z647" i="3"/>
  <c r="R647" i="3"/>
  <c r="J647" i="3"/>
  <c r="V571" i="3"/>
  <c r="AF647" i="3"/>
  <c r="AB647" i="3"/>
  <c r="X647" i="3"/>
  <c r="T647" i="3"/>
  <c r="P647" i="3"/>
  <c r="L647" i="3"/>
  <c r="H647" i="3"/>
  <c r="AD571" i="3"/>
  <c r="N571" i="3"/>
  <c r="V609" i="3"/>
  <c r="AH571" i="3"/>
  <c r="Z571" i="3"/>
  <c r="R571" i="3"/>
  <c r="J571" i="3"/>
  <c r="AD609" i="3"/>
  <c r="N609" i="3"/>
  <c r="AF571" i="3"/>
  <c r="AB571" i="3"/>
  <c r="X571" i="3"/>
  <c r="T571" i="3"/>
  <c r="P571" i="3"/>
  <c r="L571" i="3"/>
  <c r="H571" i="3"/>
  <c r="AH609" i="3"/>
  <c r="Z609" i="3"/>
  <c r="R609" i="3"/>
  <c r="J609" i="3"/>
  <c r="AF609" i="3"/>
  <c r="AB609" i="3"/>
  <c r="X609" i="3"/>
  <c r="T609" i="3"/>
  <c r="P609" i="3"/>
  <c r="L609" i="3"/>
  <c r="H609" i="3"/>
  <c r="AI571" i="3"/>
  <c r="AG571" i="3"/>
  <c r="AE571" i="3"/>
  <c r="AC571" i="3"/>
  <c r="AA571" i="3"/>
  <c r="Y571" i="3"/>
  <c r="W571" i="3"/>
  <c r="U571" i="3"/>
  <c r="S571" i="3"/>
  <c r="Q571" i="3"/>
  <c r="O571" i="3"/>
  <c r="M571" i="3"/>
  <c r="K571" i="3"/>
  <c r="I571" i="3"/>
  <c r="AI609" i="3"/>
  <c r="AG609" i="3"/>
  <c r="AE609" i="3"/>
  <c r="AC609" i="3"/>
  <c r="AA609" i="3"/>
  <c r="Y609" i="3"/>
  <c r="W609" i="3"/>
  <c r="U609" i="3"/>
  <c r="S609" i="3"/>
  <c r="Q609" i="3"/>
  <c r="O609" i="3"/>
  <c r="M609" i="3"/>
  <c r="K609" i="3"/>
  <c r="I609" i="3"/>
  <c r="AI647" i="3"/>
  <c r="AG647" i="3"/>
  <c r="AE647" i="3"/>
  <c r="AC647" i="3"/>
  <c r="AA647" i="3"/>
  <c r="Y647" i="3"/>
  <c r="W647" i="3"/>
  <c r="U647" i="3"/>
  <c r="S647" i="3"/>
  <c r="Q647" i="3"/>
  <c r="O647" i="3"/>
  <c r="M647" i="3"/>
  <c r="K647" i="3"/>
  <c r="I647" i="3"/>
  <c r="E678" i="3"/>
  <c r="E640" i="3"/>
  <c r="E602" i="3"/>
  <c r="G723" i="3" a="1"/>
  <c r="G723" i="3" s="1"/>
  <c r="E108" i="3"/>
  <c r="G77" i="3" a="1"/>
  <c r="G77" i="3" s="1"/>
  <c r="AD77" i="3" l="1"/>
  <c r="V77" i="3"/>
  <c r="AH77" i="3"/>
  <c r="Z77" i="3"/>
  <c r="R77" i="3"/>
  <c r="J77" i="3"/>
  <c r="N77" i="3"/>
  <c r="V723" i="3"/>
  <c r="AD723" i="3"/>
  <c r="N723" i="3"/>
  <c r="AF77" i="3"/>
  <c r="AB77" i="3"/>
  <c r="X77" i="3"/>
  <c r="T77" i="3"/>
  <c r="P77" i="3"/>
  <c r="L77" i="3"/>
  <c r="H77" i="3"/>
  <c r="AH723" i="3"/>
  <c r="Z723" i="3"/>
  <c r="R723" i="3"/>
  <c r="J723" i="3"/>
  <c r="AI77" i="3"/>
  <c r="AG77" i="3"/>
  <c r="AE77" i="3"/>
  <c r="AC77" i="3"/>
  <c r="AA77" i="3"/>
  <c r="Y77" i="3"/>
  <c r="W77" i="3"/>
  <c r="U77" i="3"/>
  <c r="S77" i="3"/>
  <c r="Q77" i="3"/>
  <c r="O77" i="3"/>
  <c r="M77" i="3"/>
  <c r="K77" i="3"/>
  <c r="I77" i="3"/>
  <c r="AF723" i="3"/>
  <c r="AB723" i="3"/>
  <c r="X723" i="3"/>
  <c r="T723" i="3"/>
  <c r="P723" i="3"/>
  <c r="L723" i="3"/>
  <c r="H723" i="3"/>
  <c r="AI723" i="3"/>
  <c r="AG723" i="3"/>
  <c r="AE723" i="3"/>
  <c r="AC723" i="3"/>
  <c r="AA723" i="3"/>
  <c r="Y723" i="3"/>
  <c r="W723" i="3"/>
  <c r="U723" i="3"/>
  <c r="S723" i="3"/>
  <c r="Q723" i="3"/>
  <c r="O723" i="3"/>
  <c r="M723" i="3"/>
  <c r="K723" i="3"/>
  <c r="I723" i="3"/>
  <c r="W41" i="3"/>
  <c r="U41" i="3"/>
  <c r="C41" i="3" l="1" a="1"/>
  <c r="C41" i="3" l="1"/>
  <c r="C66" i="3"/>
  <c r="C62" i="3"/>
  <c r="C58" i="3"/>
  <c r="C54" i="3"/>
  <c r="C50" i="3"/>
  <c r="C46" i="3"/>
  <c r="C42" i="3"/>
  <c r="C67" i="3"/>
  <c r="C63" i="3"/>
  <c r="C59" i="3"/>
  <c r="C55" i="3"/>
  <c r="C51" i="3"/>
  <c r="C47" i="3"/>
  <c r="C43" i="3"/>
  <c r="C68" i="3"/>
  <c r="C64" i="3"/>
  <c r="C60" i="3"/>
  <c r="C56" i="3"/>
  <c r="C52" i="3"/>
  <c r="C48" i="3"/>
  <c r="C44" i="3"/>
  <c r="C69" i="3"/>
  <c r="C65" i="3"/>
  <c r="C61" i="3"/>
  <c r="C57" i="3"/>
  <c r="C53" i="3"/>
  <c r="C49" i="3"/>
  <c r="C45" i="3"/>
  <c r="E146" i="3"/>
  <c r="G115" i="3" a="1"/>
  <c r="C33"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E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U37"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E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G685" i="3" a="1"/>
  <c r="I685" i="3" s="1"/>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39" i="3"/>
  <c r="B638" i="3"/>
  <c r="B637" i="3"/>
  <c r="B636" i="3"/>
  <c r="B635" i="3"/>
  <c r="B634" i="3"/>
  <c r="B633" i="3"/>
  <c r="B632" i="3"/>
  <c r="B631" i="3"/>
  <c r="B630" i="3"/>
  <c r="B629" i="3"/>
  <c r="B628" i="3"/>
  <c r="B627" i="3"/>
  <c r="B626" i="3"/>
  <c r="B625" i="3"/>
  <c r="B624" i="3"/>
  <c r="B623" i="3"/>
  <c r="B622" i="3"/>
  <c r="B621" i="3"/>
  <c r="B620" i="3"/>
  <c r="B619" i="3"/>
  <c r="B618" i="3"/>
  <c r="B617" i="3"/>
  <c r="B616" i="3"/>
  <c r="B615" i="3"/>
  <c r="B614" i="3"/>
  <c r="B613" i="3"/>
  <c r="B612" i="3"/>
  <c r="B611"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B575" i="3"/>
  <c r="B574" i="3"/>
  <c r="B573" i="3"/>
  <c r="E564"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B536" i="3"/>
  <c r="B535" i="3"/>
  <c r="G533" i="3" a="1"/>
  <c r="K533" i="3" s="1"/>
  <c r="E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G495" i="3" a="1"/>
  <c r="M495" i="3" s="1"/>
  <c r="E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G457" i="3" a="1"/>
  <c r="AI457" i="3" s="1"/>
  <c r="E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G419" i="3" a="1"/>
  <c r="AE419" i="3" s="1"/>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G381" i="3" a="1"/>
  <c r="I381" i="3" s="1"/>
  <c r="E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G343" i="3" a="1"/>
  <c r="K343" i="3" s="1"/>
  <c r="E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G305" i="3" a="1"/>
  <c r="L305" i="3" s="1"/>
  <c r="E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G267" i="3" a="1"/>
  <c r="Y267" i="3" s="1"/>
  <c r="E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G229" i="3" a="1"/>
  <c r="S229" i="3" s="1"/>
  <c r="E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G191" i="3" a="1"/>
  <c r="AB191" i="3" s="1"/>
  <c r="E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G153" i="3" a="1"/>
  <c r="AB153" i="3" s="1"/>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C10" i="1"/>
  <c r="C40" i="1" s="1"/>
  <c r="B51" i="2"/>
  <c r="K13" i="2"/>
  <c r="H12" i="2"/>
  <c r="H13" i="2"/>
  <c r="K12" i="2"/>
  <c r="C13" i="2"/>
  <c r="C11" i="2"/>
  <c r="C18" i="2"/>
  <c r="B20" i="2"/>
  <c r="B21" i="2"/>
  <c r="B22" i="2"/>
  <c r="B23" i="2"/>
  <c r="B24" i="2"/>
  <c r="B25" i="2"/>
  <c r="B26" i="2"/>
  <c r="B27" i="2"/>
  <c r="B28" i="2"/>
  <c r="B29" i="2"/>
  <c r="B30" i="2"/>
  <c r="B31" i="2"/>
  <c r="B32" i="2"/>
  <c r="B33" i="2"/>
  <c r="B34" i="2"/>
  <c r="B35" i="2"/>
  <c r="B36" i="2"/>
  <c r="B37" i="2"/>
  <c r="B38" i="2"/>
  <c r="B39" i="2"/>
  <c r="B40" i="2"/>
  <c r="B41" i="2"/>
  <c r="B42" i="2"/>
  <c r="B43" i="2"/>
  <c r="B44" i="2"/>
  <c r="B45" i="2"/>
  <c r="B46" i="2"/>
  <c r="B18" i="2"/>
  <c r="C7" i="2"/>
  <c r="C6" i="2" s="1"/>
  <c r="C7" i="1"/>
  <c r="O12" i="2"/>
  <c r="C19" i="1" l="1"/>
  <c r="C36" i="1"/>
  <c r="F36" i="1" s="1"/>
  <c r="H10" i="2"/>
  <c r="C34" i="1"/>
  <c r="D34" i="1" s="1"/>
  <c r="C21" i="1"/>
  <c r="G21" i="1" s="1"/>
  <c r="C49" i="1"/>
  <c r="F49" i="1" s="1"/>
  <c r="C51" i="2" s="1"/>
  <c r="D51" i="2" s="1"/>
  <c r="C32" i="1"/>
  <c r="C39" i="1"/>
  <c r="D39" i="1" s="1"/>
  <c r="C17" i="1"/>
  <c r="J17" i="1" s="1"/>
  <c r="C19" i="2" s="1"/>
  <c r="D19" i="2" s="1"/>
  <c r="C41" i="1"/>
  <c r="C24" i="1"/>
  <c r="F24" i="1" s="1"/>
  <c r="C23" i="1"/>
  <c r="C30" i="1"/>
  <c r="C18" i="1"/>
  <c r="I18" i="1" s="1"/>
  <c r="C43" i="1"/>
  <c r="D43" i="1" s="1"/>
  <c r="Y685" i="3"/>
  <c r="C38" i="1"/>
  <c r="C44" i="1"/>
  <c r="D44" i="1" s="1"/>
  <c r="C42" i="1"/>
  <c r="D42" i="1" s="1"/>
  <c r="C20" i="1"/>
  <c r="C22" i="1"/>
  <c r="D22" i="1" s="1"/>
  <c r="C28" i="1"/>
  <c r="E28" i="1" s="1"/>
  <c r="C45" i="1"/>
  <c r="H45" i="1" s="1"/>
  <c r="C29" i="1"/>
  <c r="E29" i="1" s="1"/>
  <c r="C33" i="1"/>
  <c r="D33" i="1" s="1"/>
  <c r="C37" i="1"/>
  <c r="D37" i="1" s="1"/>
  <c r="C27" i="1"/>
  <c r="C35" i="1"/>
  <c r="C10" i="2"/>
  <c r="J39" i="1"/>
  <c r="C41" i="2" s="1"/>
  <c r="D41" i="2" s="1"/>
  <c r="AH457" i="3"/>
  <c r="J40" i="1"/>
  <c r="C42" i="2" s="1"/>
  <c r="D42" i="2" s="1"/>
  <c r="D40" i="1"/>
  <c r="P305" i="3"/>
  <c r="L533" i="3"/>
  <c r="M533" i="3"/>
  <c r="Q305" i="3"/>
  <c r="G19" i="1"/>
  <c r="F19" i="1"/>
  <c r="E40" i="1"/>
  <c r="H40" i="1"/>
  <c r="F40" i="1"/>
  <c r="G40" i="1"/>
  <c r="I40" i="1"/>
  <c r="K495" i="3"/>
  <c r="G115" i="3"/>
  <c r="I115" i="3"/>
  <c r="K115" i="3"/>
  <c r="M115" i="3"/>
  <c r="O115" i="3"/>
  <c r="Q115" i="3"/>
  <c r="S115" i="3"/>
  <c r="U115" i="3"/>
  <c r="W115" i="3"/>
  <c r="Y115" i="3"/>
  <c r="AA115" i="3"/>
  <c r="AC115" i="3"/>
  <c r="AE115" i="3"/>
  <c r="AG115" i="3"/>
  <c r="AI115" i="3"/>
  <c r="H115" i="3"/>
  <c r="L115" i="3"/>
  <c r="P115" i="3"/>
  <c r="T115" i="3"/>
  <c r="X115" i="3"/>
  <c r="AB115" i="3"/>
  <c r="AF115" i="3"/>
  <c r="J115" i="3"/>
  <c r="N115" i="3"/>
  <c r="R115" i="3"/>
  <c r="V115" i="3"/>
  <c r="Z115" i="3"/>
  <c r="AD115" i="3"/>
  <c r="AH115" i="3"/>
  <c r="V38" i="3"/>
  <c r="R229" i="3"/>
  <c r="Y229" i="3"/>
  <c r="C26" i="1"/>
  <c r="G26" i="1" s="1"/>
  <c r="R267" i="3"/>
  <c r="Z229" i="3"/>
  <c r="J229" i="3"/>
  <c r="G229" i="3"/>
  <c r="AD229" i="3"/>
  <c r="V229" i="3"/>
  <c r="N229" i="3"/>
  <c r="AE229" i="3"/>
  <c r="I229" i="3"/>
  <c r="T381" i="3"/>
  <c r="AI153" i="3"/>
  <c r="H191" i="3"/>
  <c r="AD419" i="3"/>
  <c r="AG495" i="3"/>
  <c r="AH229" i="3"/>
  <c r="AB229" i="3"/>
  <c r="X229" i="3"/>
  <c r="T229" i="3"/>
  <c r="P229" i="3"/>
  <c r="L229" i="3"/>
  <c r="H229" i="3"/>
  <c r="AG229" i="3"/>
  <c r="Q229" i="3"/>
  <c r="W229" i="3"/>
  <c r="R305" i="3"/>
  <c r="AG305" i="3"/>
  <c r="AG381" i="3"/>
  <c r="U457" i="3"/>
  <c r="R457" i="3"/>
  <c r="AB533" i="3"/>
  <c r="J685" i="3"/>
  <c r="I19" i="1"/>
  <c r="D19" i="1"/>
  <c r="D36" i="1"/>
  <c r="G36" i="1"/>
  <c r="N153" i="3"/>
  <c r="K191" i="3"/>
  <c r="S153" i="3"/>
  <c r="AD191" i="3"/>
  <c r="AA191" i="3"/>
  <c r="AG267" i="3"/>
  <c r="AD343" i="3"/>
  <c r="H267" i="3"/>
  <c r="M343" i="3"/>
  <c r="AD153" i="3"/>
  <c r="K153" i="3"/>
  <c r="AA153" i="3"/>
  <c r="H153" i="3"/>
  <c r="N191" i="3"/>
  <c r="S191" i="3"/>
  <c r="AI191" i="3"/>
  <c r="Q267" i="3"/>
  <c r="N343" i="3"/>
  <c r="N419" i="3"/>
  <c r="T495" i="3"/>
  <c r="Y419" i="3"/>
  <c r="V153" i="3"/>
  <c r="G153" i="3"/>
  <c r="O153" i="3"/>
  <c r="W153" i="3"/>
  <c r="AE153" i="3"/>
  <c r="L153" i="3"/>
  <c r="P153" i="3"/>
  <c r="V191" i="3"/>
  <c r="G191" i="3"/>
  <c r="O191" i="3"/>
  <c r="W191" i="3"/>
  <c r="AE191" i="3"/>
  <c r="L191" i="3"/>
  <c r="P191" i="3"/>
  <c r="AH267" i="3"/>
  <c r="I267" i="3"/>
  <c r="V343" i="3"/>
  <c r="AE343" i="3"/>
  <c r="V419" i="3"/>
  <c r="AB495" i="3"/>
  <c r="L495" i="3"/>
  <c r="T267" i="3"/>
  <c r="X267" i="3"/>
  <c r="AI267" i="3"/>
  <c r="AE267" i="3"/>
  <c r="AA267" i="3"/>
  <c r="W267" i="3"/>
  <c r="S267" i="3"/>
  <c r="O267" i="3"/>
  <c r="K267" i="3"/>
  <c r="G267" i="3"/>
  <c r="N267" i="3"/>
  <c r="V267" i="3"/>
  <c r="AD267" i="3"/>
  <c r="AA343" i="3"/>
  <c r="AF343" i="3"/>
  <c r="U343" i="3"/>
  <c r="AG343" i="3"/>
  <c r="H343" i="3"/>
  <c r="L343" i="3"/>
  <c r="P343" i="3"/>
  <c r="T343" i="3"/>
  <c r="X343" i="3"/>
  <c r="AB343" i="3"/>
  <c r="AH343" i="3"/>
  <c r="Q419" i="3"/>
  <c r="G419" i="3"/>
  <c r="W419" i="3"/>
  <c r="AG419" i="3"/>
  <c r="H419" i="3"/>
  <c r="L419" i="3"/>
  <c r="P419" i="3"/>
  <c r="T419" i="3"/>
  <c r="X419" i="3"/>
  <c r="AB419" i="3"/>
  <c r="AH419" i="3"/>
  <c r="AA495" i="3"/>
  <c r="AF495" i="3"/>
  <c r="U495" i="3"/>
  <c r="AI495" i="3"/>
  <c r="AE495" i="3"/>
  <c r="J495" i="3"/>
  <c r="N495" i="3"/>
  <c r="R495" i="3"/>
  <c r="V495" i="3"/>
  <c r="Z495" i="3"/>
  <c r="AD495" i="3"/>
  <c r="AH153" i="3"/>
  <c r="Z153" i="3"/>
  <c r="R153" i="3"/>
  <c r="J153" i="3"/>
  <c r="I153" i="3"/>
  <c r="M153" i="3"/>
  <c r="Q153" i="3"/>
  <c r="U153" i="3"/>
  <c r="Y153" i="3"/>
  <c r="AC153" i="3"/>
  <c r="AG153" i="3"/>
  <c r="T153" i="3"/>
  <c r="X153" i="3"/>
  <c r="AF153" i="3"/>
  <c r="AH191" i="3"/>
  <c r="Z191" i="3"/>
  <c r="R191" i="3"/>
  <c r="J191" i="3"/>
  <c r="I191" i="3"/>
  <c r="M191" i="3"/>
  <c r="Q191" i="3"/>
  <c r="U191" i="3"/>
  <c r="Y191" i="3"/>
  <c r="AC191" i="3"/>
  <c r="AG191" i="3"/>
  <c r="T191" i="3"/>
  <c r="X191" i="3"/>
  <c r="AF191" i="3"/>
  <c r="Z267" i="3"/>
  <c r="J267" i="3"/>
  <c r="M267" i="3"/>
  <c r="U267" i="3"/>
  <c r="AC267" i="3"/>
  <c r="Z343" i="3"/>
  <c r="R343" i="3"/>
  <c r="J343" i="3"/>
  <c r="AI343" i="3"/>
  <c r="Z419" i="3"/>
  <c r="R419" i="3"/>
  <c r="J419" i="3"/>
  <c r="AI419" i="3"/>
  <c r="AH495" i="3"/>
  <c r="X495" i="3"/>
  <c r="P495" i="3"/>
  <c r="H495" i="3"/>
  <c r="O343" i="3"/>
  <c r="O419" i="3"/>
  <c r="I419" i="3"/>
  <c r="O495" i="3"/>
  <c r="AC229" i="3"/>
  <c r="K229" i="3"/>
  <c r="AA229" i="3"/>
  <c r="O229" i="3"/>
  <c r="AF229" i="3"/>
  <c r="M229" i="3"/>
  <c r="U229" i="3"/>
  <c r="AI229" i="3"/>
  <c r="E19" i="1"/>
  <c r="H19" i="1"/>
  <c r="J19" i="1"/>
  <c r="C21" i="2" s="1"/>
  <c r="D21" i="2" s="1"/>
  <c r="E36" i="1"/>
  <c r="I36" i="1"/>
  <c r="J36" i="1"/>
  <c r="C38" i="2" s="1"/>
  <c r="D38" i="2" s="1"/>
  <c r="H36" i="1"/>
  <c r="AH305" i="3"/>
  <c r="I305" i="3"/>
  <c r="Y305" i="3"/>
  <c r="AB381" i="3"/>
  <c r="L381" i="3"/>
  <c r="AC457" i="3"/>
  <c r="M457" i="3"/>
  <c r="Z457" i="3"/>
  <c r="J457" i="3"/>
  <c r="T533" i="3"/>
  <c r="AG533" i="3"/>
  <c r="Z685" i="3"/>
  <c r="Y381" i="3"/>
  <c r="G533" i="3"/>
  <c r="Z305" i="3"/>
  <c r="J305" i="3"/>
  <c r="M305" i="3"/>
  <c r="U305" i="3"/>
  <c r="AC305" i="3"/>
  <c r="AH381" i="3"/>
  <c r="X381" i="3"/>
  <c r="P381" i="3"/>
  <c r="H381" i="3"/>
  <c r="AG457" i="3"/>
  <c r="Y457" i="3"/>
  <c r="Q457" i="3"/>
  <c r="I457" i="3"/>
  <c r="AD457" i="3"/>
  <c r="V457" i="3"/>
  <c r="N457" i="3"/>
  <c r="AH533" i="3"/>
  <c r="X533" i="3"/>
  <c r="P533" i="3"/>
  <c r="H533" i="3"/>
  <c r="AH685" i="3"/>
  <c r="R685" i="3"/>
  <c r="AI685" i="3"/>
  <c r="O381" i="3"/>
  <c r="O685" i="3"/>
  <c r="AB305" i="3"/>
  <c r="AF305" i="3"/>
  <c r="X305" i="3"/>
  <c r="T305" i="3"/>
  <c r="AF381" i="3"/>
  <c r="M381" i="3"/>
  <c r="U381" i="3"/>
  <c r="AC381" i="3"/>
  <c r="K381" i="3"/>
  <c r="S381" i="3"/>
  <c r="AA381" i="3"/>
  <c r="AC533" i="3"/>
  <c r="W533" i="3"/>
  <c r="AF533" i="3"/>
  <c r="S533" i="3"/>
  <c r="I533" i="3"/>
  <c r="Q533" i="3"/>
  <c r="Y533" i="3"/>
  <c r="AF685" i="3"/>
  <c r="M685" i="3"/>
  <c r="U685" i="3"/>
  <c r="AC685" i="3"/>
  <c r="K685" i="3"/>
  <c r="S685" i="3"/>
  <c r="AA685" i="3"/>
  <c r="AG685" i="3"/>
  <c r="H685" i="3"/>
  <c r="L685" i="3"/>
  <c r="P685" i="3"/>
  <c r="T685" i="3"/>
  <c r="X685" i="3"/>
  <c r="AB685" i="3"/>
  <c r="AD305" i="3"/>
  <c r="V305" i="3"/>
  <c r="N305" i="3"/>
  <c r="G305" i="3"/>
  <c r="K305" i="3"/>
  <c r="O305" i="3"/>
  <c r="S305" i="3"/>
  <c r="W305" i="3"/>
  <c r="AA305" i="3"/>
  <c r="AE305" i="3"/>
  <c r="AI305" i="3"/>
  <c r="AD381" i="3"/>
  <c r="Z381" i="3"/>
  <c r="V381" i="3"/>
  <c r="R381" i="3"/>
  <c r="N381" i="3"/>
  <c r="J381" i="3"/>
  <c r="AE381" i="3"/>
  <c r="AI381" i="3"/>
  <c r="AE457" i="3"/>
  <c r="AA457" i="3"/>
  <c r="W457" i="3"/>
  <c r="S457" i="3"/>
  <c r="O457" i="3"/>
  <c r="K457" i="3"/>
  <c r="G457" i="3"/>
  <c r="AF457" i="3"/>
  <c r="AB457" i="3"/>
  <c r="X457" i="3"/>
  <c r="T457" i="3"/>
  <c r="P457" i="3"/>
  <c r="L457" i="3"/>
  <c r="H457" i="3"/>
  <c r="AD533" i="3"/>
  <c r="Z533" i="3"/>
  <c r="V533" i="3"/>
  <c r="R533" i="3"/>
  <c r="N533" i="3"/>
  <c r="J533" i="3"/>
  <c r="AE533" i="3"/>
  <c r="AI533" i="3"/>
  <c r="AD685" i="3"/>
  <c r="V685" i="3"/>
  <c r="N685" i="3"/>
  <c r="AE685" i="3"/>
  <c r="H305" i="3"/>
  <c r="W381" i="3"/>
  <c r="G381" i="3"/>
  <c r="Q381" i="3"/>
  <c r="U533" i="3"/>
  <c r="AA533" i="3"/>
  <c r="O533" i="3"/>
  <c r="W685" i="3"/>
  <c r="G685" i="3"/>
  <c r="Q685" i="3"/>
  <c r="L267" i="3"/>
  <c r="AB267" i="3"/>
  <c r="P267" i="3"/>
  <c r="AF267" i="3"/>
  <c r="AC343" i="3"/>
  <c r="S343" i="3"/>
  <c r="G343" i="3"/>
  <c r="W343" i="3"/>
  <c r="I343" i="3"/>
  <c r="Q343" i="3"/>
  <c r="Y343" i="3"/>
  <c r="AF419" i="3"/>
  <c r="M419" i="3"/>
  <c r="U419" i="3"/>
  <c r="AC419" i="3"/>
  <c r="K419" i="3"/>
  <c r="S419" i="3"/>
  <c r="AA419" i="3"/>
  <c r="AC495" i="3"/>
  <c r="S495" i="3"/>
  <c r="G495" i="3"/>
  <c r="W495" i="3"/>
  <c r="I495" i="3"/>
  <c r="Q495" i="3"/>
  <c r="Y495" i="3"/>
  <c r="C25" i="1"/>
  <c r="J25" i="1" s="1"/>
  <c r="C31" i="1"/>
  <c r="F21" i="1" l="1"/>
  <c r="I21" i="1"/>
  <c r="G34" i="1"/>
  <c r="H34" i="1"/>
  <c r="H21" i="1"/>
  <c r="J21" i="1"/>
  <c r="C23" i="2" s="1"/>
  <c r="D23" i="2" s="1"/>
  <c r="E21" i="1"/>
  <c r="D21" i="1"/>
  <c r="G39" i="1"/>
  <c r="H39" i="1"/>
  <c r="E34" i="1"/>
  <c r="F34" i="1"/>
  <c r="J34" i="1"/>
  <c r="C36" i="2" s="1"/>
  <c r="D36" i="2" s="1"/>
  <c r="I34" i="1"/>
  <c r="E51" i="2"/>
  <c r="F51" i="2" s="1"/>
  <c r="J51" i="2" s="1"/>
  <c r="I32" i="1"/>
  <c r="E32" i="1"/>
  <c r="J32" i="1"/>
  <c r="C34" i="2" s="1"/>
  <c r="G32" i="1"/>
  <c r="H32" i="1"/>
  <c r="D32" i="1"/>
  <c r="F32" i="1"/>
  <c r="L17" i="1" a="1"/>
  <c r="L23" i="1" s="1"/>
  <c r="F38" i="1"/>
  <c r="D38" i="1"/>
  <c r="F42" i="1"/>
  <c r="E42" i="1"/>
  <c r="H24" i="1"/>
  <c r="E24" i="1"/>
  <c r="E39" i="1"/>
  <c r="F39" i="1"/>
  <c r="I39" i="1"/>
  <c r="D17" i="1"/>
  <c r="H17" i="1"/>
  <c r="I38" i="1"/>
  <c r="H38" i="1"/>
  <c r="J38" i="1"/>
  <c r="C40" i="2" s="1"/>
  <c r="G43" i="1"/>
  <c r="H43" i="1"/>
  <c r="I30" i="1"/>
  <c r="F30" i="1"/>
  <c r="F41" i="1"/>
  <c r="I41" i="1"/>
  <c r="D41" i="1"/>
  <c r="H37" i="1"/>
  <c r="E37" i="1"/>
  <c r="J29" i="1"/>
  <c r="C31" i="2" s="1"/>
  <c r="D31" i="2" s="1"/>
  <c r="H29" i="1"/>
  <c r="J28" i="1"/>
  <c r="C30" i="2" s="1"/>
  <c r="H28" i="1"/>
  <c r="F28" i="1"/>
  <c r="G17" i="1"/>
  <c r="I17" i="1"/>
  <c r="E17" i="1"/>
  <c r="F17" i="1"/>
  <c r="H42" i="1"/>
  <c r="G42" i="1"/>
  <c r="J42" i="1"/>
  <c r="C44" i="2" s="1"/>
  <c r="D44" i="2" s="1"/>
  <c r="I42" i="1"/>
  <c r="E38" i="1"/>
  <c r="G38" i="1"/>
  <c r="I43" i="1"/>
  <c r="E43" i="1"/>
  <c r="J43" i="1"/>
  <c r="C45" i="2" s="1"/>
  <c r="D45" i="2" s="1"/>
  <c r="F43" i="1"/>
  <c r="G30" i="1"/>
  <c r="D30" i="1"/>
  <c r="E30" i="1"/>
  <c r="H30" i="1"/>
  <c r="J30" i="1"/>
  <c r="C32" i="2" s="1"/>
  <c r="D32" i="2" s="1"/>
  <c r="J24" i="1"/>
  <c r="C26" i="2" s="1"/>
  <c r="G24" i="1"/>
  <c r="D24" i="1"/>
  <c r="I24" i="1"/>
  <c r="D29" i="1"/>
  <c r="I29" i="1"/>
  <c r="F29" i="1"/>
  <c r="G29" i="1"/>
  <c r="D28" i="1"/>
  <c r="G28" i="1"/>
  <c r="I28" i="1"/>
  <c r="G35" i="1"/>
  <c r="D35" i="1"/>
  <c r="E23" i="1"/>
  <c r="G23" i="1"/>
  <c r="F23" i="1"/>
  <c r="D23" i="1"/>
  <c r="G37" i="1"/>
  <c r="J37" i="1"/>
  <c r="C39" i="2" s="1"/>
  <c r="D39" i="2" s="1"/>
  <c r="I37" i="1"/>
  <c r="F37" i="1"/>
  <c r="I27" i="1"/>
  <c r="G27" i="1"/>
  <c r="J20" i="1"/>
  <c r="C22" i="2" s="1"/>
  <c r="D22" i="2" s="1"/>
  <c r="F20" i="1"/>
  <c r="G20" i="1"/>
  <c r="J18" i="1"/>
  <c r="C20" i="2" s="1"/>
  <c r="F18" i="1"/>
  <c r="D45" i="1"/>
  <c r="F45" i="1"/>
  <c r="G18" i="1"/>
  <c r="H18" i="1"/>
  <c r="E18" i="1"/>
  <c r="D18" i="1"/>
  <c r="I23" i="1"/>
  <c r="J23" i="1"/>
  <c r="C25" i="2" s="1"/>
  <c r="D25" i="2" s="1"/>
  <c r="H23" i="1"/>
  <c r="H41" i="1"/>
  <c r="J41" i="1"/>
  <c r="C43" i="2" s="1"/>
  <c r="D43" i="2" s="1"/>
  <c r="G41" i="1"/>
  <c r="E41" i="1"/>
  <c r="F35" i="1"/>
  <c r="J35" i="1"/>
  <c r="C37" i="2" s="1"/>
  <c r="D37" i="2" s="1"/>
  <c r="H33" i="1"/>
  <c r="I33" i="1"/>
  <c r="F33" i="1"/>
  <c r="I22" i="1"/>
  <c r="F22" i="1"/>
  <c r="H22" i="1"/>
  <c r="F44" i="1"/>
  <c r="J44" i="1"/>
  <c r="C46" i="2" s="1"/>
  <c r="D46" i="2" s="1"/>
  <c r="I35" i="1"/>
  <c r="H35" i="1"/>
  <c r="E35" i="1"/>
  <c r="E27" i="1"/>
  <c r="J27" i="1"/>
  <c r="C29" i="2" s="1"/>
  <c r="D29" i="2" s="1"/>
  <c r="F27" i="1"/>
  <c r="D27" i="1"/>
  <c r="H27" i="1"/>
  <c r="G33" i="1"/>
  <c r="J33" i="1"/>
  <c r="C35" i="2" s="1"/>
  <c r="D35" i="2" s="1"/>
  <c r="E33" i="1"/>
  <c r="E45" i="1"/>
  <c r="I45" i="1"/>
  <c r="G45" i="1"/>
  <c r="J45" i="1"/>
  <c r="C47" i="2" s="1"/>
  <c r="D47" i="2" s="1"/>
  <c r="G22" i="1"/>
  <c r="J22" i="1"/>
  <c r="C24" i="2" s="1"/>
  <c r="D24" i="2" s="1"/>
  <c r="E22" i="1"/>
  <c r="H20" i="1"/>
  <c r="I20" i="1"/>
  <c r="E20" i="1"/>
  <c r="D20" i="1"/>
  <c r="I44" i="1"/>
  <c r="E44" i="1"/>
  <c r="G44" i="1"/>
  <c r="H44" i="1"/>
  <c r="E38" i="2"/>
  <c r="F38" i="2" s="1"/>
  <c r="E21" i="2"/>
  <c r="F21" i="2" s="1"/>
  <c r="E25" i="2"/>
  <c r="F25" i="2" s="1"/>
  <c r="H25" i="2" s="1"/>
  <c r="I25" i="2" s="1"/>
  <c r="E37" i="2"/>
  <c r="F37" i="2" s="1"/>
  <c r="G37" i="2" s="1"/>
  <c r="E42" i="2"/>
  <c r="F42" i="2" s="1"/>
  <c r="L26" i="1"/>
  <c r="C27" i="2"/>
  <c r="L29" i="1"/>
  <c r="I26" i="1"/>
  <c r="D26" i="1"/>
  <c r="J26" i="1"/>
  <c r="C28" i="2" s="1"/>
  <c r="D28" i="2" s="1"/>
  <c r="F26" i="1"/>
  <c r="H26" i="1"/>
  <c r="E26" i="1"/>
  <c r="G25" i="1"/>
  <c r="H25" i="1"/>
  <c r="F25" i="1"/>
  <c r="I25" i="1"/>
  <c r="D31" i="1"/>
  <c r="H31" i="1"/>
  <c r="E31" i="1"/>
  <c r="E25" i="1"/>
  <c r="D25" i="1"/>
  <c r="G31" i="1"/>
  <c r="J31" i="1"/>
  <c r="C33" i="2" s="1"/>
  <c r="D33" i="2" s="1"/>
  <c r="I31" i="1"/>
  <c r="F31" i="1"/>
  <c r="J38" i="2" l="1"/>
  <c r="D27" i="2"/>
  <c r="E27" i="2" s="1"/>
  <c r="D34" i="2"/>
  <c r="E34" i="2" s="1"/>
  <c r="F34" i="2" s="1"/>
  <c r="D20" i="2"/>
  <c r="E20" i="2" s="1"/>
  <c r="F20" i="2" s="1"/>
  <c r="D26" i="2"/>
  <c r="E26" i="2" s="1"/>
  <c r="F26" i="2" s="1"/>
  <c r="D30" i="2"/>
  <c r="E30" i="2" s="1"/>
  <c r="F30" i="2" s="1"/>
  <c r="D40" i="2"/>
  <c r="E40" i="2" s="1"/>
  <c r="K42" i="2"/>
  <c r="H51" i="2"/>
  <c r="I51" i="2" s="1"/>
  <c r="K51" i="2"/>
  <c r="G51" i="2"/>
  <c r="L20" i="1"/>
  <c r="L28" i="1"/>
  <c r="L21" i="1"/>
  <c r="L27" i="1"/>
  <c r="L22" i="1"/>
  <c r="L25" i="1"/>
  <c r="L24" i="1"/>
  <c r="L18" i="1"/>
  <c r="L17" i="1"/>
  <c r="L19" i="1"/>
  <c r="G21" i="2"/>
  <c r="C423" i="3" s="1"/>
  <c r="K21" i="2"/>
  <c r="K25" i="2"/>
  <c r="K38" i="2"/>
  <c r="G42" i="2"/>
  <c r="C330" i="3" s="1"/>
  <c r="J37" i="2"/>
  <c r="L37" i="2" s="1"/>
  <c r="H37" i="2"/>
  <c r="I37" i="2" s="1"/>
  <c r="K37" i="2"/>
  <c r="J21" i="2"/>
  <c r="H21" i="2"/>
  <c r="I21" i="2" s="1"/>
  <c r="C363" i="3"/>
  <c r="C97" i="3"/>
  <c r="H42" i="2"/>
  <c r="I42" i="2" s="1"/>
  <c r="J42" i="2"/>
  <c r="J25" i="2"/>
  <c r="G25" i="2"/>
  <c r="C731" i="3" s="1"/>
  <c r="G38" i="2"/>
  <c r="C744" i="3" s="1"/>
  <c r="H38" i="2"/>
  <c r="I38" i="2" s="1"/>
  <c r="E28" i="2"/>
  <c r="F28" i="2" s="1"/>
  <c r="C173" i="3"/>
  <c r="C249" i="3"/>
  <c r="C401" i="3"/>
  <c r="C439" i="3"/>
  <c r="C477" i="3"/>
  <c r="C667" i="3"/>
  <c r="C705" i="3"/>
  <c r="C591" i="3"/>
  <c r="C211" i="3"/>
  <c r="C629" i="3"/>
  <c r="C325" i="3"/>
  <c r="C743" i="3"/>
  <c r="C515" i="3"/>
  <c r="C135" i="3"/>
  <c r="C553" i="3"/>
  <c r="C287" i="3"/>
  <c r="L25" i="2" l="1"/>
  <c r="G30" i="2"/>
  <c r="H30" i="2"/>
  <c r="I30" i="2" s="1"/>
  <c r="K30" i="2"/>
  <c r="J30" i="2"/>
  <c r="L30" i="2" s="1"/>
  <c r="L42" i="2"/>
  <c r="L38" i="2"/>
  <c r="L21" i="2"/>
  <c r="H26" i="2"/>
  <c r="I26" i="2" s="1"/>
  <c r="K26" i="2"/>
  <c r="J26" i="2"/>
  <c r="L26" i="2" s="1"/>
  <c r="G26" i="2"/>
  <c r="C732" i="3" s="1"/>
  <c r="G34" i="2"/>
  <c r="K34" i="2"/>
  <c r="J34" i="2"/>
  <c r="L34" i="2" s="1"/>
  <c r="H34" i="2"/>
  <c r="I34" i="2" s="1"/>
  <c r="H20" i="2"/>
  <c r="I20" i="2" s="1"/>
  <c r="G20" i="2"/>
  <c r="J20" i="2"/>
  <c r="L20" i="2" s="1"/>
  <c r="K20" i="2"/>
  <c r="L51" i="2"/>
  <c r="C672" i="3"/>
  <c r="C596" i="3"/>
  <c r="C90" i="3"/>
  <c r="C368" i="3"/>
  <c r="C292" i="3"/>
  <c r="C254" i="3"/>
  <c r="C444" i="3"/>
  <c r="C178" i="3"/>
  <c r="C520" i="3"/>
  <c r="C195" i="3"/>
  <c r="C689" i="3"/>
  <c r="C81" i="3"/>
  <c r="C461" i="3"/>
  <c r="C309" i="3"/>
  <c r="C157" i="3"/>
  <c r="C651" i="3"/>
  <c r="C537" i="3"/>
  <c r="C271" i="3"/>
  <c r="C119" i="3"/>
  <c r="C499" i="3"/>
  <c r="C727" i="3"/>
  <c r="C233" i="3"/>
  <c r="C347" i="3"/>
  <c r="C385" i="3"/>
  <c r="C575" i="3"/>
  <c r="C613" i="3"/>
  <c r="C693" i="3"/>
  <c r="C465" i="3"/>
  <c r="C199" i="3"/>
  <c r="C482" i="3"/>
  <c r="C748" i="3"/>
  <c r="C634" i="3"/>
  <c r="C406" i="3"/>
  <c r="C102" i="3"/>
  <c r="C558" i="3"/>
  <c r="C216" i="3"/>
  <c r="C710" i="3"/>
  <c r="C140" i="3"/>
  <c r="C617" i="3"/>
  <c r="C503" i="3"/>
  <c r="C427" i="3"/>
  <c r="C655" i="3"/>
  <c r="C579" i="3"/>
  <c r="C123" i="3"/>
  <c r="C275" i="3"/>
  <c r="C313" i="3"/>
  <c r="C541" i="3"/>
  <c r="C161" i="3"/>
  <c r="C85" i="3"/>
  <c r="C237" i="3"/>
  <c r="C351" i="3"/>
  <c r="C389" i="3"/>
  <c r="C402" i="3"/>
  <c r="C326" i="3"/>
  <c r="C478" i="3"/>
  <c r="C212" i="3"/>
  <c r="C440" i="3"/>
  <c r="C364" i="3"/>
  <c r="C554" i="3"/>
  <c r="C250" i="3"/>
  <c r="C516" i="3"/>
  <c r="C288" i="3"/>
  <c r="C136" i="3"/>
  <c r="C592" i="3"/>
  <c r="C668" i="3"/>
  <c r="C630" i="3"/>
  <c r="C174" i="3"/>
  <c r="C706" i="3"/>
  <c r="C98" i="3"/>
  <c r="H28" i="2"/>
  <c r="I28" i="2" s="1"/>
  <c r="J28" i="2"/>
  <c r="L28" i="2" s="1"/>
  <c r="K28" i="2"/>
  <c r="G28" i="2"/>
  <c r="C202" i="3" s="1"/>
  <c r="E33" i="2"/>
  <c r="F33" i="2" s="1"/>
  <c r="J33" i="2" s="1"/>
  <c r="F27" i="2"/>
  <c r="F40" i="2"/>
  <c r="K40" i="2" s="1"/>
  <c r="C584" i="3" l="1"/>
  <c r="C470" i="3"/>
  <c r="C422" i="3"/>
  <c r="C194" i="3"/>
  <c r="C166" i="3"/>
  <c r="C660" i="3"/>
  <c r="C504" i="3"/>
  <c r="C352" i="3"/>
  <c r="C428" i="3"/>
  <c r="C460" i="3"/>
  <c r="C688" i="3"/>
  <c r="C612" i="3"/>
  <c r="C200" i="3"/>
  <c r="C580" i="3"/>
  <c r="C390" i="3"/>
  <c r="C466" i="3"/>
  <c r="C204" i="3"/>
  <c r="C432" i="3"/>
  <c r="C318" i="3"/>
  <c r="C394" i="3"/>
  <c r="C270" i="3"/>
  <c r="C80" i="3"/>
  <c r="C650" i="3"/>
  <c r="C118" i="3"/>
  <c r="C498" i="3"/>
  <c r="C726" i="3"/>
  <c r="C156" i="3"/>
  <c r="C232" i="3"/>
  <c r="C384" i="3"/>
  <c r="C346" i="3"/>
  <c r="C308" i="3"/>
  <c r="C574" i="3"/>
  <c r="C536" i="3"/>
  <c r="C656" i="3"/>
  <c r="C276" i="3"/>
  <c r="C314" i="3"/>
  <c r="C542" i="3"/>
  <c r="C618" i="3"/>
  <c r="C162" i="3"/>
  <c r="C694" i="3"/>
  <c r="C86" i="3"/>
  <c r="C124" i="3"/>
  <c r="C238" i="3"/>
  <c r="C242" i="3"/>
  <c r="C622" i="3"/>
  <c r="C736" i="3"/>
  <c r="C698" i="3"/>
  <c r="C128" i="3"/>
  <c r="C356" i="3"/>
  <c r="C546" i="3"/>
  <c r="C280" i="3"/>
  <c r="C508" i="3"/>
  <c r="C512" i="3"/>
  <c r="C436" i="3"/>
  <c r="C246" i="3"/>
  <c r="C626" i="3"/>
  <c r="C474" i="3"/>
  <c r="C284" i="3"/>
  <c r="C360" i="3"/>
  <c r="C702" i="3"/>
  <c r="C588" i="3"/>
  <c r="C170" i="3"/>
  <c r="C664" i="3"/>
  <c r="C132" i="3"/>
  <c r="C208" i="3"/>
  <c r="C398" i="3"/>
  <c r="C550" i="3"/>
  <c r="C740" i="3"/>
  <c r="C322" i="3"/>
  <c r="C94" i="3"/>
  <c r="C696" i="3"/>
  <c r="C506" i="3"/>
  <c r="C430" i="3"/>
  <c r="C316" i="3"/>
  <c r="C278" i="3"/>
  <c r="C734" i="3"/>
  <c r="C658" i="3"/>
  <c r="C164" i="3"/>
  <c r="C544" i="3"/>
  <c r="C88" i="3"/>
  <c r="C126" i="3"/>
  <c r="C354" i="3"/>
  <c r="C468" i="3"/>
  <c r="C582" i="3"/>
  <c r="C240" i="3"/>
  <c r="C392" i="3"/>
  <c r="C620" i="3"/>
  <c r="K33" i="2"/>
  <c r="H33" i="2"/>
  <c r="I33" i="2" s="1"/>
  <c r="G33" i="2"/>
  <c r="C283" i="3" s="1"/>
  <c r="L33" i="2"/>
  <c r="H27" i="2"/>
  <c r="I27" i="2" s="1"/>
  <c r="J27" i="2"/>
  <c r="L27" i="2" s="1"/>
  <c r="H40" i="2"/>
  <c r="I40" i="2" s="1"/>
  <c r="J40" i="2"/>
  <c r="L40" i="2" s="1"/>
  <c r="G40" i="2"/>
  <c r="C746" i="3" s="1"/>
  <c r="G27" i="2"/>
  <c r="C353" i="3" s="1"/>
  <c r="K27" i="2"/>
  <c r="C131" i="3" l="1"/>
  <c r="C701" i="3"/>
  <c r="C397" i="3"/>
  <c r="C625" i="3"/>
  <c r="C359" i="3"/>
  <c r="C587" i="3"/>
  <c r="C321" i="3"/>
  <c r="C169" i="3"/>
  <c r="C245" i="3"/>
  <c r="C207" i="3"/>
  <c r="C663" i="3"/>
  <c r="C473" i="3"/>
  <c r="C93" i="3"/>
  <c r="C435" i="3"/>
  <c r="C549" i="3"/>
  <c r="C511" i="3"/>
  <c r="C739" i="3"/>
  <c r="C201" i="3"/>
  <c r="C125" i="3"/>
  <c r="C467" i="3"/>
  <c r="C391" i="3"/>
  <c r="C315" i="3"/>
  <c r="C277" i="3"/>
  <c r="C733" i="3"/>
  <c r="C429" i="3"/>
  <c r="C556" i="3"/>
  <c r="C138" i="3"/>
  <c r="C214" i="3"/>
  <c r="C328" i="3"/>
  <c r="C176" i="3"/>
  <c r="C632" i="3"/>
  <c r="C480" i="3"/>
  <c r="C366" i="3"/>
  <c r="C290" i="3"/>
  <c r="C100" i="3"/>
  <c r="C670" i="3"/>
  <c r="C518" i="3"/>
  <c r="C442" i="3"/>
  <c r="C404" i="3"/>
  <c r="C594" i="3"/>
  <c r="C252" i="3"/>
  <c r="C708" i="3"/>
  <c r="C657" i="3"/>
  <c r="C695" i="3"/>
  <c r="C163" i="3"/>
  <c r="C87" i="3"/>
  <c r="C239" i="3"/>
  <c r="C505" i="3"/>
  <c r="C543" i="3"/>
  <c r="C581" i="3"/>
  <c r="C619" i="3"/>
  <c r="E45" i="2" l="1"/>
  <c r="F45" i="2" s="1"/>
  <c r="E41" i="2"/>
  <c r="F41" i="2" s="1"/>
  <c r="E29" i="2"/>
  <c r="F29" i="2" s="1"/>
  <c r="E46" i="2"/>
  <c r="F46" i="2" s="1"/>
  <c r="E22" i="2"/>
  <c r="F22" i="2" s="1"/>
  <c r="E47" i="2"/>
  <c r="F47" i="2" s="1"/>
  <c r="E43" i="2"/>
  <c r="F43" i="2" s="1"/>
  <c r="E39" i="2"/>
  <c r="F39" i="2" s="1"/>
  <c r="E35" i="2"/>
  <c r="F35" i="2" s="1"/>
  <c r="E31" i="2"/>
  <c r="F31" i="2" s="1"/>
  <c r="E23" i="2"/>
  <c r="F23" i="2" s="1"/>
  <c r="E19" i="2"/>
  <c r="E44" i="2"/>
  <c r="F44" i="2" s="1"/>
  <c r="E36" i="2"/>
  <c r="F36" i="2" s="1"/>
  <c r="E32" i="2"/>
  <c r="F32" i="2" s="1"/>
  <c r="E24" i="2"/>
  <c r="F24" i="2" s="1"/>
  <c r="F19" i="2" l="1"/>
  <c r="K44" i="2"/>
  <c r="J44" i="2"/>
  <c r="L44" i="2" s="1"/>
  <c r="H44" i="2"/>
  <c r="I44" i="2" s="1"/>
  <c r="G44" i="2"/>
  <c r="K23" i="2"/>
  <c r="H23" i="2"/>
  <c r="I23" i="2" s="1"/>
  <c r="G23" i="2"/>
  <c r="J23" i="2"/>
  <c r="L23" i="2" s="1"/>
  <c r="H35" i="2"/>
  <c r="I35" i="2" s="1"/>
  <c r="G35" i="2"/>
  <c r="J35" i="2"/>
  <c r="L35" i="2" s="1"/>
  <c r="K35" i="2"/>
  <c r="J43" i="2"/>
  <c r="L43" i="2" s="1"/>
  <c r="K43" i="2"/>
  <c r="H43" i="2"/>
  <c r="I43" i="2" s="1"/>
  <c r="G43" i="2"/>
  <c r="J22" i="2"/>
  <c r="L22" i="2" s="1"/>
  <c r="G22" i="2"/>
  <c r="H22" i="2"/>
  <c r="I22" i="2" s="1"/>
  <c r="K22" i="2"/>
  <c r="J29" i="2"/>
  <c r="L29" i="2" s="1"/>
  <c r="K29" i="2"/>
  <c r="G29" i="2"/>
  <c r="H29" i="2"/>
  <c r="I29" i="2" s="1"/>
  <c r="J45" i="2"/>
  <c r="L45" i="2" s="1"/>
  <c r="K45" i="2"/>
  <c r="H45" i="2"/>
  <c r="I45" i="2" s="1"/>
  <c r="G45" i="2"/>
  <c r="G32" i="2"/>
  <c r="H32" i="2"/>
  <c r="I32" i="2" s="1"/>
  <c r="J32" i="2"/>
  <c r="L32" i="2" s="1"/>
  <c r="K32" i="2"/>
  <c r="K36" i="2"/>
  <c r="H36" i="2"/>
  <c r="I36" i="2" s="1"/>
  <c r="G36" i="2"/>
  <c r="J36" i="2"/>
  <c r="L36" i="2" s="1"/>
  <c r="J31" i="2"/>
  <c r="L31" i="2" s="1"/>
  <c r="H31" i="2"/>
  <c r="I31" i="2" s="1"/>
  <c r="G31" i="2"/>
  <c r="K31" i="2"/>
  <c r="K47" i="2"/>
  <c r="H47" i="2"/>
  <c r="I47" i="2" s="1"/>
  <c r="G47" i="2"/>
  <c r="J47" i="2"/>
  <c r="L47" i="2" s="1"/>
  <c r="G46" i="2"/>
  <c r="K46" i="2"/>
  <c r="J46" i="2"/>
  <c r="L46" i="2" s="1"/>
  <c r="H46" i="2"/>
  <c r="I46" i="2" s="1"/>
  <c r="K41" i="2"/>
  <c r="G41" i="2"/>
  <c r="J41" i="2"/>
  <c r="L41" i="2" s="1"/>
  <c r="H41" i="2"/>
  <c r="I41" i="2" s="1"/>
  <c r="H39" i="2"/>
  <c r="I39" i="2" s="1"/>
  <c r="J39" i="2"/>
  <c r="L39" i="2" s="1"/>
  <c r="G39" i="2"/>
  <c r="K39" i="2"/>
  <c r="H24" i="2"/>
  <c r="I24" i="2" s="1"/>
  <c r="K24" i="2"/>
  <c r="J24" i="2"/>
  <c r="L24" i="2" s="1"/>
  <c r="G24" i="2"/>
  <c r="K19" i="2" l="1"/>
  <c r="C266" i="3"/>
  <c r="F268" i="3" s="1" a="1"/>
  <c r="AG294" i="3" s="1"/>
  <c r="C684" i="3"/>
  <c r="F686" i="3" s="1" a="1"/>
  <c r="C722" i="3"/>
  <c r="F724" i="3" s="1" a="1"/>
  <c r="G19" i="2"/>
  <c r="C459" i="3" s="1"/>
  <c r="C190" i="3"/>
  <c r="F192" i="3" s="1" a="1"/>
  <c r="C76" i="3"/>
  <c r="F78" i="3" s="1" a="1"/>
  <c r="C570" i="3"/>
  <c r="F572" i="3" s="1" a="1"/>
  <c r="C456" i="3"/>
  <c r="F458" i="3" s="1" a="1"/>
  <c r="O13" i="2"/>
  <c r="N18" i="2" s="1" a="1"/>
  <c r="C304" i="3"/>
  <c r="F306" i="3" s="1" a="1"/>
  <c r="AD313" i="3" s="1"/>
  <c r="C152" i="3"/>
  <c r="F154" i="3" s="1" a="1"/>
  <c r="C646" i="3"/>
  <c r="F648" i="3" s="1" a="1"/>
  <c r="H19" i="2"/>
  <c r="I19" i="2" s="1"/>
  <c r="C342" i="3"/>
  <c r="F344" i="3" s="1" a="1"/>
  <c r="P349" i="3" s="1"/>
  <c r="C532" i="3"/>
  <c r="F534" i="3" s="1" a="1"/>
  <c r="AH553" i="3" s="1"/>
  <c r="J19" i="2"/>
  <c r="L19" i="2" s="1"/>
  <c r="C114" i="3"/>
  <c r="F116" i="3" s="1" a="1"/>
  <c r="Y118" i="3" s="1"/>
  <c r="C608" i="3"/>
  <c r="F610" i="3" s="1" a="1"/>
  <c r="V634" i="3" s="1"/>
  <c r="C380" i="3"/>
  <c r="F382" i="3" s="1" a="1"/>
  <c r="C228" i="3"/>
  <c r="F230" i="3" s="1" a="1"/>
  <c r="P241" i="3" s="1"/>
  <c r="C418" i="3"/>
  <c r="F420" i="3" s="1" a="1"/>
  <c r="AI443" i="3" s="1"/>
  <c r="C494" i="3"/>
  <c r="F496" i="3" s="1" a="1"/>
  <c r="K508" i="3" s="1"/>
  <c r="C251" i="3"/>
  <c r="C175" i="3"/>
  <c r="C669" i="3"/>
  <c r="C631" i="3"/>
  <c r="C213" i="3"/>
  <c r="C441" i="3"/>
  <c r="C365" i="3"/>
  <c r="C745" i="3"/>
  <c r="C327" i="3"/>
  <c r="C99" i="3"/>
  <c r="C707" i="3"/>
  <c r="C555" i="3"/>
  <c r="C137" i="3"/>
  <c r="C479" i="3"/>
  <c r="C403" i="3"/>
  <c r="C593" i="3"/>
  <c r="C289" i="3"/>
  <c r="C517" i="3"/>
  <c r="C350" i="3"/>
  <c r="C274" i="3"/>
  <c r="C312" i="3"/>
  <c r="C464" i="3"/>
  <c r="C692" i="3"/>
  <c r="C84" i="3"/>
  <c r="C122" i="3"/>
  <c r="C730" i="3"/>
  <c r="C198" i="3"/>
  <c r="C654" i="3"/>
  <c r="C540" i="3"/>
  <c r="C426" i="3"/>
  <c r="C578" i="3"/>
  <c r="C502" i="3"/>
  <c r="C388" i="3"/>
  <c r="C160" i="3"/>
  <c r="C236" i="3"/>
  <c r="C616" i="3"/>
  <c r="C253" i="3"/>
  <c r="C215" i="3"/>
  <c r="C519" i="3"/>
  <c r="C177" i="3"/>
  <c r="C671" i="3"/>
  <c r="C443" i="3"/>
  <c r="C367" i="3"/>
  <c r="C329" i="3"/>
  <c r="C595" i="3"/>
  <c r="C139" i="3"/>
  <c r="C557" i="3"/>
  <c r="C101" i="3"/>
  <c r="C709" i="3"/>
  <c r="C481" i="3"/>
  <c r="C405" i="3"/>
  <c r="C291" i="3"/>
  <c r="C633" i="3"/>
  <c r="C747" i="3"/>
  <c r="AG733" i="3"/>
  <c r="C523" i="3"/>
  <c r="C599" i="3"/>
  <c r="C257" i="3"/>
  <c r="C675" i="3"/>
  <c r="C409" i="3"/>
  <c r="C295" i="3"/>
  <c r="C333" i="3"/>
  <c r="C713" i="3"/>
  <c r="C447" i="3"/>
  <c r="C561" i="3"/>
  <c r="C637" i="3"/>
  <c r="C181" i="3"/>
  <c r="C485" i="3"/>
  <c r="C143" i="3"/>
  <c r="C219" i="3"/>
  <c r="C105" i="3"/>
  <c r="C751" i="3"/>
  <c r="C371" i="3"/>
  <c r="C728" i="3"/>
  <c r="C196" i="3"/>
  <c r="C500" i="3"/>
  <c r="C652" i="3"/>
  <c r="C690" i="3"/>
  <c r="C614" i="3"/>
  <c r="C120" i="3"/>
  <c r="C462" i="3"/>
  <c r="C576" i="3"/>
  <c r="C272" i="3"/>
  <c r="C234" i="3"/>
  <c r="C310" i="3"/>
  <c r="C158" i="3"/>
  <c r="C82" i="3"/>
  <c r="C538" i="3"/>
  <c r="C424" i="3"/>
  <c r="C386" i="3"/>
  <c r="C348" i="3"/>
  <c r="C635" i="3"/>
  <c r="C521" i="3"/>
  <c r="C217" i="3"/>
  <c r="C559" i="3"/>
  <c r="C749" i="3"/>
  <c r="C483" i="3"/>
  <c r="C445" i="3"/>
  <c r="C407" i="3"/>
  <c r="C369" i="3"/>
  <c r="C293" i="3"/>
  <c r="C331" i="3"/>
  <c r="C597" i="3"/>
  <c r="C141" i="3"/>
  <c r="C255" i="3"/>
  <c r="C103" i="3"/>
  <c r="C179" i="3"/>
  <c r="C711" i="3"/>
  <c r="C673" i="3"/>
  <c r="C627" i="3"/>
  <c r="C551" i="3"/>
  <c r="C437" i="3"/>
  <c r="C665" i="3"/>
  <c r="C323" i="3"/>
  <c r="C285" i="3"/>
  <c r="C741" i="3"/>
  <c r="C475" i="3"/>
  <c r="C361" i="3"/>
  <c r="C589" i="3"/>
  <c r="C513" i="3"/>
  <c r="C247" i="3"/>
  <c r="C703" i="3"/>
  <c r="C209" i="3"/>
  <c r="C133" i="3"/>
  <c r="C399" i="3"/>
  <c r="C171" i="3"/>
  <c r="C95" i="3"/>
  <c r="C636" i="3"/>
  <c r="C408" i="3"/>
  <c r="C294" i="3"/>
  <c r="C142" i="3"/>
  <c r="C256" i="3"/>
  <c r="C332" i="3"/>
  <c r="C104" i="3"/>
  <c r="C180" i="3"/>
  <c r="C560" i="3"/>
  <c r="C674" i="3"/>
  <c r="C446" i="3"/>
  <c r="C484" i="3"/>
  <c r="C218" i="3"/>
  <c r="C598" i="3"/>
  <c r="C370" i="3"/>
  <c r="C712" i="3"/>
  <c r="C522" i="3"/>
  <c r="C750" i="3"/>
  <c r="C562" i="3"/>
  <c r="C296" i="3"/>
  <c r="C600" i="3"/>
  <c r="C486" i="3"/>
  <c r="C752" i="3"/>
  <c r="C410" i="3"/>
  <c r="C448" i="3"/>
  <c r="C334" i="3"/>
  <c r="C372" i="3"/>
  <c r="C144" i="3"/>
  <c r="C220" i="3"/>
  <c r="C258" i="3"/>
  <c r="C524" i="3"/>
  <c r="C106" i="3"/>
  <c r="C714" i="3"/>
  <c r="C182" i="3"/>
  <c r="C638" i="3"/>
  <c r="C676" i="3"/>
  <c r="C677" i="3"/>
  <c r="C487" i="3"/>
  <c r="C411" i="3"/>
  <c r="C601" i="3"/>
  <c r="C715" i="3"/>
  <c r="C259" i="3"/>
  <c r="C183" i="3"/>
  <c r="C639" i="3"/>
  <c r="C335" i="3"/>
  <c r="C525" i="3"/>
  <c r="C449" i="3"/>
  <c r="C753" i="3"/>
  <c r="C221" i="3"/>
  <c r="C563" i="3"/>
  <c r="C107" i="3"/>
  <c r="C297" i="3"/>
  <c r="C373" i="3"/>
  <c r="C145" i="3"/>
  <c r="C319" i="3"/>
  <c r="C281" i="3"/>
  <c r="C737" i="3"/>
  <c r="C167" i="3"/>
  <c r="C471" i="3"/>
  <c r="C623" i="3"/>
  <c r="C547" i="3"/>
  <c r="C91" i="3"/>
  <c r="C395" i="3"/>
  <c r="C205" i="3"/>
  <c r="C129" i="3"/>
  <c r="C243" i="3"/>
  <c r="C661" i="3"/>
  <c r="C357" i="3"/>
  <c r="C585" i="3"/>
  <c r="C509" i="3"/>
  <c r="C699" i="3"/>
  <c r="C433" i="3"/>
  <c r="C210" i="3"/>
  <c r="C96" i="3"/>
  <c r="C742" i="3"/>
  <c r="C400" i="3"/>
  <c r="C476" i="3"/>
  <c r="C590" i="3"/>
  <c r="C362" i="3"/>
  <c r="C248" i="3"/>
  <c r="C438" i="3"/>
  <c r="C324" i="3"/>
  <c r="C172" i="3"/>
  <c r="C134" i="3"/>
  <c r="C286" i="3"/>
  <c r="C552" i="3"/>
  <c r="C514" i="3"/>
  <c r="C704" i="3"/>
  <c r="C666" i="3"/>
  <c r="C628" i="3"/>
  <c r="C472" i="3"/>
  <c r="C282" i="3"/>
  <c r="C396" i="3"/>
  <c r="C700" i="3"/>
  <c r="C244" i="3"/>
  <c r="C738" i="3"/>
  <c r="C586" i="3"/>
  <c r="C168" i="3"/>
  <c r="C320" i="3"/>
  <c r="C510" i="3"/>
  <c r="C206" i="3"/>
  <c r="C624" i="3"/>
  <c r="C358" i="3"/>
  <c r="C130" i="3"/>
  <c r="C548" i="3"/>
  <c r="C662" i="3"/>
  <c r="C92" i="3"/>
  <c r="C434" i="3"/>
  <c r="O295" i="3"/>
  <c r="C279" i="3"/>
  <c r="C735" i="3"/>
  <c r="C583" i="3"/>
  <c r="C89" i="3"/>
  <c r="C545" i="3"/>
  <c r="C317" i="3"/>
  <c r="C393" i="3"/>
  <c r="C165" i="3"/>
  <c r="C431" i="3"/>
  <c r="C127" i="3"/>
  <c r="C621" i="3"/>
  <c r="C355" i="3"/>
  <c r="C469" i="3"/>
  <c r="C507" i="3"/>
  <c r="C203" i="3"/>
  <c r="C241" i="3"/>
  <c r="C697" i="3"/>
  <c r="C659" i="3"/>
  <c r="C615" i="3"/>
  <c r="C577" i="3"/>
  <c r="C387" i="3"/>
  <c r="C349" i="3"/>
  <c r="C235" i="3"/>
  <c r="C83" i="3"/>
  <c r="C729" i="3"/>
  <c r="C539" i="3"/>
  <c r="C501" i="3"/>
  <c r="C311" i="3"/>
  <c r="C197" i="3"/>
  <c r="C159" i="3"/>
  <c r="C691" i="3"/>
  <c r="C653" i="3"/>
  <c r="C463" i="3"/>
  <c r="C425" i="3"/>
  <c r="C273" i="3"/>
  <c r="C121" i="3"/>
  <c r="AI270" i="3" l="1"/>
  <c r="O292" i="3"/>
  <c r="G296" i="3"/>
  <c r="J726" i="3"/>
  <c r="AD726" i="3"/>
  <c r="N286" i="3"/>
  <c r="U276" i="3"/>
  <c r="S283" i="3"/>
  <c r="AD272" i="3"/>
  <c r="Q288" i="3"/>
  <c r="P293" i="3"/>
  <c r="T741" i="3"/>
  <c r="O735" i="3"/>
  <c r="Z270" i="3"/>
  <c r="I283" i="3"/>
  <c r="K285" i="3"/>
  <c r="AE283" i="3"/>
  <c r="W296" i="3"/>
  <c r="Y276" i="3"/>
  <c r="T284" i="3"/>
  <c r="F291" i="3"/>
  <c r="AG281" i="3"/>
  <c r="AA291" i="3"/>
  <c r="AE281" i="3"/>
  <c r="AH276" i="3"/>
  <c r="AE726" i="3"/>
  <c r="P746" i="3"/>
  <c r="P741" i="3"/>
  <c r="AG745" i="3"/>
  <c r="AC734" i="3"/>
  <c r="M283" i="3"/>
  <c r="F284" i="3"/>
  <c r="K270" i="3"/>
  <c r="Y285" i="3"/>
  <c r="AF286" i="3"/>
  <c r="AE284" i="3"/>
  <c r="AF274" i="3"/>
  <c r="X287" i="3"/>
  <c r="AH290" i="3"/>
  <c r="L283" i="3"/>
  <c r="AA281" i="3"/>
  <c r="R289" i="3"/>
  <c r="L293" i="3"/>
  <c r="S282" i="3"/>
  <c r="J294" i="3"/>
  <c r="R272" i="3"/>
  <c r="W293" i="3"/>
  <c r="AE293" i="3"/>
  <c r="V282" i="3"/>
  <c r="AC289" i="3"/>
  <c r="K294" i="3"/>
  <c r="T273" i="3"/>
  <c r="R282" i="3"/>
  <c r="V744" i="3"/>
  <c r="Y724" i="3"/>
  <c r="AI727" i="3"/>
  <c r="N735" i="3"/>
  <c r="P745" i="3"/>
  <c r="AB736" i="3"/>
  <c r="AF743" i="3"/>
  <c r="T742" i="3"/>
  <c r="V746" i="3"/>
  <c r="H308" i="3"/>
  <c r="W316" i="3"/>
  <c r="AA321" i="3"/>
  <c r="AF335" i="3"/>
  <c r="AI325" i="3"/>
  <c r="G485" i="3"/>
  <c r="AD486" i="3"/>
  <c r="Q695" i="3"/>
  <c r="AD706" i="3"/>
  <c r="M174" i="3"/>
  <c r="S176" i="3"/>
  <c r="Y321" i="3"/>
  <c r="F323" i="3"/>
  <c r="AC317" i="3"/>
  <c r="J307" i="3"/>
  <c r="K316" i="3"/>
  <c r="AH331" i="3"/>
  <c r="M740" i="3"/>
  <c r="V742" i="3"/>
  <c r="Y741" i="3"/>
  <c r="T735" i="3"/>
  <c r="AA736" i="3"/>
  <c r="N724" i="3"/>
  <c r="N725" i="3"/>
  <c r="AG730" i="3"/>
  <c r="AD733" i="3"/>
  <c r="AB744" i="3"/>
  <c r="AG726" i="3"/>
  <c r="AC728" i="3"/>
  <c r="AH733" i="3"/>
  <c r="L741" i="3"/>
  <c r="V735" i="3"/>
  <c r="R736" i="3"/>
  <c r="AC750" i="3"/>
  <c r="AE725" i="3"/>
  <c r="U749" i="3"/>
  <c r="AC280" i="3"/>
  <c r="L292" i="3"/>
  <c r="X276" i="3"/>
  <c r="Y272" i="3"/>
  <c r="N279" i="3"/>
  <c r="S291" i="3"/>
  <c r="W276" i="3"/>
  <c r="M297" i="3"/>
  <c r="AI268" i="3"/>
  <c r="AI273" i="3"/>
  <c r="J274" i="3"/>
  <c r="N271" i="3"/>
  <c r="U286" i="3"/>
  <c r="N295" i="3"/>
  <c r="V278" i="3"/>
  <c r="AC268" i="3"/>
  <c r="AF284" i="3"/>
  <c r="O291" i="3"/>
  <c r="Y275" i="3"/>
  <c r="AD270" i="3"/>
  <c r="M282" i="3"/>
  <c r="T295" i="3"/>
  <c r="F270" i="3"/>
  <c r="AD274" i="3"/>
  <c r="Z281" i="3"/>
  <c r="AG286" i="3"/>
  <c r="F282" i="3"/>
  <c r="AH285" i="3"/>
  <c r="AA294" i="3"/>
  <c r="G293" i="3"/>
  <c r="AH284" i="3"/>
  <c r="S285" i="3"/>
  <c r="U287" i="3"/>
  <c r="AE278" i="3"/>
  <c r="AF277" i="3"/>
  <c r="AB272" i="3"/>
  <c r="T272" i="3"/>
  <c r="R283" i="3"/>
  <c r="AF287" i="3"/>
  <c r="AH293" i="3"/>
  <c r="X289" i="3"/>
  <c r="K291" i="3"/>
  <c r="L273" i="3"/>
  <c r="W282" i="3"/>
  <c r="R269" i="3"/>
  <c r="AG288" i="3"/>
  <c r="AD369" i="3"/>
  <c r="M361" i="3"/>
  <c r="AG344" i="3"/>
  <c r="H362" i="3"/>
  <c r="X355" i="3"/>
  <c r="U369" i="3"/>
  <c r="L368" i="3"/>
  <c r="X673" i="3"/>
  <c r="W670" i="3"/>
  <c r="P667" i="3"/>
  <c r="O675" i="3"/>
  <c r="X315" i="3"/>
  <c r="R308" i="3"/>
  <c r="K314" i="3"/>
  <c r="U334" i="3"/>
  <c r="AC314" i="3"/>
  <c r="J314" i="3"/>
  <c r="M333" i="3"/>
  <c r="AG319" i="3"/>
  <c r="J323" i="3"/>
  <c r="R315" i="3"/>
  <c r="AG311" i="3"/>
  <c r="S324" i="3"/>
  <c r="G322" i="3"/>
  <c r="L311" i="3"/>
  <c r="R320" i="3"/>
  <c r="AE315" i="3"/>
  <c r="L317" i="3"/>
  <c r="S307" i="3"/>
  <c r="X327" i="3"/>
  <c r="R323" i="3"/>
  <c r="J332" i="3"/>
  <c r="F313" i="3"/>
  <c r="P332" i="3"/>
  <c r="AD316" i="3"/>
  <c r="Z315" i="3"/>
  <c r="AF323" i="3"/>
  <c r="S319" i="3"/>
  <c r="AI322" i="3"/>
  <c r="F307" i="3"/>
  <c r="W332" i="3"/>
  <c r="R309" i="3"/>
  <c r="O308" i="3"/>
  <c r="AD312" i="3"/>
  <c r="K334" i="3"/>
  <c r="L326" i="3"/>
  <c r="M312" i="3"/>
  <c r="M331" i="3"/>
  <c r="Q334" i="3"/>
  <c r="W325" i="3"/>
  <c r="S312" i="3"/>
  <c r="J310" i="3"/>
  <c r="X332" i="3"/>
  <c r="AD327" i="3"/>
  <c r="I314" i="3"/>
  <c r="L308" i="3"/>
  <c r="W318" i="3"/>
  <c r="H328" i="3"/>
  <c r="Y314" i="3"/>
  <c r="I334" i="3"/>
  <c r="P307" i="3"/>
  <c r="G331" i="3"/>
  <c r="M321" i="3"/>
  <c r="S331" i="3"/>
  <c r="L335" i="3"/>
  <c r="S326" i="3"/>
  <c r="H319" i="3"/>
  <c r="K307" i="3"/>
  <c r="Z334" i="3"/>
  <c r="Y313" i="3"/>
  <c r="M325" i="3"/>
  <c r="G334" i="3"/>
  <c r="W327" i="3"/>
  <c r="AA309" i="3"/>
  <c r="L306" i="3"/>
  <c r="S315" i="3"/>
  <c r="F319" i="3"/>
  <c r="AF311" i="3"/>
  <c r="AH313" i="3"/>
  <c r="P320" i="3"/>
  <c r="V317" i="3"/>
  <c r="T306" i="3"/>
  <c r="M324" i="3"/>
  <c r="I326" i="3"/>
  <c r="X331" i="3"/>
  <c r="Q322" i="3"/>
  <c r="U325" i="3"/>
  <c r="AH329" i="3"/>
  <c r="K317" i="3"/>
  <c r="G312" i="3"/>
  <c r="AB306" i="3"/>
  <c r="O333" i="3"/>
  <c r="M482" i="3"/>
  <c r="P461" i="3"/>
  <c r="AC480" i="3"/>
  <c r="H487" i="3"/>
  <c r="W468" i="3"/>
  <c r="AF468" i="3"/>
  <c r="N460" i="3"/>
  <c r="AB474" i="3"/>
  <c r="AG484" i="3"/>
  <c r="AF461" i="3"/>
  <c r="Z483" i="3"/>
  <c r="AA465" i="3"/>
  <c r="AI472" i="3"/>
  <c r="AD473" i="3"/>
  <c r="N486" i="3"/>
  <c r="Q466" i="3"/>
  <c r="X476" i="3"/>
  <c r="V100" i="3"/>
  <c r="AI94" i="3"/>
  <c r="AF101" i="3"/>
  <c r="J100" i="3"/>
  <c r="Q746" i="3"/>
  <c r="G745" i="3"/>
  <c r="H730" i="3"/>
  <c r="W744" i="3"/>
  <c r="P725" i="3"/>
  <c r="J743" i="3"/>
  <c r="AB728" i="3"/>
  <c r="Y736" i="3"/>
  <c r="N740" i="3"/>
  <c r="K751" i="3"/>
  <c r="S742" i="3"/>
  <c r="Q741" i="3"/>
  <c r="Z729" i="3"/>
  <c r="T730" i="3"/>
  <c r="AI752" i="3"/>
  <c r="AF735" i="3"/>
  <c r="AG737" i="3"/>
  <c r="T745" i="3"/>
  <c r="W739" i="3"/>
  <c r="J739" i="3"/>
  <c r="O749" i="3"/>
  <c r="S749" i="3"/>
  <c r="AI731" i="3"/>
  <c r="AC724" i="3"/>
  <c r="Q735" i="3"/>
  <c r="O728" i="3"/>
  <c r="F735" i="3"/>
  <c r="AI753" i="3"/>
  <c r="S738" i="3"/>
  <c r="F745" i="3"/>
  <c r="Z726" i="3"/>
  <c r="AG738" i="3"/>
  <c r="R747" i="3"/>
  <c r="Z728" i="3"/>
  <c r="X730" i="3"/>
  <c r="K743" i="3"/>
  <c r="W753" i="3"/>
  <c r="S731" i="3"/>
  <c r="X735" i="3"/>
  <c r="Z747" i="3"/>
  <c r="X753" i="3"/>
  <c r="Q740" i="3"/>
  <c r="AF730" i="3"/>
  <c r="N749" i="3"/>
  <c r="W742" i="3"/>
  <c r="S729" i="3"/>
  <c r="AH725" i="3"/>
  <c r="O745" i="3"/>
  <c r="J733" i="3"/>
  <c r="AI732" i="3"/>
  <c r="AD728" i="3"/>
  <c r="AD730" i="3"/>
  <c r="AB731" i="3"/>
  <c r="H735" i="3"/>
  <c r="U752" i="3"/>
  <c r="AH731" i="3"/>
  <c r="L731" i="3"/>
  <c r="AI734" i="3"/>
  <c r="Z741" i="3"/>
  <c r="AH745" i="3"/>
  <c r="I736" i="3"/>
  <c r="L732" i="3"/>
  <c r="AE728" i="3"/>
  <c r="W737" i="3"/>
  <c r="Y729" i="3"/>
  <c r="AF725" i="3"/>
  <c r="K748" i="3"/>
  <c r="AF727" i="3"/>
  <c r="I751" i="3"/>
  <c r="Q724" i="3"/>
  <c r="T726" i="3"/>
  <c r="W741" i="3"/>
  <c r="T732" i="3"/>
  <c r="AB745" i="3"/>
  <c r="W726" i="3"/>
  <c r="Y726" i="3"/>
  <c r="J747" i="3"/>
  <c r="F739" i="3"/>
  <c r="AH724" i="3"/>
  <c r="L748" i="3"/>
  <c r="AD725" i="3"/>
  <c r="AD749" i="3"/>
  <c r="M731" i="3"/>
  <c r="G743" i="3"/>
  <c r="H734" i="3"/>
  <c r="O740" i="3"/>
  <c r="AB733" i="3"/>
  <c r="U742" i="3"/>
  <c r="X745" i="3"/>
  <c r="P736" i="3"/>
  <c r="G749" i="3"/>
  <c r="W749" i="3"/>
  <c r="AF740" i="3"/>
  <c r="H752" i="3"/>
  <c r="L736" i="3"/>
  <c r="O726" i="3"/>
  <c r="X747" i="3"/>
  <c r="G724" i="3"/>
  <c r="F733" i="3"/>
  <c r="AI730" i="3"/>
  <c r="O747" i="3"/>
  <c r="Y727" i="3"/>
  <c r="AF724" i="3"/>
  <c r="L744" i="3"/>
  <c r="AD751" i="3"/>
  <c r="K734" i="3"/>
  <c r="AG751" i="3"/>
  <c r="Y744" i="3"/>
  <c r="Y735" i="3"/>
  <c r="AH748" i="3"/>
  <c r="W736" i="3"/>
  <c r="J732" i="3"/>
  <c r="O753" i="3"/>
  <c r="W732" i="3"/>
  <c r="S750" i="3"/>
  <c r="M750" i="3"/>
  <c r="AH737" i="3"/>
  <c r="M741" i="3"/>
  <c r="M748" i="3"/>
  <c r="L733" i="3"/>
  <c r="J749" i="3"/>
  <c r="M737" i="3"/>
  <c r="AE735" i="3"/>
  <c r="AE746" i="3"/>
  <c r="Z746" i="3"/>
  <c r="AG724" i="3"/>
  <c r="AC727" i="3"/>
  <c r="AC753" i="3"/>
  <c r="AB732" i="3"/>
  <c r="Z725" i="3"/>
  <c r="AI750" i="3"/>
  <c r="L740" i="3"/>
  <c r="H737" i="3"/>
  <c r="Z734" i="3"/>
  <c r="L729" i="3"/>
  <c r="F742" i="3"/>
  <c r="T747" i="3"/>
  <c r="J270" i="3"/>
  <c r="Z294" i="3"/>
  <c r="Q285" i="3"/>
  <c r="S269" i="3"/>
  <c r="N277" i="3"/>
  <c r="G273" i="3"/>
  <c r="S277" i="3"/>
  <c r="AB285" i="3"/>
  <c r="J268" i="3"/>
  <c r="P287" i="3"/>
  <c r="R287" i="3"/>
  <c r="AF272" i="3"/>
  <c r="U293" i="3"/>
  <c r="P291" i="3"/>
  <c r="AH283" i="3"/>
  <c r="O290" i="3"/>
  <c r="AE273" i="3"/>
  <c r="X280" i="3"/>
  <c r="Z295" i="3"/>
  <c r="Q273" i="3"/>
  <c r="AH297" i="3"/>
  <c r="M288" i="3"/>
  <c r="AG287" i="3"/>
  <c r="K281" i="3"/>
  <c r="M290" i="3"/>
  <c r="AB296" i="3"/>
  <c r="I287" i="3"/>
  <c r="Z276" i="3"/>
  <c r="AA297" i="3"/>
  <c r="U283" i="3"/>
  <c r="AG280" i="3"/>
  <c r="H272" i="3"/>
  <c r="O268" i="3"/>
  <c r="O280" i="3"/>
  <c r="AF281" i="3"/>
  <c r="X275" i="3"/>
  <c r="G297" i="3"/>
  <c r="AA284" i="3"/>
  <c r="V279" i="3"/>
  <c r="U288" i="3"/>
  <c r="AE285" i="3"/>
  <c r="U268" i="3"/>
  <c r="AF296" i="3"/>
  <c r="Y295" i="3"/>
  <c r="Z283" i="3"/>
  <c r="AE269" i="3"/>
  <c r="K278" i="3"/>
  <c r="K282" i="3"/>
  <c r="V270" i="3"/>
  <c r="AI284" i="3"/>
  <c r="AF278" i="3"/>
  <c r="M287" i="3"/>
  <c r="AB288" i="3"/>
  <c r="Z284" i="3"/>
  <c r="R268" i="3"/>
  <c r="L271" i="3"/>
  <c r="I286" i="3"/>
  <c r="T280" i="3"/>
  <c r="H273" i="3"/>
  <c r="AA278" i="3"/>
  <c r="AI295" i="3"/>
  <c r="Y288" i="3"/>
  <c r="W268" i="3"/>
  <c r="AG270" i="3"/>
  <c r="Q296" i="3"/>
  <c r="I269" i="3"/>
  <c r="N278" i="3"/>
  <c r="V296" i="3"/>
  <c r="AB280" i="3"/>
  <c r="S294" i="3"/>
  <c r="Q281" i="3"/>
  <c r="T269" i="3"/>
  <c r="N292" i="3"/>
  <c r="Y270" i="3"/>
  <c r="J269" i="3"/>
  <c r="K276" i="3"/>
  <c r="Y268" i="3"/>
  <c r="G289" i="3"/>
  <c r="AA269" i="3"/>
  <c r="R279" i="3"/>
  <c r="S288" i="3"/>
  <c r="W274" i="3"/>
  <c r="Q293" i="3"/>
  <c r="X274" i="3"/>
  <c r="T288" i="3"/>
  <c r="AH282" i="3"/>
  <c r="W270" i="3"/>
  <c r="G292" i="3"/>
  <c r="M281" i="3"/>
  <c r="W275" i="3"/>
  <c r="G272" i="3"/>
  <c r="AG272" i="3"/>
  <c r="M275" i="3"/>
  <c r="M274" i="3"/>
  <c r="AI294" i="3"/>
  <c r="N268" i="3"/>
  <c r="AH269" i="3"/>
  <c r="U282" i="3"/>
  <c r="P271" i="3"/>
  <c r="W283" i="3"/>
  <c r="AD276" i="3"/>
  <c r="U271" i="3"/>
  <c r="Q283" i="3"/>
  <c r="L282" i="3"/>
  <c r="U280" i="3"/>
  <c r="T282" i="3"/>
  <c r="G295" i="3"/>
  <c r="AG289" i="3"/>
  <c r="N288" i="3"/>
  <c r="S290" i="3"/>
  <c r="Z290" i="3"/>
  <c r="AI282" i="3"/>
  <c r="M268" i="3"/>
  <c r="AB282" i="3"/>
  <c r="K271" i="3"/>
  <c r="L286" i="3"/>
  <c r="J281" i="3"/>
  <c r="AD285" i="3"/>
  <c r="M285" i="3"/>
  <c r="G268" i="3"/>
  <c r="N269" i="3"/>
  <c r="L287" i="3"/>
  <c r="Q276" i="3"/>
  <c r="AI297" i="3"/>
  <c r="Q297" i="3"/>
  <c r="AC296" i="3"/>
  <c r="AE268" i="3"/>
  <c r="Z268" i="3"/>
  <c r="M286" i="3"/>
  <c r="W285" i="3"/>
  <c r="AD275" i="3"/>
  <c r="V292" i="3"/>
  <c r="H279" i="3"/>
  <c r="I276" i="3"/>
  <c r="AG279" i="3"/>
  <c r="V295" i="3"/>
  <c r="S296" i="3"/>
  <c r="AA280" i="3"/>
  <c r="K279" i="3"/>
  <c r="AF270" i="3"/>
  <c r="AB286" i="3"/>
  <c r="Z277" i="3"/>
  <c r="O269" i="3"/>
  <c r="AG293" i="3"/>
  <c r="K295" i="3"/>
  <c r="AD290" i="3"/>
  <c r="AD288" i="3"/>
  <c r="AF285" i="3"/>
  <c r="H276" i="3"/>
  <c r="AA282" i="3"/>
  <c r="AA295" i="3"/>
  <c r="AI281" i="3"/>
  <c r="F275" i="3"/>
  <c r="Q287" i="3"/>
  <c r="F356" i="3"/>
  <c r="AI356" i="3"/>
  <c r="J358" i="3"/>
  <c r="F350" i="3"/>
  <c r="AA365" i="3"/>
  <c r="Q373" i="3"/>
  <c r="U668" i="3"/>
  <c r="AD392" i="3"/>
  <c r="Y390" i="3"/>
  <c r="G431" i="3"/>
  <c r="S426" i="3"/>
  <c r="L422" i="3"/>
  <c r="F428" i="3"/>
  <c r="Q426" i="3"/>
  <c r="K425" i="3"/>
  <c r="O448" i="3"/>
  <c r="G443" i="3"/>
  <c r="U439" i="3"/>
  <c r="N432" i="3"/>
  <c r="J436" i="3"/>
  <c r="R397" i="3"/>
  <c r="J409" i="3"/>
  <c r="Y707" i="3"/>
  <c r="L715" i="3"/>
  <c r="Q442" i="3"/>
  <c r="P436" i="3"/>
  <c r="AG431" i="3"/>
  <c r="Y449" i="3"/>
  <c r="AF428" i="3"/>
  <c r="Z423" i="3"/>
  <c r="P422" i="3"/>
  <c r="U443" i="3"/>
  <c r="W435" i="3"/>
  <c r="AC424" i="3"/>
  <c r="V434" i="3"/>
  <c r="H441" i="3"/>
  <c r="AI421" i="3"/>
  <c r="Z402" i="3"/>
  <c r="Q391" i="3"/>
  <c r="AE398" i="3"/>
  <c r="J440" i="3"/>
  <c r="AB428" i="3"/>
  <c r="AB422" i="3"/>
  <c r="R429" i="3"/>
  <c r="K441" i="3"/>
  <c r="Q427" i="3"/>
  <c r="W421" i="3"/>
  <c r="O423" i="3"/>
  <c r="P421" i="3"/>
  <c r="AB432" i="3"/>
  <c r="Y422" i="3"/>
  <c r="L446" i="3"/>
  <c r="AE439" i="3"/>
  <c r="W444" i="3"/>
  <c r="P439" i="3"/>
  <c r="AA433" i="3"/>
  <c r="X442" i="3"/>
  <c r="P427" i="3"/>
  <c r="Y434" i="3"/>
  <c r="R437" i="3"/>
  <c r="O431" i="3"/>
  <c r="Y426" i="3"/>
  <c r="U425" i="3"/>
  <c r="AH447" i="3"/>
  <c r="AH448" i="3"/>
  <c r="AD438" i="3"/>
  <c r="AH385" i="3"/>
  <c r="N398" i="3"/>
  <c r="K401" i="3"/>
  <c r="Z401" i="3"/>
  <c r="N410" i="3"/>
  <c r="N409" i="3"/>
  <c r="H387" i="3"/>
  <c r="AC687" i="3"/>
  <c r="AD703" i="3"/>
  <c r="AA704" i="3"/>
  <c r="G348" i="3"/>
  <c r="T360" i="3"/>
  <c r="AD367" i="3"/>
  <c r="AA369" i="3"/>
  <c r="X371" i="3"/>
  <c r="M360" i="3"/>
  <c r="K360" i="3"/>
  <c r="AA354" i="3"/>
  <c r="AH346" i="3"/>
  <c r="X373" i="3"/>
  <c r="K373" i="3"/>
  <c r="W361" i="3"/>
  <c r="N354" i="3"/>
  <c r="W357" i="3"/>
  <c r="W344" i="3"/>
  <c r="AC354" i="3"/>
  <c r="O359" i="3"/>
  <c r="H344" i="3"/>
  <c r="U352" i="3"/>
  <c r="L347" i="3"/>
  <c r="AF359" i="3"/>
  <c r="T372" i="3"/>
  <c r="R366" i="3"/>
  <c r="X361" i="3"/>
  <c r="AG364" i="3"/>
  <c r="N371" i="3"/>
  <c r="Y360" i="3"/>
  <c r="V344" i="3"/>
  <c r="AC359" i="3"/>
  <c r="I358" i="3"/>
  <c r="K354" i="3"/>
  <c r="O362" i="3"/>
  <c r="L361" i="3"/>
  <c r="N373" i="3"/>
  <c r="Y357" i="3"/>
  <c r="I346" i="3"/>
  <c r="L440" i="3"/>
  <c r="AB439" i="3"/>
  <c r="AE437" i="3"/>
  <c r="W429" i="3"/>
  <c r="J447" i="3"/>
  <c r="W436" i="3"/>
  <c r="X431" i="3"/>
  <c r="AB424" i="3"/>
  <c r="I427" i="3"/>
  <c r="AD443" i="3"/>
  <c r="O440" i="3"/>
  <c r="AA437" i="3"/>
  <c r="P441" i="3"/>
  <c r="S424" i="3"/>
  <c r="P435" i="3"/>
  <c r="AA448" i="3"/>
  <c r="AE426" i="3"/>
  <c r="G435" i="3"/>
  <c r="S440" i="3"/>
  <c r="AI430" i="3"/>
  <c r="T444" i="3"/>
  <c r="I436" i="3"/>
  <c r="W438" i="3"/>
  <c r="Y444" i="3"/>
  <c r="I437" i="3"/>
  <c r="Z444" i="3"/>
  <c r="T422" i="3"/>
  <c r="N425" i="3"/>
  <c r="X425" i="3"/>
  <c r="O446" i="3"/>
  <c r="AE434" i="3"/>
  <c r="X432" i="3"/>
  <c r="AB430" i="3"/>
  <c r="AI446" i="3"/>
  <c r="AB421" i="3"/>
  <c r="W432" i="3"/>
  <c r="AF448" i="3"/>
  <c r="G436" i="3"/>
  <c r="I448" i="3"/>
  <c r="N441" i="3"/>
  <c r="I433" i="3"/>
  <c r="AC429" i="3"/>
  <c r="V423" i="3"/>
  <c r="I421" i="3"/>
  <c r="AD444" i="3"/>
  <c r="T439" i="3"/>
  <c r="Z435" i="3"/>
  <c r="V431" i="3"/>
  <c r="S428" i="3"/>
  <c r="S432" i="3"/>
  <c r="AI431" i="3"/>
  <c r="I411" i="3"/>
  <c r="P402" i="3"/>
  <c r="N388" i="3"/>
  <c r="Y388" i="3"/>
  <c r="F386" i="3"/>
  <c r="AE410" i="3"/>
  <c r="G405" i="3"/>
  <c r="L388" i="3"/>
  <c r="AF384" i="3"/>
  <c r="T404" i="3"/>
  <c r="AA397" i="3"/>
  <c r="AC404" i="3"/>
  <c r="AG409" i="3"/>
  <c r="P393" i="3"/>
  <c r="L411" i="3"/>
  <c r="M426" i="3"/>
  <c r="O439" i="3"/>
  <c r="AI439" i="3"/>
  <c r="P426" i="3"/>
  <c r="AE433" i="3"/>
  <c r="S429" i="3"/>
  <c r="Y423" i="3"/>
  <c r="H439" i="3"/>
  <c r="F448" i="3"/>
  <c r="AE446" i="3"/>
  <c r="AH433" i="3"/>
  <c r="R439" i="3"/>
  <c r="Q428" i="3"/>
  <c r="R443" i="3"/>
  <c r="L424" i="3"/>
  <c r="N445" i="3"/>
  <c r="AF433" i="3"/>
  <c r="G437" i="3"/>
  <c r="AC432" i="3"/>
  <c r="AE424" i="3"/>
  <c r="M437" i="3"/>
  <c r="T432" i="3"/>
  <c r="S421" i="3"/>
  <c r="L433" i="3"/>
  <c r="X439" i="3"/>
  <c r="H428" i="3"/>
  <c r="H436" i="3"/>
  <c r="W427" i="3"/>
  <c r="AC449" i="3"/>
  <c r="X426" i="3"/>
  <c r="AG427" i="3"/>
  <c r="V428" i="3"/>
  <c r="R428" i="3"/>
  <c r="Z447" i="3"/>
  <c r="AG439" i="3"/>
  <c r="H445" i="3"/>
  <c r="AH429" i="3"/>
  <c r="F422" i="3"/>
  <c r="AD431" i="3"/>
  <c r="G433" i="3"/>
  <c r="AB445" i="3"/>
  <c r="I439" i="3"/>
  <c r="T436" i="3"/>
  <c r="M447" i="3"/>
  <c r="U420" i="3"/>
  <c r="V429" i="3"/>
  <c r="X448" i="3"/>
  <c r="Y440" i="3"/>
  <c r="AH403" i="3"/>
  <c r="N411" i="3"/>
  <c r="AI402" i="3"/>
  <c r="AB407" i="3"/>
  <c r="T392" i="3"/>
  <c r="Z392" i="3"/>
  <c r="R385" i="3"/>
  <c r="S401" i="3"/>
  <c r="O389" i="3"/>
  <c r="M396" i="3"/>
  <c r="AC391" i="3"/>
  <c r="X392" i="3"/>
  <c r="P387" i="3"/>
  <c r="AD388" i="3"/>
  <c r="AB390" i="3"/>
  <c r="AF408" i="3"/>
  <c r="T402" i="3"/>
  <c r="AA402" i="3"/>
  <c r="W384" i="3"/>
  <c r="I385" i="3"/>
  <c r="Y387" i="3"/>
  <c r="K409" i="3"/>
  <c r="R407" i="3"/>
  <c r="M385" i="3"/>
  <c r="M391" i="3"/>
  <c r="U385" i="3"/>
  <c r="Q408" i="3"/>
  <c r="U384" i="3"/>
  <c r="F696" i="3"/>
  <c r="G693" i="3"/>
  <c r="P700" i="3"/>
  <c r="P710" i="3"/>
  <c r="AH690" i="3"/>
  <c r="J686" i="3"/>
  <c r="AF705" i="3"/>
  <c r="V691" i="3"/>
  <c r="G432" i="3"/>
  <c r="F446" i="3"/>
  <c r="AB448" i="3"/>
  <c r="T448" i="3"/>
  <c r="G426" i="3"/>
  <c r="M427" i="3"/>
  <c r="J439" i="3"/>
  <c r="S427" i="3"/>
  <c r="U444" i="3"/>
  <c r="U437" i="3"/>
  <c r="F443" i="3"/>
  <c r="H443" i="3"/>
  <c r="Z437" i="3"/>
  <c r="F424" i="3"/>
  <c r="U423" i="3"/>
  <c r="Q431" i="3"/>
  <c r="G422" i="3"/>
  <c r="J441" i="3"/>
  <c r="AG441" i="3"/>
  <c r="X440" i="3"/>
  <c r="AD434" i="3"/>
  <c r="K437" i="3"/>
  <c r="AA440" i="3"/>
  <c r="H430" i="3"/>
  <c r="AE445" i="3"/>
  <c r="AD439" i="3"/>
  <c r="AG447" i="3"/>
  <c r="T441" i="3"/>
  <c r="I442" i="3"/>
  <c r="AB446" i="3"/>
  <c r="Z431" i="3"/>
  <c r="S435" i="3"/>
  <c r="F425" i="3"/>
  <c r="P437" i="3"/>
  <c r="AF423" i="3"/>
  <c r="AA430" i="3"/>
  <c r="AD442" i="3"/>
  <c r="I449" i="3"/>
  <c r="AG420" i="3"/>
  <c r="U438" i="3"/>
  <c r="AD426" i="3"/>
  <c r="AH440" i="3"/>
  <c r="AC437" i="3"/>
  <c r="S443" i="3"/>
  <c r="AH439" i="3"/>
  <c r="AH420" i="3"/>
  <c r="F447" i="3"/>
  <c r="I428" i="3"/>
  <c r="AE432" i="3"/>
  <c r="O445" i="3"/>
  <c r="H448" i="3"/>
  <c r="AC431" i="3"/>
  <c r="AF444" i="3"/>
  <c r="H421" i="3"/>
  <c r="I432" i="3"/>
  <c r="Z443" i="3"/>
  <c r="X444" i="3"/>
  <c r="F440" i="3"/>
  <c r="AD435" i="3"/>
  <c r="N438" i="3"/>
  <c r="AA444" i="3"/>
  <c r="S448" i="3"/>
  <c r="AG425" i="3"/>
  <c r="I435" i="3"/>
  <c r="R431" i="3"/>
  <c r="AI447" i="3"/>
  <c r="Z424" i="3"/>
  <c r="Z432" i="3"/>
  <c r="AC435" i="3"/>
  <c r="S439" i="3"/>
  <c r="Z442" i="3"/>
  <c r="J432" i="3"/>
  <c r="R430" i="3"/>
  <c r="M440" i="3"/>
  <c r="AE427" i="3"/>
  <c r="AF439" i="3"/>
  <c r="K421" i="3"/>
  <c r="V437" i="3"/>
  <c r="AB447" i="3"/>
  <c r="AI448" i="3"/>
  <c r="I441" i="3"/>
  <c r="W439" i="3"/>
  <c r="W440" i="3"/>
  <c r="J445" i="3"/>
  <c r="AC433" i="3"/>
  <c r="K434" i="3"/>
  <c r="AI436" i="3"/>
  <c r="Z448" i="3"/>
  <c r="I447" i="3"/>
  <c r="Q438" i="3"/>
  <c r="N446" i="3"/>
  <c r="J438" i="3"/>
  <c r="AE422" i="3"/>
  <c r="M439" i="3"/>
  <c r="AA425" i="3"/>
  <c r="Z429" i="3"/>
  <c r="O441" i="3"/>
  <c r="X430" i="3"/>
  <c r="AI437" i="3"/>
  <c r="AB444" i="3"/>
  <c r="K442" i="3"/>
  <c r="X424" i="3"/>
  <c r="V432" i="3"/>
  <c r="S431" i="3"/>
  <c r="AF438" i="3"/>
  <c r="W434" i="3"/>
  <c r="H438" i="3"/>
  <c r="O435" i="3"/>
  <c r="Q425" i="3"/>
  <c r="AI420" i="3"/>
  <c r="AI428" i="3"/>
  <c r="AH441" i="3"/>
  <c r="AG443" i="3"/>
  <c r="T431" i="3"/>
  <c r="AD441" i="3"/>
  <c r="AF445" i="3"/>
  <c r="F429" i="3"/>
  <c r="S447" i="3"/>
  <c r="L444" i="3"/>
  <c r="N443" i="3"/>
  <c r="L438" i="3"/>
  <c r="Q447" i="3"/>
  <c r="Z436" i="3"/>
  <c r="AB426" i="3"/>
  <c r="AB440" i="3"/>
  <c r="H429" i="3"/>
  <c r="V444" i="3"/>
  <c r="L431" i="3"/>
  <c r="H447" i="3"/>
  <c r="P443" i="3"/>
  <c r="Z425" i="3"/>
  <c r="L436" i="3"/>
  <c r="Q439" i="3"/>
  <c r="W437" i="3"/>
  <c r="AF443" i="3"/>
  <c r="N428" i="3"/>
  <c r="AF442" i="3"/>
  <c r="T426" i="3"/>
  <c r="Y428" i="3"/>
  <c r="U442" i="3"/>
  <c r="P438" i="3"/>
  <c r="N427" i="3"/>
  <c r="AH444" i="3"/>
  <c r="G445" i="3"/>
  <c r="Q444" i="3"/>
  <c r="N431" i="3"/>
  <c r="AA429" i="3"/>
  <c r="L429" i="3"/>
  <c r="U441" i="3"/>
  <c r="AH438" i="3"/>
  <c r="P449" i="3"/>
  <c r="Q434" i="3"/>
  <c r="F427" i="3"/>
  <c r="T440" i="3"/>
  <c r="O438" i="3"/>
  <c r="L432" i="3"/>
  <c r="AF427" i="3"/>
  <c r="R449" i="3"/>
  <c r="X441" i="3"/>
  <c r="O422" i="3"/>
  <c r="AE449" i="3"/>
  <c r="P442" i="3"/>
  <c r="K445" i="3"/>
  <c r="AI442" i="3"/>
  <c r="AB431" i="3"/>
  <c r="AF430" i="3"/>
  <c r="R432" i="3"/>
  <c r="AC422" i="3"/>
  <c r="X447" i="3"/>
  <c r="H425" i="3"/>
  <c r="AB434" i="3"/>
  <c r="AG436" i="3"/>
  <c r="U421" i="3"/>
  <c r="T411" i="3"/>
  <c r="X405" i="3"/>
  <c r="Q402" i="3"/>
  <c r="AI391" i="3"/>
  <c r="AH409" i="3"/>
  <c r="AF392" i="3"/>
  <c r="L396" i="3"/>
  <c r="AA408" i="3"/>
  <c r="R382" i="3"/>
  <c r="P390" i="3"/>
  <c r="AI411" i="3"/>
  <c r="AH386" i="3"/>
  <c r="P407" i="3"/>
  <c r="X391" i="3"/>
  <c r="H406" i="3"/>
  <c r="H392" i="3"/>
  <c r="AA387" i="3"/>
  <c r="S388" i="3"/>
  <c r="H410" i="3"/>
  <c r="X383" i="3"/>
  <c r="AA400" i="3"/>
  <c r="N389" i="3"/>
  <c r="N394" i="3"/>
  <c r="J385" i="3"/>
  <c r="I394" i="3"/>
  <c r="R402" i="3"/>
  <c r="Z390" i="3"/>
  <c r="AC384" i="3"/>
  <c r="G408" i="3"/>
  <c r="AI405" i="3"/>
  <c r="AD396" i="3"/>
  <c r="R389" i="3"/>
  <c r="J411" i="3"/>
  <c r="M393" i="3"/>
  <c r="AE384" i="3"/>
  <c r="AA404" i="3"/>
  <c r="S389" i="3"/>
  <c r="AB399" i="3"/>
  <c r="J404" i="3"/>
  <c r="F398" i="3"/>
  <c r="G394" i="3"/>
  <c r="F393" i="3"/>
  <c r="J410" i="3"/>
  <c r="AG405" i="3"/>
  <c r="Z404" i="3"/>
  <c r="W400" i="3"/>
  <c r="M398" i="3"/>
  <c r="J405" i="3"/>
  <c r="P383" i="3"/>
  <c r="AD382" i="3"/>
  <c r="W407" i="3"/>
  <c r="Y403" i="3"/>
  <c r="U393" i="3"/>
  <c r="AC385" i="3"/>
  <c r="O411" i="3"/>
  <c r="I387" i="3"/>
  <c r="AD394" i="3"/>
  <c r="J396" i="3"/>
  <c r="AH390" i="3"/>
  <c r="AI395" i="3"/>
  <c r="L390" i="3"/>
  <c r="P392" i="3"/>
  <c r="M388" i="3"/>
  <c r="AF394" i="3"/>
  <c r="Q407" i="3"/>
  <c r="AA385" i="3"/>
  <c r="X390" i="3"/>
  <c r="X409" i="3"/>
  <c r="AH392" i="3"/>
  <c r="U391" i="3"/>
  <c r="AG385" i="3"/>
  <c r="L405" i="3"/>
  <c r="AC406" i="3"/>
  <c r="I408" i="3"/>
  <c r="K397" i="3"/>
  <c r="K407" i="3"/>
  <c r="T403" i="3"/>
  <c r="AF389" i="3"/>
  <c r="W409" i="3"/>
  <c r="AE392" i="3"/>
  <c r="L383" i="3"/>
  <c r="P396" i="3"/>
  <c r="L409" i="3"/>
  <c r="H399" i="3"/>
  <c r="S404" i="3"/>
  <c r="Z403" i="3"/>
  <c r="F390" i="3"/>
  <c r="O383" i="3"/>
  <c r="F406" i="3"/>
  <c r="AG394" i="3"/>
  <c r="I407" i="3"/>
  <c r="U398" i="3"/>
  <c r="F397" i="3"/>
  <c r="K411" i="3"/>
  <c r="M395" i="3"/>
  <c r="AE400" i="3"/>
  <c r="G383" i="3"/>
  <c r="L408" i="3"/>
  <c r="M382" i="3"/>
  <c r="I383" i="3"/>
  <c r="G390" i="3"/>
  <c r="O408" i="3"/>
  <c r="T405" i="3"/>
  <c r="H397" i="3"/>
  <c r="U392" i="3"/>
  <c r="S403" i="3"/>
  <c r="L386" i="3"/>
  <c r="G386" i="3"/>
  <c r="O406" i="3"/>
  <c r="AB382" i="3"/>
  <c r="M383" i="3"/>
  <c r="Y384" i="3"/>
  <c r="AD398" i="3"/>
  <c r="O400" i="3"/>
  <c r="T387" i="3"/>
  <c r="F391" i="3"/>
  <c r="P386" i="3"/>
  <c r="Q404" i="3"/>
  <c r="I410" i="3"/>
  <c r="G399" i="3"/>
  <c r="Q400" i="3"/>
  <c r="T398" i="3"/>
  <c r="H384" i="3"/>
  <c r="M390" i="3"/>
  <c r="AH384" i="3"/>
  <c r="Q410" i="3"/>
  <c r="S408" i="3"/>
  <c r="AG411" i="3"/>
  <c r="R411" i="3"/>
  <c r="AH400" i="3"/>
  <c r="AG402" i="3"/>
  <c r="Y397" i="3"/>
  <c r="G393" i="3"/>
  <c r="AB387" i="3"/>
  <c r="Z391" i="3"/>
  <c r="AC386" i="3"/>
  <c r="V393" i="3"/>
  <c r="R388" i="3"/>
  <c r="Q398" i="3"/>
  <c r="T409" i="3"/>
  <c r="X398" i="3"/>
  <c r="M384" i="3"/>
  <c r="W393" i="3"/>
  <c r="L394" i="3"/>
  <c r="F382" i="3"/>
  <c r="M408" i="3"/>
  <c r="J398" i="3"/>
  <c r="O407" i="3"/>
  <c r="AH387" i="3"/>
  <c r="AE399" i="3"/>
  <c r="V408" i="3"/>
  <c r="AI392" i="3"/>
  <c r="V383" i="3"/>
  <c r="P411" i="3"/>
  <c r="AE402" i="3"/>
  <c r="V404" i="3"/>
  <c r="AF383" i="3"/>
  <c r="O398" i="3"/>
  <c r="U390" i="3"/>
  <c r="AI386" i="3"/>
  <c r="AF385" i="3"/>
  <c r="AH404" i="3"/>
  <c r="AA406" i="3"/>
  <c r="AG382" i="3"/>
  <c r="T395" i="3"/>
  <c r="P401" i="3"/>
  <c r="X402" i="3"/>
  <c r="AF395" i="3"/>
  <c r="X410" i="3"/>
  <c r="AI399" i="3"/>
  <c r="AA405" i="3"/>
  <c r="Z411" i="3"/>
  <c r="Y410" i="3"/>
  <c r="AD387" i="3"/>
  <c r="T400" i="3"/>
  <c r="R408" i="3"/>
  <c r="AB409" i="3"/>
  <c r="O396" i="3"/>
  <c r="H382" i="3"/>
  <c r="S395" i="3"/>
  <c r="AC389" i="3"/>
  <c r="AD409" i="3"/>
  <c r="W392" i="3"/>
  <c r="AB385" i="3"/>
  <c r="U387" i="3"/>
  <c r="J389" i="3"/>
  <c r="AD395" i="3"/>
  <c r="X401" i="3"/>
  <c r="G163" i="3"/>
  <c r="L168" i="3"/>
  <c r="Z165" i="3"/>
  <c r="L158" i="3"/>
  <c r="AG181" i="3"/>
  <c r="F154" i="3"/>
  <c r="W163" i="3"/>
  <c r="W171" i="3"/>
  <c r="T179" i="3"/>
  <c r="Z158" i="3"/>
  <c r="Y163" i="3"/>
  <c r="T168" i="3"/>
  <c r="T175" i="3"/>
  <c r="G700" i="3"/>
  <c r="I697" i="3"/>
  <c r="T710" i="3"/>
  <c r="T708" i="3"/>
  <c r="AB691" i="3"/>
  <c r="X686" i="3"/>
  <c r="AH700" i="3"/>
  <c r="AF713" i="3"/>
  <c r="H694" i="3"/>
  <c r="AE703" i="3"/>
  <c r="P703" i="3"/>
  <c r="P691" i="3"/>
  <c r="J707" i="3"/>
  <c r="AC698" i="3"/>
  <c r="J703" i="3"/>
  <c r="M715" i="3"/>
  <c r="P709" i="3"/>
  <c r="K698" i="3"/>
  <c r="U714" i="3"/>
  <c r="P702" i="3"/>
  <c r="AC703" i="3"/>
  <c r="AI715" i="3"/>
  <c r="H714" i="3"/>
  <c r="U703" i="3"/>
  <c r="T701" i="3"/>
  <c r="G696" i="3"/>
  <c r="F690" i="3"/>
  <c r="M705" i="3"/>
  <c r="AD704" i="3"/>
  <c r="N704" i="3"/>
  <c r="AF691" i="3"/>
  <c r="AG706" i="3"/>
  <c r="F694" i="3"/>
  <c r="AE711" i="3"/>
  <c r="F698" i="3"/>
  <c r="AD712" i="3"/>
  <c r="I698" i="3"/>
  <c r="AB688" i="3"/>
  <c r="U689" i="3"/>
  <c r="M710" i="3"/>
  <c r="Z707" i="3"/>
  <c r="K702" i="3"/>
  <c r="U697" i="3"/>
  <c r="V686" i="3"/>
  <c r="V713" i="3"/>
  <c r="AF697" i="3"/>
  <c r="V711" i="3"/>
  <c r="M704" i="3"/>
  <c r="AH699" i="3"/>
  <c r="AC694" i="3"/>
  <c r="P711" i="3"/>
  <c r="AG692" i="3"/>
  <c r="O700" i="3"/>
  <c r="K689" i="3"/>
  <c r="T700" i="3"/>
  <c r="N697" i="3"/>
  <c r="AC696" i="3"/>
  <c r="W694" i="3"/>
  <c r="R706" i="3"/>
  <c r="I688" i="3"/>
  <c r="AC711" i="3"/>
  <c r="AB711" i="3"/>
  <c r="P695" i="3"/>
  <c r="G709" i="3"/>
  <c r="W687" i="3"/>
  <c r="AA693" i="3"/>
  <c r="M711" i="3"/>
  <c r="L696" i="3"/>
  <c r="S706" i="3"/>
  <c r="F703" i="3"/>
  <c r="F689" i="3"/>
  <c r="L709" i="3"/>
  <c r="Y697" i="3"/>
  <c r="V692" i="3"/>
  <c r="K713" i="3"/>
  <c r="V710" i="3"/>
  <c r="P707" i="3"/>
  <c r="Z703" i="3"/>
  <c r="R710" i="3"/>
  <c r="Z692" i="3"/>
  <c r="W698" i="3"/>
  <c r="R696" i="3"/>
  <c r="J714" i="3"/>
  <c r="L691" i="3"/>
  <c r="I696" i="3"/>
  <c r="Q691" i="3"/>
  <c r="X693" i="3"/>
  <c r="H690" i="3"/>
  <c r="V698" i="3"/>
  <c r="AA696" i="3"/>
  <c r="AB694" i="3"/>
  <c r="AB692" i="3"/>
  <c r="AG688" i="3"/>
  <c r="AF701" i="3"/>
  <c r="R707" i="3"/>
  <c r="M713" i="3"/>
  <c r="AI709" i="3"/>
  <c r="AA700" i="3"/>
  <c r="H708" i="3"/>
  <c r="K695" i="3"/>
  <c r="AC691" i="3"/>
  <c r="T706" i="3"/>
  <c r="AC690" i="3"/>
  <c r="F715" i="3"/>
  <c r="AF702" i="3"/>
  <c r="AC699" i="3"/>
  <c r="AB345" i="3"/>
  <c r="F365" i="3"/>
  <c r="P363" i="3"/>
  <c r="AD354" i="3"/>
  <c r="Q362" i="3"/>
  <c r="F353" i="3"/>
  <c r="U372" i="3"/>
  <c r="S350" i="3"/>
  <c r="AD363" i="3"/>
  <c r="S363" i="3"/>
  <c r="R361" i="3"/>
  <c r="AI360" i="3"/>
  <c r="AA361" i="3"/>
  <c r="X349" i="3"/>
  <c r="X368" i="3"/>
  <c r="Z362" i="3"/>
  <c r="AG345" i="3"/>
  <c r="X366" i="3"/>
  <c r="AA347" i="3"/>
  <c r="N372" i="3"/>
  <c r="I345" i="3"/>
  <c r="AC363" i="3"/>
  <c r="T366" i="3"/>
  <c r="AA352" i="3"/>
  <c r="AI366" i="3"/>
  <c r="AF355" i="3"/>
  <c r="Z372" i="3"/>
  <c r="N367" i="3"/>
  <c r="AH361" i="3"/>
  <c r="Y346" i="3"/>
  <c r="AH351" i="3"/>
  <c r="AF351" i="3"/>
  <c r="Q365" i="3"/>
  <c r="AF344" i="3"/>
  <c r="K351" i="3"/>
  <c r="S359" i="3"/>
  <c r="T350" i="3"/>
  <c r="T354" i="3"/>
  <c r="AD350" i="3"/>
  <c r="Q347" i="3"/>
  <c r="H347" i="3"/>
  <c r="AI348" i="3"/>
  <c r="AI353" i="3"/>
  <c r="W373" i="3"/>
  <c r="AE363" i="3"/>
  <c r="P357" i="3"/>
  <c r="M363" i="3"/>
  <c r="Q356" i="3"/>
  <c r="V351" i="3"/>
  <c r="K365" i="3"/>
  <c r="F364" i="3"/>
  <c r="H353" i="3"/>
  <c r="L363" i="3"/>
  <c r="AB357" i="3"/>
  <c r="O373" i="3"/>
  <c r="U366" i="3"/>
  <c r="AD361" i="3"/>
  <c r="AC348" i="3"/>
  <c r="F354" i="3"/>
  <c r="P358" i="3"/>
  <c r="L364" i="3"/>
  <c r="AA359" i="3"/>
  <c r="AA351" i="3"/>
  <c r="AD372" i="3"/>
  <c r="AI350" i="3"/>
  <c r="AD352" i="3"/>
  <c r="O349" i="3"/>
  <c r="S347" i="3"/>
  <c r="P365" i="3"/>
  <c r="AG367" i="3"/>
  <c r="J363" i="3"/>
  <c r="Q357" i="3"/>
  <c r="AG359" i="3"/>
  <c r="G357" i="3"/>
  <c r="I350" i="3"/>
  <c r="R365" i="3"/>
  <c r="Q359" i="3"/>
  <c r="AA372" i="3"/>
  <c r="AI372" i="3"/>
  <c r="Z357" i="3"/>
  <c r="T358" i="3"/>
  <c r="I370" i="3"/>
  <c r="Y372" i="3"/>
  <c r="AD373" i="3"/>
  <c r="V346" i="3"/>
  <c r="AD345" i="3"/>
  <c r="Y349" i="3"/>
  <c r="AG370" i="3"/>
  <c r="P367" i="3"/>
  <c r="U348" i="3"/>
  <c r="G361" i="3"/>
  <c r="AE369" i="3"/>
  <c r="S348" i="3"/>
  <c r="AG349" i="3"/>
  <c r="Y373" i="3"/>
  <c r="AI345" i="3"/>
  <c r="AB354" i="3"/>
  <c r="M362" i="3"/>
  <c r="AG373" i="3"/>
  <c r="Z360" i="3"/>
  <c r="L357" i="3"/>
  <c r="V347" i="3"/>
  <c r="V361" i="3"/>
  <c r="G351" i="3"/>
  <c r="Y345" i="3"/>
  <c r="AF363" i="3"/>
  <c r="I359" i="3"/>
  <c r="S366" i="3"/>
  <c r="I353" i="3"/>
  <c r="P364" i="3"/>
  <c r="AB355" i="3"/>
  <c r="W355" i="3"/>
  <c r="N346" i="3"/>
  <c r="N349" i="3"/>
  <c r="M365" i="3"/>
  <c r="AH363" i="3"/>
  <c r="M345" i="3"/>
  <c r="AH356" i="3"/>
  <c r="X369" i="3"/>
  <c r="K353" i="3"/>
  <c r="AG368" i="3"/>
  <c r="S346" i="3"/>
  <c r="AB368" i="3"/>
  <c r="AE372" i="3"/>
  <c r="V356" i="3"/>
  <c r="Z364" i="3"/>
  <c r="Z366" i="3"/>
  <c r="AF349" i="3"/>
  <c r="AB362" i="3"/>
  <c r="P348" i="3"/>
  <c r="R351" i="3"/>
  <c r="K350" i="3"/>
  <c r="G346" i="3"/>
  <c r="R442" i="3"/>
  <c r="Q449" i="3"/>
  <c r="Z438" i="3"/>
  <c r="V447" i="3"/>
  <c r="AB425" i="3"/>
  <c r="H449" i="3"/>
  <c r="AF421" i="3"/>
  <c r="P430" i="3"/>
  <c r="J423" i="3"/>
  <c r="AA445" i="3"/>
  <c r="AA447" i="3"/>
  <c r="S444" i="3"/>
  <c r="U434" i="3"/>
  <c r="P429" i="3"/>
  <c r="Q435" i="3"/>
  <c r="V436" i="3"/>
  <c r="F431" i="3"/>
  <c r="T428" i="3"/>
  <c r="AI449" i="3"/>
  <c r="AE438" i="3"/>
  <c r="T425" i="3"/>
  <c r="N449" i="3"/>
  <c r="F449" i="3"/>
  <c r="AB442" i="3"/>
  <c r="J446" i="3"/>
  <c r="N439" i="3"/>
  <c r="N426" i="3"/>
  <c r="F438" i="3"/>
  <c r="L430" i="3"/>
  <c r="F434" i="3"/>
  <c r="AA432" i="3"/>
  <c r="S445" i="3"/>
  <c r="K428" i="3"/>
  <c r="W433" i="3"/>
  <c r="Q437" i="3"/>
  <c r="AD445" i="3"/>
  <c r="F437" i="3"/>
  <c r="S441" i="3"/>
  <c r="T449" i="3"/>
  <c r="AD432" i="3"/>
  <c r="T420" i="3"/>
  <c r="U446" i="3"/>
  <c r="N421" i="3"/>
  <c r="U427" i="3"/>
  <c r="P445" i="3"/>
  <c r="AD428" i="3"/>
  <c r="U433" i="3"/>
  <c r="AA426" i="3"/>
  <c r="T446" i="3"/>
  <c r="AA435" i="3"/>
  <c r="AD420" i="3"/>
  <c r="N422" i="3"/>
  <c r="Y430" i="3"/>
  <c r="T434" i="3"/>
  <c r="W428" i="3"/>
  <c r="M435" i="3"/>
  <c r="W422" i="3"/>
  <c r="T445" i="3"/>
  <c r="Y435" i="3"/>
  <c r="R425" i="3"/>
  <c r="X446" i="3"/>
  <c r="I420" i="3"/>
  <c r="H426" i="3"/>
  <c r="AC425" i="3"/>
  <c r="K438" i="3"/>
  <c r="V443" i="3"/>
  <c r="AC427" i="3"/>
  <c r="W448" i="3"/>
  <c r="L434" i="3"/>
  <c r="L427" i="3"/>
  <c r="Y443" i="3"/>
  <c r="G424" i="3"/>
  <c r="M425" i="3"/>
  <c r="S420" i="3"/>
  <c r="I424" i="3"/>
  <c r="AH446" i="3"/>
  <c r="G434" i="3"/>
  <c r="O425" i="3"/>
  <c r="U429" i="3"/>
  <c r="AI434" i="3"/>
  <c r="AA443" i="3"/>
  <c r="K443" i="3"/>
  <c r="K426" i="3"/>
  <c r="J427" i="3"/>
  <c r="AG438" i="3"/>
  <c r="Y421" i="3"/>
  <c r="H444" i="3"/>
  <c r="H422" i="3"/>
  <c r="AF425" i="3"/>
  <c r="AF426" i="3"/>
  <c r="AA424" i="3"/>
  <c r="F439" i="3"/>
  <c r="AI427" i="3"/>
  <c r="O430" i="3"/>
  <c r="Z446" i="3"/>
  <c r="M428" i="3"/>
  <c r="I438" i="3"/>
  <c r="O429" i="3"/>
  <c r="G430" i="3"/>
  <c r="AD422" i="3"/>
  <c r="L437" i="3"/>
  <c r="K423" i="3"/>
  <c r="O426" i="3"/>
  <c r="O434" i="3"/>
  <c r="M434" i="3"/>
  <c r="N447" i="3"/>
  <c r="Q421" i="3"/>
  <c r="AD425" i="3"/>
  <c r="X434" i="3"/>
  <c r="V440" i="3"/>
  <c r="J430" i="3"/>
  <c r="T438" i="3"/>
  <c r="J433" i="3"/>
  <c r="AC446" i="3"/>
  <c r="M448" i="3"/>
  <c r="AH427" i="3"/>
  <c r="P434" i="3"/>
  <c r="X429" i="3"/>
  <c r="AE420" i="3"/>
  <c r="P425" i="3"/>
  <c r="P444" i="3"/>
  <c r="N437" i="3"/>
  <c r="W420" i="3"/>
  <c r="AC447" i="3"/>
  <c r="U431" i="3"/>
  <c r="I423" i="3"/>
  <c r="Q424" i="3"/>
  <c r="T430" i="3"/>
  <c r="J448" i="3"/>
  <c r="F441" i="3"/>
  <c r="X427" i="3"/>
  <c r="U435" i="3"/>
  <c r="Z441" i="3"/>
  <c r="N436" i="3"/>
  <c r="K439" i="3"/>
  <c r="G440" i="3"/>
  <c r="I443" i="3"/>
  <c r="L448" i="3"/>
  <c r="P423" i="3"/>
  <c r="M432" i="3"/>
  <c r="S437" i="3"/>
  <c r="AF429" i="3"/>
  <c r="AH421" i="3"/>
  <c r="L426" i="3"/>
  <c r="AA420" i="3"/>
  <c r="Y448" i="3"/>
  <c r="AF435" i="3"/>
  <c r="AA422" i="3"/>
  <c r="Y427" i="3"/>
  <c r="J424" i="3"/>
  <c r="V433" i="3"/>
  <c r="N430" i="3"/>
  <c r="Q433" i="3"/>
  <c r="V420" i="3"/>
  <c r="X449" i="3"/>
  <c r="T423" i="3"/>
  <c r="L441" i="3"/>
  <c r="AI429" i="3"/>
  <c r="AI432" i="3"/>
  <c r="I446" i="3"/>
  <c r="U432" i="3"/>
  <c r="V421" i="3"/>
  <c r="X428" i="3"/>
  <c r="G421" i="3"/>
  <c r="I434" i="3"/>
  <c r="L439" i="3"/>
  <c r="AE448" i="3"/>
  <c r="AG437" i="3"/>
  <c r="AF420" i="3"/>
  <c r="G446" i="3"/>
  <c r="R436" i="3"/>
  <c r="L449" i="3"/>
  <c r="S422" i="3"/>
  <c r="S433" i="3"/>
  <c r="N448" i="3"/>
  <c r="N433" i="3"/>
  <c r="M436" i="3"/>
  <c r="H427" i="3"/>
  <c r="J437" i="3"/>
  <c r="AE428" i="3"/>
  <c r="H446" i="3"/>
  <c r="AF436" i="3"/>
  <c r="U426" i="3"/>
  <c r="Z439" i="3"/>
  <c r="M422" i="3"/>
  <c r="U436" i="3"/>
  <c r="M424" i="3"/>
  <c r="V424" i="3"/>
  <c r="P424" i="3"/>
  <c r="H437" i="3"/>
  <c r="AB433" i="3"/>
  <c r="AC442" i="3"/>
  <c r="Q441" i="3"/>
  <c r="M429" i="3"/>
  <c r="O428" i="3"/>
  <c r="Q432" i="3"/>
  <c r="F436" i="3"/>
  <c r="M433" i="3"/>
  <c r="T427" i="3"/>
  <c r="AB443" i="3"/>
  <c r="AI435" i="3"/>
  <c r="AG434" i="3"/>
  <c r="R448" i="3"/>
  <c r="W431" i="3"/>
  <c r="J426" i="3"/>
  <c r="AH436" i="3"/>
  <c r="O437" i="3"/>
  <c r="AF441" i="3"/>
  <c r="AC441" i="3"/>
  <c r="AE423" i="3"/>
  <c r="Y438" i="3"/>
  <c r="AD447" i="3"/>
  <c r="Y425" i="3"/>
  <c r="G447" i="3"/>
  <c r="G428" i="3"/>
  <c r="AC436" i="3"/>
  <c r="AG432" i="3"/>
  <c r="J421" i="3"/>
  <c r="V422" i="3"/>
  <c r="AI445" i="3"/>
  <c r="AA439" i="3"/>
  <c r="V445" i="3"/>
  <c r="T442" i="3"/>
  <c r="I445" i="3"/>
  <c r="Z430" i="3"/>
  <c r="V427" i="3"/>
  <c r="AG423" i="3"/>
  <c r="M430" i="3"/>
  <c r="R423" i="3"/>
  <c r="U448" i="3"/>
  <c r="AG448" i="3"/>
  <c r="T429" i="3"/>
  <c r="G427" i="3"/>
  <c r="N424" i="3"/>
  <c r="V439" i="3"/>
  <c r="J434" i="3"/>
  <c r="AC426" i="3"/>
  <c r="AD436" i="3"/>
  <c r="Z440" i="3"/>
  <c r="I440" i="3"/>
  <c r="AE431" i="3"/>
  <c r="M441" i="3"/>
  <c r="W447" i="3"/>
  <c r="Z434" i="3"/>
  <c r="AD429" i="3"/>
  <c r="F432" i="3"/>
  <c r="U424" i="3"/>
  <c r="AE443" i="3"/>
  <c r="AA421" i="3"/>
  <c r="M421" i="3"/>
  <c r="AG435" i="3"/>
  <c r="AE429" i="3"/>
  <c r="K429" i="3"/>
  <c r="AH443" i="3"/>
  <c r="P440" i="3"/>
  <c r="L428" i="3"/>
  <c r="N442" i="3"/>
  <c r="AB438" i="3"/>
  <c r="F423" i="3"/>
  <c r="R441" i="3"/>
  <c r="W443" i="3"/>
  <c r="AE441" i="3"/>
  <c r="AE435" i="3"/>
  <c r="Z428" i="3"/>
  <c r="O427" i="3"/>
  <c r="T443" i="3"/>
  <c r="K436" i="3"/>
  <c r="X443" i="3"/>
  <c r="G444" i="3"/>
  <c r="J443" i="3"/>
  <c r="AF434" i="3"/>
  <c r="R446" i="3"/>
  <c r="AH437" i="3"/>
  <c r="M438" i="3"/>
  <c r="W424" i="3"/>
  <c r="Z427" i="3"/>
  <c r="AD427" i="3"/>
  <c r="Z420" i="3"/>
  <c r="L423" i="3"/>
  <c r="AA423" i="3"/>
  <c r="Q422" i="3"/>
  <c r="F435" i="3"/>
  <c r="L421" i="3"/>
  <c r="AC440" i="3"/>
  <c r="AF424" i="3"/>
  <c r="O424" i="3"/>
  <c r="AG446" i="3"/>
  <c r="L442" i="3"/>
  <c r="AB437" i="3"/>
  <c r="H434" i="3"/>
  <c r="K420" i="3"/>
  <c r="AD424" i="3"/>
  <c r="V446" i="3"/>
  <c r="K444" i="3"/>
  <c r="I422" i="3"/>
  <c r="O436" i="3"/>
  <c r="Q429" i="3"/>
  <c r="Q446" i="3"/>
  <c r="AF431" i="3"/>
  <c r="AG421" i="3"/>
  <c r="AE447" i="3"/>
  <c r="R447" i="3"/>
  <c r="AC439" i="3"/>
  <c r="R422" i="3"/>
  <c r="AD448" i="3"/>
  <c r="Z433" i="3"/>
  <c r="J420" i="3"/>
  <c r="AA431" i="3"/>
  <c r="AG428" i="3"/>
  <c r="AA442" i="3"/>
  <c r="V438" i="3"/>
  <c r="Q440" i="3"/>
  <c r="R433" i="3"/>
  <c r="S446" i="3"/>
  <c r="Z445" i="3"/>
  <c r="W449" i="3"/>
  <c r="S449" i="3"/>
  <c r="AE440" i="3"/>
  <c r="H420" i="3"/>
  <c r="S442" i="3"/>
  <c r="O420" i="3"/>
  <c r="Y436" i="3"/>
  <c r="AC390" i="3"/>
  <c r="Z385" i="3"/>
  <c r="O384" i="3"/>
  <c r="AD390" i="3"/>
  <c r="P382" i="3"/>
  <c r="V405" i="3"/>
  <c r="W405" i="3"/>
  <c r="AA399" i="3"/>
  <c r="AH398" i="3"/>
  <c r="N403" i="3"/>
  <c r="G384" i="3"/>
  <c r="AG392" i="3"/>
  <c r="O394" i="3"/>
  <c r="AG408" i="3"/>
  <c r="U403" i="3"/>
  <c r="T410" i="3"/>
  <c r="P398" i="3"/>
  <c r="AB410" i="3"/>
  <c r="AC401" i="3"/>
  <c r="AC405" i="3"/>
  <c r="V389" i="3"/>
  <c r="R406" i="3"/>
  <c r="S399" i="3"/>
  <c r="AF401" i="3"/>
  <c r="Y392" i="3"/>
  <c r="AF407" i="3"/>
  <c r="N384" i="3"/>
  <c r="H402" i="3"/>
  <c r="R395" i="3"/>
  <c r="V411" i="3"/>
  <c r="AD411" i="3"/>
  <c r="AA392" i="3"/>
  <c r="P389" i="3"/>
  <c r="W398" i="3"/>
  <c r="AC408" i="3"/>
  <c r="AF405" i="3"/>
  <c r="M404" i="3"/>
  <c r="W385" i="3"/>
  <c r="P405" i="3"/>
  <c r="T384" i="3"/>
  <c r="N396" i="3"/>
  <c r="AE405" i="3"/>
  <c r="X403" i="3"/>
  <c r="O385" i="3"/>
  <c r="AC409" i="3"/>
  <c r="Z386" i="3"/>
  <c r="AG399" i="3"/>
  <c r="AH401" i="3"/>
  <c r="N391" i="3"/>
  <c r="AC395" i="3"/>
  <c r="F389" i="3"/>
  <c r="AE385" i="3"/>
  <c r="L389" i="3"/>
  <c r="O410" i="3"/>
  <c r="H405" i="3"/>
  <c r="K408" i="3"/>
  <c r="AI410" i="3"/>
  <c r="AF403" i="3"/>
  <c r="X408" i="3"/>
  <c r="N395" i="3"/>
  <c r="Y406" i="3"/>
  <c r="F395" i="3"/>
  <c r="AI409" i="3"/>
  <c r="AB394" i="3"/>
  <c r="N407" i="3"/>
  <c r="AB397" i="3"/>
  <c r="N393" i="3"/>
  <c r="H395" i="3"/>
  <c r="AF406" i="3"/>
  <c r="AI403" i="3"/>
  <c r="J392" i="3"/>
  <c r="Q395" i="3"/>
  <c r="L395" i="3"/>
  <c r="S392" i="3"/>
  <c r="AF382" i="3"/>
  <c r="V402" i="3"/>
  <c r="X394" i="3"/>
  <c r="V391" i="3"/>
  <c r="H386" i="3"/>
  <c r="Y405" i="3"/>
  <c r="L402" i="3"/>
  <c r="P385" i="3"/>
  <c r="K400" i="3"/>
  <c r="R384" i="3"/>
  <c r="H403" i="3"/>
  <c r="V392" i="3"/>
  <c r="S411" i="3"/>
  <c r="K395" i="3"/>
  <c r="Q389" i="3"/>
  <c r="AA393" i="3"/>
  <c r="AC398" i="3"/>
  <c r="G391" i="3"/>
  <c r="AI393" i="3"/>
  <c r="AD386" i="3"/>
  <c r="U396" i="3"/>
  <c r="M405" i="3"/>
  <c r="G396" i="3"/>
  <c r="AC388" i="3"/>
  <c r="AG391" i="3"/>
  <c r="K391" i="3"/>
  <c r="AI397" i="3"/>
  <c r="Y400" i="3"/>
  <c r="AC403" i="3"/>
  <c r="T385" i="3"/>
  <c r="AB406" i="3"/>
  <c r="U407" i="3"/>
  <c r="P397" i="3"/>
  <c r="K393" i="3"/>
  <c r="AD383" i="3"/>
  <c r="AI388" i="3"/>
  <c r="M410" i="3"/>
  <c r="Z399" i="3"/>
  <c r="AI400" i="3"/>
  <c r="I386" i="3"/>
  <c r="M389" i="3"/>
  <c r="Y411" i="3"/>
  <c r="O392" i="3"/>
  <c r="J388" i="3"/>
  <c r="AB405" i="3"/>
  <c r="M387" i="3"/>
  <c r="G403" i="3"/>
  <c r="F385" i="3"/>
  <c r="I389" i="3"/>
  <c r="AE409" i="3"/>
  <c r="AI406" i="3"/>
  <c r="AC394" i="3"/>
  <c r="V406" i="3"/>
  <c r="X407" i="3"/>
  <c r="AH411" i="3"/>
  <c r="AD399" i="3"/>
  <c r="T389" i="3"/>
  <c r="AF398" i="3"/>
  <c r="T406" i="3"/>
  <c r="J387" i="3"/>
  <c r="AE408" i="3"/>
  <c r="Y409" i="3"/>
  <c r="Z400" i="3"/>
  <c r="G400" i="3"/>
  <c r="J407" i="3"/>
  <c r="AC410" i="3"/>
  <c r="R410" i="3"/>
  <c r="W403" i="3"/>
  <c r="W404" i="3"/>
  <c r="AD389" i="3"/>
  <c r="Q383" i="3"/>
  <c r="Q382" i="3"/>
  <c r="P395" i="3"/>
  <c r="AA398" i="3"/>
  <c r="I398" i="3"/>
  <c r="AG384" i="3"/>
  <c r="Y386" i="3"/>
  <c r="V398" i="3"/>
  <c r="AB400" i="3"/>
  <c r="AG403" i="3"/>
  <c r="Z383" i="3"/>
  <c r="O386" i="3"/>
  <c r="V386" i="3"/>
  <c r="W401" i="3"/>
  <c r="O409" i="3"/>
  <c r="F401" i="3"/>
  <c r="U386" i="3"/>
  <c r="Z388" i="3"/>
  <c r="G387" i="3"/>
  <c r="H407" i="3"/>
  <c r="Q397" i="3"/>
  <c r="Z408" i="3"/>
  <c r="T393" i="3"/>
  <c r="R393" i="3"/>
  <c r="R404" i="3"/>
  <c r="U388" i="3"/>
  <c r="Y404" i="3"/>
  <c r="S402" i="3"/>
  <c r="P399" i="3"/>
  <c r="L401" i="3"/>
  <c r="AA382" i="3"/>
  <c r="AG393" i="3"/>
  <c r="AG390" i="3"/>
  <c r="AD404" i="3"/>
  <c r="H409" i="3"/>
  <c r="N402" i="3"/>
  <c r="H404" i="3"/>
  <c r="I397" i="3"/>
  <c r="K389" i="3"/>
  <c r="AE390" i="3"/>
  <c r="O391" i="3"/>
  <c r="R387" i="3"/>
  <c r="X399" i="3"/>
  <c r="F399" i="3"/>
  <c r="F392" i="3"/>
  <c r="I392" i="3"/>
  <c r="J391" i="3"/>
  <c r="AD402" i="3"/>
  <c r="I399" i="3"/>
  <c r="Z397" i="3"/>
  <c r="R405" i="3"/>
  <c r="Z394" i="3"/>
  <c r="F387" i="3"/>
  <c r="I404" i="3"/>
  <c r="Z395" i="3"/>
  <c r="G392" i="3"/>
  <c r="Y391" i="3"/>
  <c r="X387" i="3"/>
  <c r="AE397" i="3"/>
  <c r="J397" i="3"/>
  <c r="W402" i="3"/>
  <c r="AC411" i="3"/>
  <c r="AF387" i="3"/>
  <c r="AH383" i="3"/>
  <c r="J383" i="3"/>
  <c r="AC402" i="3"/>
  <c r="M399" i="3"/>
  <c r="Y382" i="3"/>
  <c r="AD403" i="3"/>
  <c r="Q409" i="3"/>
  <c r="AD385" i="3"/>
  <c r="X382" i="3"/>
  <c r="AE407" i="3"/>
  <c r="AG406" i="3"/>
  <c r="AA386" i="3"/>
  <c r="N390" i="3"/>
  <c r="AD400" i="3"/>
  <c r="T397" i="3"/>
  <c r="R401" i="3"/>
  <c r="P400" i="3"/>
  <c r="AE403" i="3"/>
  <c r="O402" i="3"/>
  <c r="X393" i="3"/>
  <c r="J401" i="3"/>
  <c r="U395" i="3"/>
  <c r="AG396" i="3"/>
  <c r="AF404" i="3"/>
  <c r="S405" i="3"/>
  <c r="P410" i="3"/>
  <c r="W410" i="3"/>
  <c r="AH407" i="3"/>
  <c r="AC399" i="3"/>
  <c r="F404" i="3"/>
  <c r="J395" i="3"/>
  <c r="AB404" i="3"/>
  <c r="F411" i="3"/>
  <c r="O382" i="3"/>
  <c r="AF396" i="3"/>
  <c r="T383" i="3"/>
  <c r="AG410" i="3"/>
  <c r="AD406" i="3"/>
  <c r="H391" i="3"/>
  <c r="I390" i="3"/>
  <c r="L398" i="3"/>
  <c r="H408" i="3"/>
  <c r="F394" i="3"/>
  <c r="AF409" i="3"/>
  <c r="Z405" i="3"/>
  <c r="N387" i="3"/>
  <c r="X395" i="3"/>
  <c r="R383" i="3"/>
  <c r="R399" i="3"/>
  <c r="W406" i="3"/>
  <c r="G382" i="3"/>
  <c r="I384" i="3"/>
  <c r="I400" i="3"/>
  <c r="V388" i="3"/>
  <c r="L387" i="3"/>
  <c r="X384" i="3"/>
  <c r="R409" i="3"/>
  <c r="W383" i="3"/>
  <c r="I391" i="3"/>
  <c r="AE404" i="3"/>
  <c r="AC407" i="3"/>
  <c r="K403" i="3"/>
  <c r="V401" i="3"/>
  <c r="U401" i="3"/>
  <c r="AE394" i="3"/>
  <c r="AI382" i="3"/>
  <c r="AB398" i="3"/>
  <c r="N392" i="3"/>
  <c r="Z407" i="3"/>
  <c r="AD384" i="3"/>
  <c r="Y395" i="3"/>
  <c r="U408" i="3"/>
  <c r="L400" i="3"/>
  <c r="W388" i="3"/>
  <c r="X406" i="3"/>
  <c r="Z409" i="3"/>
  <c r="N397" i="3"/>
  <c r="AD405" i="3"/>
  <c r="AH395" i="3"/>
  <c r="V384" i="3"/>
  <c r="AH382" i="3"/>
  <c r="L404" i="3"/>
  <c r="M406" i="3"/>
  <c r="I395" i="3"/>
  <c r="U410" i="3"/>
  <c r="F384" i="3"/>
  <c r="N399" i="3"/>
  <c r="V382" i="3"/>
  <c r="K384" i="3"/>
  <c r="Z396" i="3"/>
  <c r="AF388" i="3"/>
  <c r="X400" i="3"/>
  <c r="S398" i="3"/>
  <c r="AB402" i="3"/>
  <c r="P394" i="3"/>
  <c r="R394" i="3"/>
  <c r="G397" i="3"/>
  <c r="Q385" i="3"/>
  <c r="F405" i="3"/>
  <c r="T394" i="3"/>
  <c r="W391" i="3"/>
  <c r="P404" i="3"/>
  <c r="K404" i="3"/>
  <c r="S384" i="3"/>
  <c r="S409" i="3"/>
  <c r="L403" i="3"/>
  <c r="AB384" i="3"/>
  <c r="AA395" i="3"/>
  <c r="AH408" i="3"/>
  <c r="R396" i="3"/>
  <c r="P391" i="3"/>
  <c r="P408" i="3"/>
  <c r="J408" i="3"/>
  <c r="L385" i="3"/>
  <c r="Q393" i="3"/>
  <c r="U394" i="3"/>
  <c r="S387" i="3"/>
  <c r="AG397" i="3"/>
  <c r="I402" i="3"/>
  <c r="G385" i="3"/>
  <c r="AC383" i="3"/>
  <c r="P409" i="3"/>
  <c r="AE393" i="3"/>
  <c r="M394" i="3"/>
  <c r="AA383" i="3"/>
  <c r="AC393" i="3"/>
  <c r="AE387" i="3"/>
  <c r="AG388" i="3"/>
  <c r="F400" i="3"/>
  <c r="K402" i="3"/>
  <c r="M407" i="3"/>
  <c r="T391" i="3"/>
  <c r="V409" i="3"/>
  <c r="H393" i="3"/>
  <c r="L393" i="3"/>
  <c r="AC396" i="3"/>
  <c r="X388" i="3"/>
  <c r="W396" i="3"/>
  <c r="G410" i="3"/>
  <c r="Y398" i="3"/>
  <c r="U406" i="3"/>
  <c r="AF400" i="3"/>
  <c r="K410" i="3"/>
  <c r="AB393" i="3"/>
  <c r="AD397" i="3"/>
  <c r="AH399" i="3"/>
  <c r="AD410" i="3"/>
  <c r="T382" i="3"/>
  <c r="X411" i="3"/>
  <c r="U383" i="3"/>
  <c r="AF411" i="3"/>
  <c r="J399" i="3"/>
  <c r="S410" i="3"/>
  <c r="U399" i="3"/>
  <c r="AA410" i="3"/>
  <c r="Q406" i="3"/>
  <c r="AG400" i="3"/>
  <c r="L391" i="3"/>
  <c r="AF386" i="3"/>
  <c r="Z410" i="3"/>
  <c r="M397" i="3"/>
  <c r="O403" i="3"/>
  <c r="T408" i="3"/>
  <c r="AF391" i="3"/>
  <c r="K387" i="3"/>
  <c r="Z382" i="3"/>
  <c r="M392" i="3"/>
  <c r="V394" i="3"/>
  <c r="L410" i="3"/>
  <c r="J406" i="3"/>
  <c r="AH397" i="3"/>
  <c r="I393" i="3"/>
  <c r="L392" i="3"/>
  <c r="AE389" i="3"/>
  <c r="AB392" i="3"/>
  <c r="X385" i="3"/>
  <c r="AH391" i="3"/>
  <c r="H390" i="3"/>
  <c r="Z393" i="3"/>
  <c r="K396" i="3"/>
  <c r="G388" i="3"/>
  <c r="S391" i="3"/>
  <c r="AF410" i="3"/>
  <c r="AE383" i="3"/>
  <c r="Y402" i="3"/>
  <c r="P388" i="3"/>
  <c r="H396" i="3"/>
  <c r="AH389" i="3"/>
  <c r="L384" i="3"/>
  <c r="AA391" i="3"/>
  <c r="F403" i="3"/>
  <c r="AH394" i="3"/>
  <c r="AC400" i="3"/>
  <c r="AC392" i="3"/>
  <c r="K399" i="3"/>
  <c r="H383" i="3"/>
  <c r="F409" i="3"/>
  <c r="AA401" i="3"/>
  <c r="M386" i="3"/>
  <c r="O388" i="3"/>
  <c r="AF402" i="3"/>
  <c r="AG398" i="3"/>
  <c r="K398" i="3"/>
  <c r="K394" i="3"/>
  <c r="G407" i="3"/>
  <c r="AC397" i="3"/>
  <c r="W386" i="3"/>
  <c r="I382" i="3"/>
  <c r="U411" i="3"/>
  <c r="AB383" i="3"/>
  <c r="Y401" i="3"/>
  <c r="P406" i="3"/>
  <c r="S400" i="3"/>
  <c r="O404" i="3"/>
  <c r="AG383" i="3"/>
  <c r="K405" i="3"/>
  <c r="O395" i="3"/>
  <c r="S382" i="3"/>
  <c r="T396" i="3"/>
  <c r="G411" i="3"/>
  <c r="AE391" i="3"/>
  <c r="N386" i="3"/>
  <c r="K382" i="3"/>
  <c r="O387" i="3"/>
  <c r="U404" i="3"/>
  <c r="S394" i="3"/>
  <c r="Z387" i="3"/>
  <c r="AI384" i="3"/>
  <c r="AH393" i="3"/>
  <c r="AE386" i="3"/>
  <c r="AI390" i="3"/>
  <c r="AG404" i="3"/>
  <c r="F408" i="3"/>
  <c r="R400" i="3"/>
  <c r="V397" i="3"/>
  <c r="J402" i="3"/>
  <c r="Z398" i="3"/>
  <c r="Q399" i="3"/>
  <c r="M400" i="3"/>
  <c r="AD408" i="3"/>
  <c r="R392" i="3"/>
  <c r="G398" i="3"/>
  <c r="Y385" i="3"/>
  <c r="V403" i="3"/>
  <c r="AE388" i="3"/>
  <c r="AE396" i="3"/>
  <c r="Z384" i="3"/>
  <c r="W395" i="3"/>
  <c r="I409" i="3"/>
  <c r="Y407" i="3"/>
  <c r="AB395" i="3"/>
  <c r="AF393" i="3"/>
  <c r="O401" i="3"/>
  <c r="AB389" i="3"/>
  <c r="H398" i="3"/>
  <c r="G395" i="3"/>
  <c r="G406" i="3"/>
  <c r="K406" i="3"/>
  <c r="F388" i="3"/>
  <c r="K385" i="3"/>
  <c r="AH396" i="3"/>
  <c r="Y383" i="3"/>
  <c r="AI407" i="3"/>
  <c r="G402" i="3"/>
  <c r="Q401" i="3"/>
  <c r="V407" i="3"/>
  <c r="K390" i="3"/>
  <c r="I388" i="3"/>
  <c r="J393" i="3"/>
  <c r="W394" i="3"/>
  <c r="U397" i="3"/>
  <c r="H385" i="3"/>
  <c r="AE395" i="3"/>
  <c r="L399" i="3"/>
  <c r="F396" i="3"/>
  <c r="Y394" i="3"/>
  <c r="AE411" i="3"/>
  <c r="AC387" i="3"/>
  <c r="AI401" i="3"/>
  <c r="AI394" i="3"/>
  <c r="S393" i="3"/>
  <c r="N401" i="3"/>
  <c r="K392" i="3"/>
  <c r="AA396" i="3"/>
  <c r="J390" i="3"/>
  <c r="I405" i="3"/>
  <c r="R398" i="3"/>
  <c r="H411" i="3"/>
  <c r="K386" i="3"/>
  <c r="AH406" i="3"/>
  <c r="AI404" i="3"/>
  <c r="U409" i="3"/>
  <c r="T388" i="3"/>
  <c r="W382" i="3"/>
  <c r="AB396" i="3"/>
  <c r="N408" i="3"/>
  <c r="AH388" i="3"/>
  <c r="Z389" i="3"/>
  <c r="F410" i="3"/>
  <c r="AB386" i="3"/>
  <c r="Y399" i="3"/>
  <c r="G409" i="3"/>
  <c r="M401" i="3"/>
  <c r="AD391" i="3"/>
  <c r="S385" i="3"/>
  <c r="AD407" i="3"/>
  <c r="AI389" i="3"/>
  <c r="S386" i="3"/>
  <c r="AA389" i="3"/>
  <c r="X386" i="3"/>
  <c r="M402" i="3"/>
  <c r="AG395" i="3"/>
  <c r="T390" i="3"/>
  <c r="N405" i="3"/>
  <c r="AA388" i="3"/>
  <c r="AB403" i="3"/>
  <c r="T386" i="3"/>
  <c r="X404" i="3"/>
  <c r="Y389" i="3"/>
  <c r="Q388" i="3"/>
  <c r="J403" i="3"/>
  <c r="R386" i="3"/>
  <c r="AF397" i="3"/>
  <c r="P384" i="3"/>
  <c r="AD393" i="3"/>
  <c r="M409" i="3"/>
  <c r="S383" i="3"/>
  <c r="AF399" i="3"/>
  <c r="V390" i="3"/>
  <c r="AB401" i="3"/>
  <c r="AH405" i="3"/>
  <c r="S390" i="3"/>
  <c r="U402" i="3"/>
  <c r="L407" i="3"/>
  <c r="F402" i="3"/>
  <c r="U400" i="3"/>
  <c r="W390" i="3"/>
  <c r="AB391" i="3"/>
  <c r="J386" i="3"/>
  <c r="O393" i="3"/>
  <c r="AH410" i="3"/>
  <c r="G389" i="3"/>
  <c r="J400" i="3"/>
  <c r="V385" i="3"/>
  <c r="AB408" i="3"/>
  <c r="O390" i="3"/>
  <c r="AA384" i="3"/>
  <c r="P403" i="3"/>
  <c r="V387" i="3"/>
  <c r="V400" i="3"/>
  <c r="AA403" i="3"/>
  <c r="AF390" i="3"/>
  <c r="H389" i="3"/>
  <c r="R391" i="3"/>
  <c r="N383" i="3"/>
  <c r="V410" i="3"/>
  <c r="W411" i="3"/>
  <c r="H388" i="3"/>
  <c r="AI387" i="3"/>
  <c r="AA394" i="3"/>
  <c r="N404" i="3"/>
  <c r="AG407" i="3"/>
  <c r="N382" i="3"/>
  <c r="G404" i="3"/>
  <c r="I401" i="3"/>
  <c r="AE382" i="3"/>
  <c r="AI408" i="3"/>
  <c r="J384" i="3"/>
  <c r="Q390" i="3"/>
  <c r="AE401" i="3"/>
  <c r="I396" i="3"/>
  <c r="AA411" i="3"/>
  <c r="O405" i="3"/>
  <c r="AH402" i="3"/>
  <c r="Q411" i="3"/>
  <c r="AA407" i="3"/>
  <c r="K388" i="3"/>
  <c r="Y393" i="3"/>
  <c r="Q384" i="3"/>
  <c r="L406" i="3"/>
  <c r="AI396" i="3"/>
  <c r="AG386" i="3"/>
  <c r="W387" i="3"/>
  <c r="Z406" i="3"/>
  <c r="V399" i="3"/>
  <c r="AG389" i="3"/>
  <c r="AI385" i="3"/>
  <c r="Q392" i="3"/>
  <c r="AC382" i="3"/>
  <c r="O399" i="3"/>
  <c r="U405" i="3"/>
  <c r="I406" i="3"/>
  <c r="H400" i="3"/>
  <c r="S396" i="3"/>
  <c r="AB388" i="3"/>
  <c r="Q394" i="3"/>
  <c r="R390" i="3"/>
  <c r="U389" i="3"/>
  <c r="S397" i="3"/>
  <c r="J394" i="3"/>
  <c r="W408" i="3"/>
  <c r="L397" i="3"/>
  <c r="O397" i="3"/>
  <c r="W397" i="3"/>
  <c r="K383" i="3"/>
  <c r="H401" i="3"/>
  <c r="AA390" i="3"/>
  <c r="L382" i="3"/>
  <c r="AD401" i="3"/>
  <c r="AI383" i="3"/>
  <c r="M411" i="3"/>
  <c r="AI398" i="3"/>
  <c r="T401" i="3"/>
  <c r="F407" i="3"/>
  <c r="T399" i="3"/>
  <c r="N385" i="3"/>
  <c r="G401" i="3"/>
  <c r="AB411" i="3"/>
  <c r="I403" i="3"/>
  <c r="X396" i="3"/>
  <c r="Y396" i="3"/>
  <c r="X389" i="3"/>
  <c r="J382" i="3"/>
  <c r="Q403" i="3"/>
  <c r="S407" i="3"/>
  <c r="N406" i="3"/>
  <c r="Y408" i="3"/>
  <c r="F383" i="3"/>
  <c r="M403" i="3"/>
  <c r="Q405" i="3"/>
  <c r="W389" i="3"/>
  <c r="N400" i="3"/>
  <c r="R403" i="3"/>
  <c r="V396" i="3"/>
  <c r="W399" i="3"/>
  <c r="T407" i="3"/>
  <c r="V395" i="3"/>
  <c r="U382" i="3"/>
  <c r="H394" i="3"/>
  <c r="Q386" i="3"/>
  <c r="AE406" i="3"/>
  <c r="AG387" i="3"/>
  <c r="X397" i="3"/>
  <c r="AA409" i="3"/>
  <c r="S406" i="3"/>
  <c r="AG401" i="3"/>
  <c r="Q387" i="3"/>
  <c r="Q396" i="3"/>
  <c r="AI163" i="3"/>
  <c r="J182" i="3"/>
  <c r="AD168" i="3"/>
  <c r="H155" i="3"/>
  <c r="AB156" i="3"/>
  <c r="F175" i="3"/>
  <c r="F173" i="3"/>
  <c r="I168" i="3"/>
  <c r="AA167" i="3"/>
  <c r="Q179" i="3"/>
  <c r="AF162" i="3"/>
  <c r="S164" i="3"/>
  <c r="H165" i="3"/>
  <c r="N156" i="3"/>
  <c r="AI162" i="3"/>
  <c r="T169" i="3"/>
  <c r="AF169" i="3"/>
  <c r="V160" i="3"/>
  <c r="T163" i="3"/>
  <c r="M178" i="3"/>
  <c r="Y178" i="3"/>
  <c r="W156" i="3"/>
  <c r="Y165" i="3"/>
  <c r="M176" i="3"/>
  <c r="G175" i="3"/>
  <c r="K181" i="3"/>
  <c r="AB169" i="3"/>
  <c r="H180" i="3"/>
  <c r="H171" i="3"/>
  <c r="Z154" i="3"/>
  <c r="AG157" i="3"/>
  <c r="AF180" i="3"/>
  <c r="M164" i="3"/>
  <c r="AC166" i="3"/>
  <c r="S157" i="3"/>
  <c r="AB166" i="3"/>
  <c r="AI169" i="3"/>
  <c r="R171" i="3"/>
  <c r="AF164" i="3"/>
  <c r="Q158" i="3"/>
  <c r="T180" i="3"/>
  <c r="O176" i="3"/>
  <c r="Q160" i="3"/>
  <c r="AG169" i="3"/>
  <c r="K173" i="3"/>
  <c r="AE175" i="3"/>
  <c r="AB178" i="3"/>
  <c r="Y173" i="3"/>
  <c r="S163" i="3"/>
  <c r="J163" i="3"/>
  <c r="O164" i="3"/>
  <c r="G168" i="3"/>
  <c r="H179" i="3"/>
  <c r="U163" i="3"/>
  <c r="Z178" i="3"/>
  <c r="H181" i="3"/>
  <c r="AI168" i="3"/>
  <c r="AC167" i="3"/>
  <c r="I169" i="3"/>
  <c r="L160" i="3"/>
  <c r="U170" i="3"/>
  <c r="T183" i="3"/>
  <c r="I183" i="3"/>
  <c r="W169" i="3"/>
  <c r="O178" i="3"/>
  <c r="P161" i="3"/>
  <c r="Q159" i="3"/>
  <c r="I157" i="3"/>
  <c r="AH176" i="3"/>
  <c r="U166" i="3"/>
  <c r="Q173" i="3"/>
  <c r="AB181" i="3"/>
  <c r="P155" i="3"/>
  <c r="P166" i="3"/>
  <c r="T182" i="3"/>
  <c r="Y154" i="3"/>
  <c r="AD166" i="3"/>
  <c r="AB168" i="3"/>
  <c r="AH165" i="3"/>
  <c r="W157" i="3"/>
  <c r="AC183" i="3"/>
  <c r="K161" i="3"/>
  <c r="Z175" i="3"/>
  <c r="AA157" i="3"/>
  <c r="K162" i="3"/>
  <c r="AB167" i="3"/>
  <c r="M171" i="3"/>
  <c r="K169" i="3"/>
  <c r="X163" i="3"/>
  <c r="R178" i="3"/>
  <c r="L181" i="3"/>
  <c r="AA178" i="3"/>
  <c r="G181" i="3"/>
  <c r="P156" i="3"/>
  <c r="U183" i="3"/>
  <c r="Y182" i="3"/>
  <c r="M167" i="3"/>
  <c r="H160" i="3"/>
  <c r="Q178" i="3"/>
  <c r="G176" i="3"/>
  <c r="AC163" i="3"/>
  <c r="N183" i="3"/>
  <c r="F156" i="3"/>
  <c r="G182" i="3"/>
  <c r="Q157" i="3"/>
  <c r="Y168" i="3"/>
  <c r="J158" i="3"/>
  <c r="X177" i="3"/>
  <c r="U158" i="3"/>
  <c r="Q175" i="3"/>
  <c r="H163" i="3"/>
  <c r="P178" i="3"/>
  <c r="H168" i="3"/>
  <c r="AE183" i="3"/>
  <c r="AC154" i="3"/>
  <c r="X158" i="3"/>
  <c r="H158" i="3"/>
  <c r="Q171" i="3"/>
  <c r="K178" i="3"/>
  <c r="X173" i="3"/>
  <c r="T160" i="3"/>
  <c r="AB163" i="3"/>
  <c r="V154" i="3"/>
  <c r="AG174" i="3"/>
  <c r="P180" i="3"/>
  <c r="U175" i="3"/>
  <c r="H172" i="3"/>
  <c r="AD174" i="3"/>
  <c r="W179" i="3"/>
  <c r="AE160" i="3"/>
  <c r="L169" i="3"/>
  <c r="N163" i="3"/>
  <c r="AE170" i="3"/>
  <c r="R164" i="3"/>
  <c r="AB174" i="3"/>
  <c r="Q154" i="3"/>
  <c r="Q183" i="3"/>
  <c r="F172" i="3"/>
  <c r="G180" i="3"/>
  <c r="R155" i="3"/>
  <c r="AC173" i="3"/>
  <c r="V183" i="3"/>
  <c r="AC158" i="3"/>
  <c r="AC160" i="3"/>
  <c r="AC171" i="3"/>
  <c r="AD177" i="3"/>
  <c r="AD159" i="3"/>
  <c r="G178" i="3"/>
  <c r="J154" i="3"/>
  <c r="AI154" i="3"/>
  <c r="AD176" i="3"/>
  <c r="Q155" i="3"/>
  <c r="R162" i="3"/>
  <c r="J164" i="3"/>
  <c r="AA165" i="3"/>
  <c r="AD180" i="3"/>
  <c r="AA158" i="3"/>
  <c r="AE182" i="3"/>
  <c r="O173" i="3"/>
  <c r="AI170" i="3"/>
  <c r="Z157" i="3"/>
  <c r="U177" i="3"/>
  <c r="Z159" i="3"/>
  <c r="W182" i="3"/>
  <c r="AD169" i="3"/>
  <c r="AE162" i="3"/>
  <c r="V156" i="3"/>
  <c r="H166" i="3"/>
  <c r="W158" i="3"/>
  <c r="AA164" i="3"/>
  <c r="Z181" i="3"/>
  <c r="AH160" i="3"/>
  <c r="H183" i="3"/>
  <c r="V177" i="3"/>
  <c r="AI158" i="3"/>
  <c r="W170" i="3"/>
  <c r="AH173" i="3"/>
  <c r="AB164" i="3"/>
  <c r="G164" i="3"/>
  <c r="J155" i="3"/>
  <c r="W178" i="3"/>
  <c r="P173" i="3"/>
  <c r="K176" i="3"/>
  <c r="AB157" i="3"/>
  <c r="AC177" i="3"/>
  <c r="M162" i="3"/>
  <c r="N161" i="3"/>
  <c r="V171" i="3"/>
  <c r="O177" i="3"/>
  <c r="AH167" i="3"/>
  <c r="V158" i="3"/>
  <c r="Q182" i="3"/>
  <c r="AB155" i="3"/>
  <c r="AA174" i="3"/>
  <c r="AE158" i="3"/>
  <c r="AC170" i="3"/>
  <c r="J160" i="3"/>
  <c r="AA171" i="3"/>
  <c r="I172" i="3"/>
  <c r="AI161" i="3"/>
  <c r="U159" i="3"/>
  <c r="O154" i="3"/>
  <c r="P167" i="3"/>
  <c r="P160" i="3"/>
  <c r="F162" i="3"/>
  <c r="M173" i="3"/>
  <c r="AI156" i="3"/>
  <c r="AF178" i="3"/>
  <c r="V157" i="3"/>
  <c r="AG176" i="3"/>
  <c r="U179" i="3"/>
  <c r="K167" i="3"/>
  <c r="I159" i="3"/>
  <c r="Y181" i="3"/>
  <c r="O168" i="3"/>
  <c r="I161" i="3"/>
  <c r="AG179" i="3"/>
  <c r="AH155" i="3"/>
  <c r="Y159" i="3"/>
  <c r="M179" i="3"/>
  <c r="R169" i="3"/>
  <c r="U174" i="3"/>
  <c r="P164" i="3"/>
  <c r="AH166" i="3"/>
  <c r="S165" i="3"/>
  <c r="V172" i="3"/>
  <c r="AB173" i="3"/>
  <c r="N181" i="3"/>
  <c r="Z162" i="3"/>
  <c r="R156" i="3"/>
  <c r="Q172" i="3"/>
  <c r="T158" i="3"/>
  <c r="G159" i="3"/>
  <c r="O167" i="3"/>
  <c r="AG180" i="3"/>
  <c r="AC178" i="3"/>
  <c r="H154" i="3"/>
  <c r="R183" i="3"/>
  <c r="R179" i="3"/>
  <c r="F179" i="3"/>
  <c r="Y177" i="3"/>
  <c r="Y160" i="3"/>
  <c r="I179" i="3"/>
  <c r="Y157" i="3"/>
  <c r="R180" i="3"/>
  <c r="Z156" i="3"/>
  <c r="I164" i="3"/>
  <c r="X165" i="3"/>
  <c r="AI160" i="3"/>
  <c r="H173" i="3"/>
  <c r="N172" i="3"/>
  <c r="R161" i="3"/>
  <c r="Q169" i="3"/>
  <c r="I176" i="3"/>
  <c r="N180" i="3"/>
  <c r="Y158" i="3"/>
  <c r="Q156" i="3"/>
  <c r="AH157" i="3"/>
  <c r="X161" i="3"/>
  <c r="U168" i="3"/>
  <c r="M177" i="3"/>
  <c r="N177" i="3"/>
  <c r="AE161" i="3"/>
  <c r="W165" i="3"/>
  <c r="AG156" i="3"/>
  <c r="AH156" i="3"/>
  <c r="P163" i="3"/>
  <c r="AF174" i="3"/>
  <c r="AI178" i="3"/>
  <c r="R177" i="3"/>
  <c r="G167" i="3"/>
  <c r="I178" i="3"/>
  <c r="H156" i="3"/>
  <c r="L179" i="3"/>
  <c r="F158" i="3"/>
  <c r="T167" i="3"/>
  <c r="L170" i="3"/>
  <c r="M156" i="3"/>
  <c r="AD170" i="3"/>
  <c r="AI159" i="3"/>
  <c r="AD154" i="3"/>
  <c r="G169" i="3"/>
  <c r="P176" i="3"/>
  <c r="V176" i="3"/>
  <c r="X171" i="3"/>
  <c r="AG154" i="3"/>
  <c r="AI172" i="3"/>
  <c r="AA166" i="3"/>
  <c r="G162" i="3"/>
  <c r="J181" i="3"/>
  <c r="AB177" i="3"/>
  <c r="AB172" i="3"/>
  <c r="AG166" i="3"/>
  <c r="T161" i="3"/>
  <c r="I170" i="3"/>
  <c r="P174" i="3"/>
  <c r="V167" i="3"/>
  <c r="V168" i="3"/>
  <c r="R159" i="3"/>
  <c r="G170" i="3"/>
  <c r="X170" i="3"/>
  <c r="AA168" i="3"/>
  <c r="Y170" i="3"/>
  <c r="AA180" i="3"/>
  <c r="I181" i="3"/>
  <c r="AF160" i="3"/>
  <c r="T171" i="3"/>
  <c r="L162" i="3"/>
  <c r="AC176" i="3"/>
  <c r="AF39" i="2"/>
  <c r="AQ20" i="2"/>
  <c r="S694" i="3"/>
  <c r="F712" i="3"/>
  <c r="AD708" i="3"/>
  <c r="N695" i="3"/>
  <c r="AI695" i="3"/>
  <c r="U686" i="3"/>
  <c r="AD705" i="3"/>
  <c r="H686" i="3"/>
  <c r="AH696" i="3"/>
  <c r="I695" i="3"/>
  <c r="N690" i="3"/>
  <c r="M707" i="3"/>
  <c r="S688" i="3"/>
  <c r="AG703" i="3"/>
  <c r="Z709" i="3"/>
  <c r="U706" i="3"/>
  <c r="AF714" i="3"/>
  <c r="H697" i="3"/>
  <c r="S713" i="3"/>
  <c r="Z696" i="3"/>
  <c r="R715" i="3"/>
  <c r="T689" i="3"/>
  <c r="L706" i="3"/>
  <c r="K704" i="3"/>
  <c r="G713" i="3"/>
  <c r="R709" i="3"/>
  <c r="U690" i="3"/>
  <c r="Y686" i="3"/>
  <c r="AI707" i="3"/>
  <c r="Y696" i="3"/>
  <c r="AA695" i="3"/>
  <c r="X714" i="3"/>
  <c r="U708" i="3"/>
  <c r="W709" i="3"/>
  <c r="S699" i="3"/>
  <c r="O703" i="3"/>
  <c r="J696" i="3"/>
  <c r="H713" i="3"/>
  <c r="X705" i="3"/>
  <c r="K687" i="3"/>
  <c r="R697" i="3"/>
  <c r="AI694" i="3"/>
  <c r="AH708" i="3"/>
  <c r="O706" i="3"/>
  <c r="O691" i="3"/>
  <c r="O708" i="3"/>
  <c r="AC706" i="3"/>
  <c r="W688" i="3"/>
  <c r="Z693" i="3"/>
  <c r="I694" i="3"/>
  <c r="K691" i="3"/>
  <c r="S697" i="3"/>
  <c r="AF696" i="3"/>
  <c r="V704" i="3"/>
  <c r="AB708" i="3"/>
  <c r="M686" i="3"/>
  <c r="M706" i="3"/>
  <c r="I693" i="3"/>
  <c r="U688" i="3"/>
  <c r="K690" i="3"/>
  <c r="U701" i="3"/>
  <c r="AC712" i="3"/>
  <c r="I687" i="3"/>
  <c r="W712" i="3"/>
  <c r="F704" i="3"/>
  <c r="K709" i="3"/>
  <c r="O693" i="3"/>
  <c r="AG698" i="3"/>
  <c r="Y704" i="3"/>
  <c r="AE701" i="3"/>
  <c r="AD702" i="3"/>
  <c r="G707" i="3"/>
  <c r="Q697" i="3"/>
  <c r="AG705" i="3"/>
  <c r="F701" i="3"/>
  <c r="AD701" i="3"/>
  <c r="L694" i="3"/>
  <c r="AG707" i="3"/>
  <c r="AB700" i="3"/>
  <c r="V694" i="3"/>
  <c r="O697" i="3"/>
  <c r="AA714" i="3"/>
  <c r="AD696" i="3"/>
  <c r="AC689" i="3"/>
  <c r="AE708" i="3"/>
  <c r="R686" i="3"/>
  <c r="K688" i="3"/>
  <c r="AE692" i="3"/>
  <c r="AE688" i="3"/>
  <c r="AA697" i="3"/>
  <c r="O695" i="3"/>
  <c r="F713" i="3"/>
  <c r="Y687" i="3"/>
  <c r="Q693" i="3"/>
  <c r="K701" i="3"/>
  <c r="L689" i="3"/>
  <c r="S692" i="3"/>
  <c r="J706" i="3"/>
  <c r="U695" i="3"/>
  <c r="AG687" i="3"/>
  <c r="U707" i="3"/>
  <c r="AD698" i="3"/>
  <c r="AE690" i="3"/>
  <c r="Q698" i="3"/>
  <c r="AG689" i="3"/>
  <c r="V700" i="3"/>
  <c r="J699" i="3"/>
  <c r="Q701" i="3"/>
  <c r="N705" i="3"/>
  <c r="G704" i="3"/>
  <c r="AF689" i="3"/>
  <c r="S714" i="3"/>
  <c r="T699" i="3"/>
  <c r="AG695" i="3"/>
  <c r="R688" i="3"/>
  <c r="K696" i="3"/>
  <c r="J715" i="3"/>
  <c r="AH711" i="3"/>
  <c r="L695" i="3"/>
  <c r="O704" i="3"/>
  <c r="AB703" i="3"/>
  <c r="M712" i="3"/>
  <c r="Y709" i="3"/>
  <c r="Z698" i="3"/>
  <c r="Y700" i="3"/>
  <c r="AD709" i="3"/>
  <c r="M701" i="3"/>
  <c r="AE686" i="3"/>
  <c r="AC692" i="3"/>
  <c r="AG715" i="3"/>
  <c r="S708" i="3"/>
  <c r="Y714" i="3"/>
  <c r="AG699" i="3"/>
  <c r="R712" i="3"/>
  <c r="T697" i="3"/>
  <c r="AD713" i="3"/>
  <c r="V703" i="3"/>
  <c r="L704" i="3"/>
  <c r="AE700" i="3"/>
  <c r="AF686" i="3"/>
  <c r="AF700" i="3"/>
  <c r="G710" i="3"/>
  <c r="U709" i="3"/>
  <c r="T693" i="3"/>
  <c r="Z712" i="3"/>
  <c r="Y694" i="3"/>
  <c r="L708" i="3"/>
  <c r="K700" i="3"/>
  <c r="W704" i="3"/>
  <c r="H715" i="3"/>
  <c r="I691" i="3"/>
  <c r="P699" i="3"/>
  <c r="U711" i="3"/>
  <c r="Q687" i="3"/>
  <c r="Y698" i="3"/>
  <c r="AE705" i="3"/>
  <c r="V696" i="3"/>
  <c r="T690" i="3"/>
  <c r="K710" i="3"/>
  <c r="AB693" i="3"/>
  <c r="F714" i="3"/>
  <c r="V707" i="3"/>
  <c r="T704" i="3"/>
  <c r="AG712" i="3"/>
  <c r="Z715" i="3"/>
  <c r="U704" i="3"/>
  <c r="AD689" i="3"/>
  <c r="AA694" i="3"/>
  <c r="Q704" i="3"/>
  <c r="AI714" i="3"/>
  <c r="P712" i="3"/>
  <c r="AF693" i="3"/>
  <c r="I715" i="3"/>
  <c r="I689" i="3"/>
  <c r="H705" i="3"/>
  <c r="X687" i="3"/>
  <c r="R700" i="3"/>
  <c r="L711" i="3"/>
  <c r="V697" i="3"/>
  <c r="AG690" i="3"/>
  <c r="Q686" i="3"/>
  <c r="Y692" i="3"/>
  <c r="M687" i="3"/>
  <c r="AF692" i="3"/>
  <c r="R711" i="3"/>
  <c r="N694" i="3"/>
  <c r="AD714" i="3"/>
  <c r="N688" i="3"/>
  <c r="H693" i="3"/>
  <c r="S696" i="3"/>
  <c r="M700" i="3"/>
  <c r="AI708" i="3"/>
  <c r="V702" i="3"/>
  <c r="M698" i="3"/>
  <c r="N701" i="3"/>
  <c r="AH709" i="3"/>
  <c r="W702" i="3"/>
  <c r="O692" i="3"/>
  <c r="G711" i="3"/>
  <c r="AD687" i="3"/>
  <c r="H696" i="3"/>
  <c r="O696" i="3"/>
  <c r="Q710" i="3"/>
  <c r="O705" i="3"/>
  <c r="AH697" i="3"/>
  <c r="N706" i="3"/>
  <c r="AI711" i="3"/>
  <c r="J708" i="3"/>
  <c r="Y695" i="3"/>
  <c r="M708" i="3"/>
  <c r="AE715" i="3"/>
  <c r="N689" i="3"/>
  <c r="F706" i="3"/>
  <c r="W692" i="3"/>
  <c r="I714" i="3"/>
  <c r="Q707" i="3"/>
  <c r="S705" i="3"/>
  <c r="AD695" i="3"/>
  <c r="O701" i="3"/>
  <c r="L697" i="3"/>
  <c r="W714" i="3"/>
  <c r="T686" i="3"/>
  <c r="H707" i="3"/>
  <c r="O712" i="3"/>
  <c r="AG704" i="3"/>
  <c r="AB705" i="3"/>
  <c r="AB701" i="3"/>
  <c r="X709" i="3"/>
  <c r="Y702" i="3"/>
  <c r="AI696" i="3"/>
  <c r="AI692" i="3"/>
  <c r="T688" i="3"/>
  <c r="Q709" i="3"/>
  <c r="AI699" i="3"/>
  <c r="S709" i="3"/>
  <c r="AF694" i="3"/>
  <c r="Y705" i="3"/>
  <c r="Z691" i="3"/>
  <c r="T709" i="3"/>
  <c r="L693" i="3"/>
  <c r="F692" i="3"/>
  <c r="Y712" i="3"/>
  <c r="P705" i="3"/>
  <c r="O714" i="3"/>
  <c r="F711" i="3"/>
  <c r="AC686" i="3"/>
  <c r="R691" i="3"/>
  <c r="L713" i="3"/>
  <c r="O707" i="3"/>
  <c r="R694" i="3"/>
  <c r="K697" i="3"/>
  <c r="AI700" i="3"/>
  <c r="AH706" i="3"/>
  <c r="V688" i="3"/>
  <c r="S712" i="3"/>
  <c r="AE689" i="3"/>
  <c r="O698" i="3"/>
  <c r="AB714" i="3"/>
  <c r="W695" i="3"/>
  <c r="AH694" i="3"/>
  <c r="V699" i="3"/>
  <c r="R687" i="3"/>
  <c r="S715" i="3"/>
  <c r="W697" i="3"/>
  <c r="I709" i="3"/>
  <c r="Y708" i="3"/>
  <c r="AC708" i="3"/>
  <c r="T703" i="3"/>
  <c r="U699" i="3"/>
  <c r="H688" i="3"/>
  <c r="O709" i="3"/>
  <c r="Z713" i="3"/>
  <c r="G697" i="3"/>
  <c r="P706" i="3"/>
  <c r="P688" i="3"/>
  <c r="M703" i="3"/>
  <c r="M688" i="3"/>
  <c r="S690" i="3"/>
  <c r="AF707" i="3"/>
  <c r="K686" i="3"/>
  <c r="J704" i="3"/>
  <c r="L699" i="3"/>
  <c r="S689" i="3"/>
  <c r="L707" i="3"/>
  <c r="X700" i="3"/>
  <c r="O689" i="3"/>
  <c r="AB698" i="3"/>
  <c r="S695" i="3"/>
  <c r="Q713" i="3"/>
  <c r="K711" i="3"/>
  <c r="G703" i="3"/>
  <c r="Q711" i="3"/>
  <c r="J709" i="3"/>
  <c r="AB695" i="3"/>
  <c r="L701" i="3"/>
  <c r="P708" i="3"/>
  <c r="J691" i="3"/>
  <c r="L687" i="3"/>
  <c r="AA701" i="3"/>
  <c r="M714" i="3"/>
  <c r="O710" i="3"/>
  <c r="S687" i="3"/>
  <c r="AI710" i="3"/>
  <c r="H692" i="3"/>
  <c r="J695" i="3"/>
  <c r="AB704" i="3"/>
  <c r="AD693" i="3"/>
  <c r="Q699" i="3"/>
  <c r="P686" i="3"/>
  <c r="I700" i="3"/>
  <c r="AC693" i="3"/>
  <c r="R690" i="3"/>
  <c r="H711" i="3"/>
  <c r="X707" i="3"/>
  <c r="AB707" i="3"/>
  <c r="W713" i="3"/>
  <c r="Z704" i="3"/>
  <c r="P689" i="3"/>
  <c r="R705" i="3"/>
  <c r="AE706" i="3"/>
  <c r="AF708" i="3"/>
  <c r="K692" i="3"/>
  <c r="AF687" i="3"/>
  <c r="X691" i="3"/>
  <c r="N713" i="3"/>
  <c r="L714" i="3"/>
  <c r="N687" i="3"/>
  <c r="S698" i="3"/>
  <c r="M696" i="3"/>
  <c r="R708" i="3"/>
  <c r="R702" i="3"/>
  <c r="N712" i="3"/>
  <c r="AG697" i="3"/>
  <c r="V715" i="3"/>
  <c r="AI697" i="3"/>
  <c r="N686" i="3"/>
  <c r="M689" i="3"/>
  <c r="AB702" i="3"/>
  <c r="AI712" i="3"/>
  <c r="I706" i="3"/>
  <c r="AE698" i="3"/>
  <c r="P715" i="3"/>
  <c r="Z694" i="3"/>
  <c r="AD692" i="3"/>
  <c r="H698" i="3"/>
  <c r="AA715" i="3"/>
  <c r="G692" i="3"/>
  <c r="W706" i="3"/>
  <c r="AG708" i="3"/>
  <c r="Y689" i="3"/>
  <c r="P713" i="3"/>
  <c r="V708" i="3"/>
  <c r="AH705" i="3"/>
  <c r="L686" i="3"/>
  <c r="I711" i="3"/>
  <c r="J710" i="3"/>
  <c r="AD707" i="3"/>
  <c r="O694" i="3"/>
  <c r="AA686" i="3"/>
  <c r="X699" i="3"/>
  <c r="AA698" i="3"/>
  <c r="AE693" i="3"/>
  <c r="U710" i="3"/>
  <c r="Q702" i="3"/>
  <c r="G689" i="3"/>
  <c r="N714" i="3"/>
  <c r="W705" i="3"/>
  <c r="AH698" i="3"/>
  <c r="G690" i="3"/>
  <c r="R698" i="3"/>
  <c r="I712" i="3"/>
  <c r="J693" i="3"/>
  <c r="AF710" i="3"/>
  <c r="Y715" i="3"/>
  <c r="AC697" i="3"/>
  <c r="I699" i="3"/>
  <c r="AG693" i="3"/>
  <c r="M694" i="3"/>
  <c r="AC713" i="3"/>
  <c r="Z686" i="3"/>
  <c r="O699" i="3"/>
  <c r="U705" i="3"/>
  <c r="L703" i="3"/>
  <c r="AG713" i="3"/>
  <c r="F697" i="3"/>
  <c r="X712" i="3"/>
  <c r="AG711" i="3"/>
  <c r="AI698" i="3"/>
  <c r="W715" i="3"/>
  <c r="AC707" i="3"/>
  <c r="S707" i="3"/>
  <c r="AG702" i="3"/>
  <c r="L692" i="3"/>
  <c r="F702" i="3"/>
  <c r="AI693" i="3"/>
  <c r="U696" i="3"/>
  <c r="N711" i="3"/>
  <c r="K694" i="3"/>
  <c r="G701" i="3"/>
  <c r="Y703" i="3"/>
  <c r="AF699" i="3"/>
  <c r="AG691" i="3"/>
  <c r="L700" i="3"/>
  <c r="AE710" i="3"/>
  <c r="AH714" i="3"/>
  <c r="AA689" i="3"/>
  <c r="O702" i="3"/>
  <c r="AH693" i="3"/>
  <c r="J697" i="3"/>
  <c r="AH702" i="3"/>
  <c r="T712" i="3"/>
  <c r="X692" i="3"/>
  <c r="J712" i="3"/>
  <c r="Y710" i="3"/>
  <c r="AF704" i="3"/>
  <c r="X715" i="3"/>
  <c r="J700" i="3"/>
  <c r="Z688" i="3"/>
  <c r="I702" i="3"/>
  <c r="W708" i="3"/>
  <c r="AF688" i="3"/>
  <c r="AH715" i="3"/>
  <c r="O686" i="3"/>
  <c r="AA713" i="3"/>
  <c r="AB697" i="3"/>
  <c r="L710" i="3"/>
  <c r="AE696" i="3"/>
  <c r="S693" i="3"/>
  <c r="F691" i="3"/>
  <c r="P687" i="3"/>
  <c r="AA691" i="3"/>
  <c r="X689" i="3"/>
  <c r="F699" i="3"/>
  <c r="G712" i="3"/>
  <c r="G698" i="3"/>
  <c r="N703" i="3"/>
  <c r="G695" i="3"/>
  <c r="P694" i="3"/>
  <c r="AC714" i="3"/>
  <c r="AC695" i="3"/>
  <c r="W701" i="3"/>
  <c r="V695" i="3"/>
  <c r="I710" i="3"/>
  <c r="AD715" i="3"/>
  <c r="AE697" i="3"/>
  <c r="AE709" i="3"/>
  <c r="AA690" i="3"/>
  <c r="U698" i="3"/>
  <c r="AB709" i="3"/>
  <c r="G705" i="3"/>
  <c r="L705" i="3"/>
  <c r="AB712" i="3"/>
  <c r="X697" i="3"/>
  <c r="U691" i="3"/>
  <c r="AE707" i="3"/>
  <c r="U713" i="3"/>
  <c r="AA688" i="3"/>
  <c r="T714" i="3"/>
  <c r="G686" i="3"/>
  <c r="AH689" i="3"/>
  <c r="W691" i="3"/>
  <c r="M702" i="3"/>
  <c r="U700" i="3"/>
  <c r="J705" i="3"/>
  <c r="AA712" i="3"/>
  <c r="X688" i="3"/>
  <c r="AA703" i="3"/>
  <c r="Q689" i="3"/>
  <c r="AE712" i="3"/>
  <c r="V693" i="3"/>
  <c r="G702" i="3"/>
  <c r="J689" i="3"/>
  <c r="AA711" i="3"/>
  <c r="V705" i="3"/>
  <c r="L690" i="3"/>
  <c r="W686" i="3"/>
  <c r="G687" i="3"/>
  <c r="AB690" i="3"/>
  <c r="U712" i="3"/>
  <c r="AD686" i="3"/>
  <c r="G715" i="3"/>
  <c r="N707" i="3"/>
  <c r="AB687" i="3"/>
  <c r="Z697" i="3"/>
  <c r="S702" i="3"/>
  <c r="W710" i="3"/>
  <c r="AA702" i="3"/>
  <c r="AG686" i="3"/>
  <c r="H691" i="3"/>
  <c r="Q703" i="3"/>
  <c r="S711" i="3"/>
  <c r="Q696" i="3"/>
  <c r="AA692" i="3"/>
  <c r="I686" i="3"/>
  <c r="Z711" i="3"/>
  <c r="AI690" i="3"/>
  <c r="O711" i="3"/>
  <c r="AH712" i="3"/>
  <c r="X713" i="3"/>
  <c r="AH707" i="3"/>
  <c r="J702" i="3"/>
  <c r="Z702" i="3"/>
  <c r="G694" i="3"/>
  <c r="AI702" i="3"/>
  <c r="R692" i="3"/>
  <c r="F708" i="3"/>
  <c r="N691" i="3"/>
  <c r="T694" i="3"/>
  <c r="G691" i="3"/>
  <c r="O687" i="3"/>
  <c r="Y701" i="3"/>
  <c r="Y699" i="3"/>
  <c r="K712" i="3"/>
  <c r="AI706" i="3"/>
  <c r="R695" i="3"/>
  <c r="U702" i="3"/>
  <c r="AD697" i="3"/>
  <c r="AC700" i="3"/>
  <c r="J688" i="3"/>
  <c r="T691" i="3"/>
  <c r="O715" i="3"/>
  <c r="L688" i="3"/>
  <c r="AB689" i="3"/>
  <c r="M691" i="3"/>
  <c r="Z699" i="3"/>
  <c r="W689" i="3"/>
  <c r="Z705" i="3"/>
  <c r="N696" i="3"/>
  <c r="AE687" i="3"/>
  <c r="J698" i="3"/>
  <c r="AD694" i="3"/>
  <c r="T711" i="3"/>
  <c r="U694" i="3"/>
  <c r="S701" i="3"/>
  <c r="T696" i="3"/>
  <c r="AF711" i="3"/>
  <c r="AE694" i="3"/>
  <c r="P693" i="3"/>
  <c r="V712" i="3"/>
  <c r="P701" i="3"/>
  <c r="AB713" i="3"/>
  <c r="AG694" i="3"/>
  <c r="G699" i="3"/>
  <c r="AI705" i="3"/>
  <c r="U687" i="3"/>
  <c r="V709" i="3"/>
  <c r="P697" i="3"/>
  <c r="I692" i="3"/>
  <c r="AG700" i="3"/>
  <c r="AD711" i="3"/>
  <c r="W703" i="3"/>
  <c r="U692" i="3"/>
  <c r="AB715" i="3"/>
  <c r="Q705" i="3"/>
  <c r="AF712" i="3"/>
  <c r="Y706" i="3"/>
  <c r="T707" i="3"/>
  <c r="AB686" i="3"/>
  <c r="AD710" i="3"/>
  <c r="M697" i="3"/>
  <c r="X703" i="3"/>
  <c r="O690" i="3"/>
  <c r="U715" i="3"/>
  <c r="T702" i="3"/>
  <c r="X701" i="3"/>
  <c r="AI687" i="3"/>
  <c r="AI688" i="3"/>
  <c r="P714" i="3"/>
  <c r="K705" i="3"/>
  <c r="AI713" i="3"/>
  <c r="AH695" i="3"/>
  <c r="K706" i="3"/>
  <c r="H700" i="3"/>
  <c r="M692" i="3"/>
  <c r="AI689" i="3"/>
  <c r="AA705" i="3"/>
  <c r="AF703" i="3"/>
  <c r="Z700" i="3"/>
  <c r="Y693" i="3"/>
  <c r="AE704" i="3"/>
  <c r="Q714" i="3"/>
  <c r="AH703" i="3"/>
  <c r="M693" i="3"/>
  <c r="K707" i="3"/>
  <c r="X695" i="3"/>
  <c r="H710" i="3"/>
  <c r="W690" i="3"/>
  <c r="O688" i="3"/>
  <c r="X706" i="3"/>
  <c r="Q688" i="3"/>
  <c r="AC705" i="3"/>
  <c r="X704" i="3"/>
  <c r="H704" i="3"/>
  <c r="AF698" i="3"/>
  <c r="AE714" i="3"/>
  <c r="F700" i="3"/>
  <c r="Z695" i="3"/>
  <c r="J687" i="3"/>
  <c r="R704" i="3"/>
  <c r="AE713" i="3"/>
  <c r="K693" i="3"/>
  <c r="L712" i="3"/>
  <c r="I690" i="3"/>
  <c r="AH686" i="3"/>
  <c r="T687" i="3"/>
  <c r="Y713" i="3"/>
  <c r="N692" i="3"/>
  <c r="H712" i="3"/>
  <c r="Z708" i="3"/>
  <c r="F686" i="3"/>
  <c r="X708" i="3"/>
  <c r="AH710" i="3"/>
  <c r="AF709" i="3"/>
  <c r="R699" i="3"/>
  <c r="AI703" i="3"/>
  <c r="N699" i="3"/>
  <c r="V690" i="3"/>
  <c r="Q712" i="3"/>
  <c r="H702" i="3"/>
  <c r="F688" i="3"/>
  <c r="AC715" i="3"/>
  <c r="V706" i="3"/>
  <c r="R713" i="3"/>
  <c r="AC710" i="3"/>
  <c r="X694" i="3"/>
  <c r="Q690" i="3"/>
  <c r="AC702" i="3"/>
  <c r="T705" i="3"/>
  <c r="Y711" i="3"/>
  <c r="X696" i="3"/>
  <c r="F693" i="3"/>
  <c r="H701" i="3"/>
  <c r="P704" i="3"/>
  <c r="R701" i="3"/>
  <c r="AE695" i="3"/>
  <c r="H703" i="3"/>
  <c r="M699" i="3"/>
  <c r="R693" i="3"/>
  <c r="K714" i="3"/>
  <c r="X710" i="3"/>
  <c r="Y691" i="3"/>
  <c r="T695" i="3"/>
  <c r="W707" i="3"/>
  <c r="P696" i="3"/>
  <c r="L702" i="3"/>
  <c r="K715" i="3"/>
  <c r="K708" i="3"/>
  <c r="AD700" i="3"/>
  <c r="I701" i="3"/>
  <c r="Z687" i="3"/>
  <c r="AC704" i="3"/>
  <c r="AD699" i="3"/>
  <c r="N709" i="3"/>
  <c r="N693" i="3"/>
  <c r="I708" i="3"/>
  <c r="H695" i="3"/>
  <c r="AA707" i="3"/>
  <c r="AH692" i="3"/>
  <c r="AH691" i="3"/>
  <c r="X711" i="3"/>
  <c r="AH687" i="3"/>
  <c r="S686" i="3"/>
  <c r="AC709" i="3"/>
  <c r="F709" i="3"/>
  <c r="J694" i="3"/>
  <c r="AI686" i="3"/>
  <c r="AD691" i="3"/>
  <c r="I707" i="3"/>
  <c r="M709" i="3"/>
  <c r="AE702" i="3"/>
  <c r="G688" i="3"/>
  <c r="AB710" i="3"/>
  <c r="AA706" i="3"/>
  <c r="AI704" i="3"/>
  <c r="AG709" i="3"/>
  <c r="M690" i="3"/>
  <c r="H689" i="3"/>
  <c r="Z706" i="3"/>
  <c r="G708" i="3"/>
  <c r="Z710" i="3"/>
  <c r="AG710" i="3"/>
  <c r="AI691" i="3"/>
  <c r="AA699" i="3"/>
  <c r="N710" i="3"/>
  <c r="W711" i="3"/>
  <c r="AF690" i="3"/>
  <c r="G706" i="3"/>
  <c r="R714" i="3"/>
  <c r="AF715" i="3"/>
  <c r="X690" i="3"/>
  <c r="W696" i="3"/>
  <c r="Q715" i="3"/>
  <c r="M695" i="3"/>
  <c r="S700" i="3"/>
  <c r="AH688" i="3"/>
  <c r="T345" i="3"/>
  <c r="AE347" i="3"/>
  <c r="O367" i="3"/>
  <c r="N370" i="3"/>
  <c r="Y355" i="3"/>
  <c r="O357" i="3"/>
  <c r="AE358" i="3"/>
  <c r="W363" i="3"/>
  <c r="AD355" i="3"/>
  <c r="X367" i="3"/>
  <c r="AA360" i="3"/>
  <c r="AA358" i="3"/>
  <c r="AA366" i="3"/>
  <c r="Q345" i="3"/>
  <c r="R348" i="3"/>
  <c r="I369" i="3"/>
  <c r="AA370" i="3"/>
  <c r="AI358" i="3"/>
  <c r="F370" i="3"/>
  <c r="L351" i="3"/>
  <c r="AH371" i="3"/>
  <c r="AH344" i="3"/>
  <c r="K356" i="3"/>
  <c r="R356" i="3"/>
  <c r="K347" i="3"/>
  <c r="I351" i="3"/>
  <c r="H355" i="3"/>
  <c r="AF356" i="3"/>
  <c r="AF346" i="3"/>
  <c r="W372" i="3"/>
  <c r="K371" i="3"/>
  <c r="T357" i="3"/>
  <c r="T365" i="3"/>
  <c r="U367" i="3"/>
  <c r="AC370" i="3"/>
  <c r="U363" i="3"/>
  <c r="X365" i="3"/>
  <c r="Z349" i="3"/>
  <c r="G347" i="3"/>
  <c r="P347" i="3"/>
  <c r="J373" i="3"/>
  <c r="AB365" i="3"/>
  <c r="U371" i="3"/>
  <c r="AE366" i="3"/>
  <c r="R368" i="3"/>
  <c r="AI354" i="3"/>
  <c r="AB371" i="3"/>
  <c r="X348" i="3"/>
  <c r="G362" i="3"/>
  <c r="R359" i="3"/>
  <c r="K349" i="3"/>
  <c r="AF364" i="3"/>
  <c r="O352" i="3"/>
  <c r="AI344" i="3"/>
  <c r="AI346" i="3"/>
  <c r="Y356" i="3"/>
  <c r="I347" i="3"/>
  <c r="W354" i="3"/>
  <c r="AE367" i="3"/>
  <c r="AG347" i="3"/>
  <c r="Z365" i="3"/>
  <c r="T369" i="3"/>
  <c r="G350" i="3"/>
  <c r="W362" i="3"/>
  <c r="AI359" i="3"/>
  <c r="O346" i="3"/>
  <c r="AI365" i="3"/>
  <c r="M356" i="3"/>
  <c r="F359" i="3"/>
  <c r="I361" i="3"/>
  <c r="Z352" i="3"/>
  <c r="AE353" i="3"/>
  <c r="H345" i="3"/>
  <c r="N369" i="3"/>
  <c r="H371" i="3"/>
  <c r="G354" i="3"/>
  <c r="P354" i="3"/>
  <c r="X358" i="3"/>
  <c r="S373" i="3"/>
  <c r="AA368" i="3"/>
  <c r="W346" i="3"/>
  <c r="H360" i="3"/>
  <c r="U368" i="3"/>
  <c r="U357" i="3"/>
  <c r="Q369" i="3"/>
  <c r="O351" i="3"/>
  <c r="AC355" i="3"/>
  <c r="AG365" i="3"/>
  <c r="F358" i="3"/>
  <c r="AE368" i="3"/>
  <c r="G373" i="3"/>
  <c r="U365" i="3"/>
  <c r="R371" i="3"/>
  <c r="H354" i="3"/>
  <c r="AC347" i="3"/>
  <c r="R367" i="3"/>
  <c r="Z369" i="3"/>
  <c r="S369" i="3"/>
  <c r="T371" i="3"/>
  <c r="H361" i="3"/>
  <c r="AC366" i="3"/>
  <c r="M358" i="3"/>
  <c r="AD360" i="3"/>
  <c r="J368" i="3"/>
  <c r="S355" i="3"/>
  <c r="AC350" i="3"/>
  <c r="AI364" i="3"/>
  <c r="P356" i="3"/>
  <c r="AB370" i="3"/>
  <c r="AI371" i="3"/>
  <c r="L349" i="3"/>
  <c r="G360" i="3"/>
  <c r="P344" i="3"/>
  <c r="AB366" i="3"/>
  <c r="U353" i="3"/>
  <c r="Z363" i="3"/>
  <c r="AF348" i="3"/>
  <c r="N351" i="3"/>
  <c r="N347" i="3"/>
  <c r="W367" i="3"/>
  <c r="AF372" i="3"/>
  <c r="J351" i="3"/>
  <c r="AE349" i="3"/>
  <c r="AC369" i="3"/>
  <c r="Q344" i="3"/>
  <c r="L362" i="3"/>
  <c r="O365" i="3"/>
  <c r="H359" i="3"/>
  <c r="AB360" i="3"/>
  <c r="Y365" i="3"/>
  <c r="U370" i="3"/>
  <c r="O371" i="3"/>
  <c r="G353" i="3"/>
  <c r="AA356" i="3"/>
  <c r="V362" i="3"/>
  <c r="I357" i="3"/>
  <c r="T370" i="3"/>
  <c r="K366" i="3"/>
  <c r="S356" i="3"/>
  <c r="S367" i="3"/>
  <c r="O345" i="3"/>
  <c r="R358" i="3"/>
  <c r="M348" i="3"/>
  <c r="S360" i="3"/>
  <c r="Q367" i="3"/>
  <c r="F349" i="3"/>
  <c r="AH366" i="3"/>
  <c r="AG348" i="3"/>
  <c r="O364" i="3"/>
  <c r="G365" i="3"/>
  <c r="AG369" i="3"/>
  <c r="AB358" i="3"/>
  <c r="Y359" i="3"/>
  <c r="G370" i="3"/>
  <c r="AG356" i="3"/>
  <c r="AF370" i="3"/>
  <c r="Q364" i="3"/>
  <c r="J371" i="3"/>
  <c r="AE355" i="3"/>
  <c r="I352" i="3"/>
  <c r="J366" i="3"/>
  <c r="I371" i="3"/>
  <c r="AD347" i="3"/>
  <c r="P355" i="3"/>
  <c r="K363" i="3"/>
  <c r="P361" i="3"/>
  <c r="AG346" i="3"/>
  <c r="AD366" i="3"/>
  <c r="AB363" i="3"/>
  <c r="AG352" i="3"/>
  <c r="T353" i="3"/>
  <c r="AE346" i="3"/>
  <c r="AC346" i="3"/>
  <c r="I372" i="3"/>
  <c r="X356" i="3"/>
  <c r="AG372" i="3"/>
  <c r="K367" i="3"/>
  <c r="AH360" i="3"/>
  <c r="AF354" i="3"/>
  <c r="V373" i="3"/>
  <c r="AI347" i="3"/>
  <c r="W364" i="3"/>
  <c r="AE350" i="3"/>
  <c r="F361" i="3"/>
  <c r="AI368" i="3"/>
  <c r="K358" i="3"/>
  <c r="V370" i="3"/>
  <c r="O355" i="3"/>
  <c r="L344" i="3"/>
  <c r="I362" i="3"/>
  <c r="AB361" i="3"/>
  <c r="M355" i="3"/>
  <c r="AF347" i="3"/>
  <c r="J352" i="3"/>
  <c r="F344" i="3"/>
  <c r="R349" i="3"/>
  <c r="N368" i="3"/>
  <c r="AE362" i="3"/>
  <c r="J360" i="3"/>
  <c r="M366" i="3"/>
  <c r="AH365" i="3"/>
  <c r="X357" i="3"/>
  <c r="AF369" i="3"/>
  <c r="F347" i="3"/>
  <c r="Q363" i="3"/>
  <c r="R345" i="3"/>
  <c r="J350" i="3"/>
  <c r="AG350" i="3"/>
  <c r="J361" i="3"/>
  <c r="AC368" i="3"/>
  <c r="S370" i="3"/>
  <c r="K346" i="3"/>
  <c r="AF352" i="3"/>
  <c r="AA349" i="3"/>
  <c r="H346" i="3"/>
  <c r="AC352" i="3"/>
  <c r="N352" i="3"/>
  <c r="I366" i="3"/>
  <c r="X353" i="3"/>
  <c r="N366" i="3"/>
  <c r="T373" i="3"/>
  <c r="Q350" i="3"/>
  <c r="Y354" i="3"/>
  <c r="Y352" i="3"/>
  <c r="Y362" i="3"/>
  <c r="AC345" i="3"/>
  <c r="G345" i="3"/>
  <c r="H364" i="3"/>
  <c r="Q352" i="3"/>
  <c r="S362" i="3"/>
  <c r="P346" i="3"/>
  <c r="AB352" i="3"/>
  <c r="S361" i="3"/>
  <c r="F371" i="3"/>
  <c r="AH347" i="3"/>
  <c r="Z355" i="3"/>
  <c r="I365" i="3"/>
  <c r="AI369" i="3"/>
  <c r="V365" i="3"/>
  <c r="AG351" i="3"/>
  <c r="P372" i="3"/>
  <c r="T349" i="3"/>
  <c r="AD364" i="3"/>
  <c r="AB373" i="3"/>
  <c r="AC358" i="3"/>
  <c r="V368" i="3"/>
  <c r="M369" i="3"/>
  <c r="R373" i="3"/>
  <c r="P352" i="3"/>
  <c r="AB349" i="3"/>
  <c r="J357" i="3"/>
  <c r="AI363" i="3"/>
  <c r="U347" i="3"/>
  <c r="L373" i="3"/>
  <c r="X360" i="3"/>
  <c r="F362" i="3"/>
  <c r="AB350" i="3"/>
  <c r="AD370" i="3"/>
  <c r="J372" i="3"/>
  <c r="G363" i="3"/>
  <c r="M371" i="3"/>
  <c r="AH348" i="3"/>
  <c r="AB367" i="3"/>
  <c r="AB369" i="3"/>
  <c r="S371" i="3"/>
  <c r="R346" i="3"/>
  <c r="I356" i="3"/>
  <c r="V354" i="3"/>
  <c r="V349" i="3"/>
  <c r="V348" i="3"/>
  <c r="F367" i="3"/>
  <c r="AE361" i="3"/>
  <c r="F348" i="3"/>
  <c r="R353" i="3"/>
  <c r="V366" i="3"/>
  <c r="K370" i="3"/>
  <c r="AD368" i="3"/>
  <c r="N345" i="3"/>
  <c r="AG357" i="3"/>
  <c r="Q370" i="3"/>
  <c r="N359" i="3"/>
  <c r="U351" i="3"/>
  <c r="P373" i="3"/>
  <c r="H350" i="3"/>
  <c r="AB359" i="3"/>
  <c r="X370" i="3"/>
  <c r="R347" i="3"/>
  <c r="X347" i="3"/>
  <c r="M347" i="3"/>
  <c r="T344" i="3"/>
  <c r="AC365" i="3"/>
  <c r="J359" i="3"/>
  <c r="AH369" i="3"/>
  <c r="F373" i="3"/>
  <c r="AF358" i="3"/>
  <c r="AH345" i="3"/>
  <c r="S368" i="3"/>
  <c r="Y350" i="3"/>
  <c r="V369" i="3"/>
  <c r="AA362" i="3"/>
  <c r="W348" i="3"/>
  <c r="H356" i="3"/>
  <c r="AH352" i="3"/>
  <c r="L356" i="3"/>
  <c r="P362" i="3"/>
  <c r="AI373" i="3"/>
  <c r="K345" i="3"/>
  <c r="AE365" i="3"/>
  <c r="N353" i="3"/>
  <c r="R360" i="3"/>
  <c r="U356" i="3"/>
  <c r="Q371" i="3"/>
  <c r="P350" i="3"/>
  <c r="AA367" i="3"/>
  <c r="X351" i="3"/>
  <c r="AD357" i="3"/>
  <c r="AH362" i="3"/>
  <c r="N355" i="3"/>
  <c r="AH355" i="3"/>
  <c r="AF362" i="3"/>
  <c r="AH357" i="3"/>
  <c r="M351" i="3"/>
  <c r="AF345" i="3"/>
  <c r="H367" i="3"/>
  <c r="L360" i="3"/>
  <c r="L346" i="3"/>
  <c r="AD353" i="3"/>
  <c r="AF361" i="3"/>
  <c r="Y348" i="3"/>
  <c r="AE364" i="3"/>
  <c r="Y367" i="3"/>
  <c r="H351" i="3"/>
  <c r="Z345" i="3"/>
  <c r="AH367" i="3"/>
  <c r="AH349" i="3"/>
  <c r="X350" i="3"/>
  <c r="AF366" i="3"/>
  <c r="H352" i="3"/>
  <c r="J362" i="3"/>
  <c r="AA363" i="3"/>
  <c r="O366" i="3"/>
  <c r="AH350" i="3"/>
  <c r="AF360" i="3"/>
  <c r="P370" i="3"/>
  <c r="I355" i="3"/>
  <c r="U364" i="3"/>
  <c r="L365" i="3"/>
  <c r="W349" i="3"/>
  <c r="K357" i="3"/>
  <c r="X345" i="3"/>
  <c r="AB347" i="3"/>
  <c r="AH372" i="3"/>
  <c r="N360" i="3"/>
  <c r="P366" i="3"/>
  <c r="I368" i="3"/>
  <c r="AC362" i="3"/>
  <c r="AE371" i="3"/>
  <c r="Y371" i="3"/>
  <c r="V352" i="3"/>
  <c r="Y366" i="3"/>
  <c r="W371" i="3"/>
  <c r="AI362" i="3"/>
  <c r="F345" i="3"/>
  <c r="X364" i="3"/>
  <c r="L352" i="3"/>
  <c r="P345" i="3"/>
  <c r="AE356" i="3"/>
  <c r="O369" i="3"/>
  <c r="J349" i="3"/>
  <c r="S345" i="3"/>
  <c r="G364" i="3"/>
  <c r="AB348" i="3"/>
  <c r="AC367" i="3"/>
  <c r="Q353" i="3"/>
  <c r="AC357" i="3"/>
  <c r="T364" i="3"/>
  <c r="AD349" i="3"/>
  <c r="R370" i="3"/>
  <c r="AF373" i="3"/>
  <c r="J364" i="3"/>
  <c r="N350" i="3"/>
  <c r="F351" i="3"/>
  <c r="U350" i="3"/>
  <c r="T346" i="3"/>
  <c r="Q351" i="3"/>
  <c r="AB346" i="3"/>
  <c r="L350" i="3"/>
  <c r="AB364" i="3"/>
  <c r="K368" i="3"/>
  <c r="O344" i="3"/>
  <c r="AF353" i="3"/>
  <c r="F355" i="3"/>
  <c r="T367" i="3"/>
  <c r="T368" i="3"/>
  <c r="AB344" i="3"/>
  <c r="T351" i="3"/>
  <c r="AE344" i="3"/>
  <c r="L371" i="3"/>
  <c r="W351" i="3"/>
  <c r="Z370" i="3"/>
  <c r="AH373" i="3"/>
  <c r="G359" i="3"/>
  <c r="Y370" i="3"/>
  <c r="AF367" i="3"/>
  <c r="AE345" i="3"/>
  <c r="V345" i="3"/>
  <c r="F369" i="3"/>
  <c r="O350" i="3"/>
  <c r="I367" i="3"/>
  <c r="AC361" i="3"/>
  <c r="AC360" i="3"/>
  <c r="N363" i="3"/>
  <c r="AD358" i="3"/>
  <c r="Q366" i="3"/>
  <c r="M372" i="3"/>
  <c r="I348" i="3"/>
  <c r="J345" i="3"/>
  <c r="T361" i="3"/>
  <c r="G367" i="3"/>
  <c r="F368" i="3"/>
  <c r="S354" i="3"/>
  <c r="N362" i="3"/>
  <c r="AD348" i="3"/>
  <c r="X352" i="3"/>
  <c r="K359" i="3"/>
  <c r="V353" i="3"/>
  <c r="F366" i="3"/>
  <c r="AI352" i="3"/>
  <c r="J367" i="3"/>
  <c r="AC351" i="3"/>
  <c r="J369" i="3"/>
  <c r="T359" i="3"/>
  <c r="U362" i="3"/>
  <c r="V350" i="3"/>
  <c r="K344" i="3"/>
  <c r="V372" i="3"/>
  <c r="AA345" i="3"/>
  <c r="AA371" i="3"/>
  <c r="H372" i="3"/>
  <c r="O354" i="3"/>
  <c r="Q346" i="3"/>
  <c r="L354" i="3"/>
  <c r="Z373" i="3"/>
  <c r="W356" i="3"/>
  <c r="U355" i="3"/>
  <c r="M359" i="3"/>
  <c r="W352" i="3"/>
  <c r="U346" i="3"/>
  <c r="G369" i="3"/>
  <c r="F363" i="3"/>
  <c r="AA357" i="3"/>
  <c r="AG371" i="3"/>
  <c r="I344" i="3"/>
  <c r="T362" i="3"/>
  <c r="Q355" i="3"/>
  <c r="AA344" i="3"/>
  <c r="S358" i="3"/>
  <c r="M352" i="3"/>
  <c r="R363" i="3"/>
  <c r="K372" i="3"/>
  <c r="Z354" i="3"/>
  <c r="K348" i="3"/>
  <c r="H370" i="3"/>
  <c r="O360" i="3"/>
  <c r="V371" i="3"/>
  <c r="J354" i="3"/>
  <c r="G344" i="3"/>
  <c r="P369" i="3"/>
  <c r="AF350" i="3"/>
  <c r="AE352" i="3"/>
  <c r="V355" i="3"/>
  <c r="I373" i="3"/>
  <c r="L369" i="3"/>
  <c r="Z344" i="3"/>
  <c r="AG363" i="3"/>
  <c r="N357" i="3"/>
  <c r="M364" i="3"/>
  <c r="N348" i="3"/>
  <c r="I349" i="3"/>
  <c r="M357" i="3"/>
  <c r="O358" i="3"/>
  <c r="AC353" i="3"/>
  <c r="AF371" i="3"/>
  <c r="H358" i="3"/>
  <c r="Y363" i="3"/>
  <c r="AA364" i="3"/>
  <c r="Y369" i="3"/>
  <c r="AG354" i="3"/>
  <c r="V367" i="3"/>
  <c r="AG362" i="3"/>
  <c r="M346" i="3"/>
  <c r="L367" i="3"/>
  <c r="AH359" i="3"/>
  <c r="T348" i="3"/>
  <c r="AA373" i="3"/>
  <c r="AF368" i="3"/>
  <c r="K352" i="3"/>
  <c r="K364" i="3"/>
  <c r="R364" i="3"/>
  <c r="M370" i="3"/>
  <c r="X372" i="3"/>
  <c r="V359" i="3"/>
  <c r="AI361" i="3"/>
  <c r="H365" i="3"/>
  <c r="W365" i="3"/>
  <c r="H368" i="3"/>
  <c r="AG360" i="3"/>
  <c r="O361" i="3"/>
  <c r="AE359" i="3"/>
  <c r="L345" i="3"/>
  <c r="Z371" i="3"/>
  <c r="W353" i="3"/>
  <c r="R344" i="3"/>
  <c r="Y347" i="3"/>
  <c r="Y368" i="3"/>
  <c r="M344" i="3"/>
  <c r="U359" i="3"/>
  <c r="AA346" i="3"/>
  <c r="AI357" i="3"/>
  <c r="AH368" i="3"/>
  <c r="G356" i="3"/>
  <c r="L348" i="3"/>
  <c r="S349" i="3"/>
  <c r="AH358" i="3"/>
  <c r="Y358" i="3"/>
  <c r="Z347" i="3"/>
  <c r="W358" i="3"/>
  <c r="J346" i="3"/>
  <c r="AA350" i="3"/>
  <c r="L366" i="3"/>
  <c r="M367" i="3"/>
  <c r="K362" i="3"/>
  <c r="M350" i="3"/>
  <c r="AB356" i="3"/>
  <c r="V364" i="3"/>
  <c r="X363" i="3"/>
  <c r="R372" i="3"/>
  <c r="R354" i="3"/>
  <c r="J344" i="3"/>
  <c r="X359" i="3"/>
  <c r="AG361" i="3"/>
  <c r="S352" i="3"/>
  <c r="Z353" i="3"/>
  <c r="AI355" i="3"/>
  <c r="AE357" i="3"/>
  <c r="Q361" i="3"/>
  <c r="X354" i="3"/>
  <c r="Z359" i="3"/>
  <c r="AG661" i="3"/>
  <c r="M667" i="3"/>
  <c r="U669" i="3"/>
  <c r="AF655" i="3"/>
  <c r="U658" i="3"/>
  <c r="S658" i="3"/>
  <c r="AA659" i="3"/>
  <c r="AH650" i="3"/>
  <c r="F648" i="3"/>
  <c r="AE652" i="3"/>
  <c r="AC661" i="3"/>
  <c r="AE665" i="3"/>
  <c r="AD675" i="3"/>
  <c r="M677" i="3"/>
  <c r="AH675" i="3"/>
  <c r="S672" i="3"/>
  <c r="S671" i="3"/>
  <c r="Q675" i="3"/>
  <c r="Y655" i="3"/>
  <c r="S651" i="3"/>
  <c r="O659" i="3"/>
  <c r="AE675" i="3"/>
  <c r="AG664" i="3"/>
  <c r="F676" i="3"/>
  <c r="AH662" i="3"/>
  <c r="F656" i="3"/>
  <c r="AG671" i="3"/>
  <c r="AG650" i="3"/>
  <c r="AG669" i="3"/>
  <c r="L648" i="3"/>
  <c r="R669" i="3"/>
  <c r="AI648" i="3"/>
  <c r="AI673" i="3"/>
  <c r="W657" i="3"/>
  <c r="AE320" i="3"/>
  <c r="Q330" i="3"/>
  <c r="AF318" i="3"/>
  <c r="F309" i="3"/>
  <c r="AB324" i="3"/>
  <c r="AB310" i="3"/>
  <c r="V333" i="3"/>
  <c r="R327" i="3"/>
  <c r="W317" i="3"/>
  <c r="F322" i="3"/>
  <c r="M318" i="3"/>
  <c r="V332" i="3"/>
  <c r="AF332" i="3"/>
  <c r="AB323" i="3"/>
  <c r="N315" i="3"/>
  <c r="AD310" i="3"/>
  <c r="V334" i="3"/>
  <c r="H311" i="3"/>
  <c r="AG335" i="3"/>
  <c r="Z333" i="3"/>
  <c r="P322" i="3"/>
  <c r="Z309" i="3"/>
  <c r="O309" i="3"/>
  <c r="AA333" i="3"/>
  <c r="T324" i="3"/>
  <c r="AD324" i="3"/>
  <c r="J324" i="3"/>
  <c r="T312" i="3"/>
  <c r="W329" i="3"/>
  <c r="J328" i="3"/>
  <c r="Q320" i="3"/>
  <c r="AF328" i="3"/>
  <c r="U307" i="3"/>
  <c r="U327" i="3"/>
  <c r="AH311" i="3"/>
  <c r="P312" i="3"/>
  <c r="O329" i="3"/>
  <c r="AC308" i="3"/>
  <c r="AC332" i="3"/>
  <c r="AA314" i="3"/>
  <c r="AI330" i="3"/>
  <c r="P310" i="3"/>
  <c r="H325" i="3"/>
  <c r="T307" i="3"/>
  <c r="W321" i="3"/>
  <c r="L309" i="3"/>
  <c r="X311" i="3"/>
  <c r="S329" i="3"/>
  <c r="AC319" i="3"/>
  <c r="AE330" i="3"/>
  <c r="AB327" i="3"/>
  <c r="P316" i="3"/>
  <c r="T317" i="3"/>
  <c r="J334" i="3"/>
  <c r="AC329" i="3"/>
  <c r="AH316" i="3"/>
  <c r="N334" i="3"/>
  <c r="G318" i="3"/>
  <c r="S325" i="3"/>
  <c r="AF312" i="3"/>
  <c r="P315" i="3"/>
  <c r="O306" i="3"/>
  <c r="AA324" i="3"/>
  <c r="AG324" i="3"/>
  <c r="S323" i="3"/>
  <c r="N333" i="3"/>
  <c r="Z319" i="3"/>
  <c r="Q329" i="3"/>
  <c r="T335" i="3"/>
  <c r="AI311" i="3"/>
  <c r="AG314" i="3"/>
  <c r="L325" i="3"/>
  <c r="O311" i="3"/>
  <c r="P314" i="3"/>
  <c r="T329" i="3"/>
  <c r="Z327" i="3"/>
  <c r="AB334" i="3"/>
  <c r="N314" i="3"/>
  <c r="G306" i="3"/>
  <c r="H307" i="3"/>
  <c r="F331" i="3"/>
  <c r="G313" i="3"/>
  <c r="M307" i="3"/>
  <c r="R333" i="3"/>
  <c r="AB328" i="3"/>
  <c r="AH318" i="3"/>
  <c r="O335" i="3"/>
  <c r="W334" i="3"/>
  <c r="AC313" i="3"/>
  <c r="AE326" i="3"/>
  <c r="T330" i="3"/>
  <c r="Q332" i="3"/>
  <c r="V310" i="3"/>
  <c r="Z314" i="3"/>
  <c r="U308" i="3"/>
  <c r="AB307" i="3"/>
  <c r="S321" i="3"/>
  <c r="O319" i="3"/>
  <c r="AA307" i="3"/>
  <c r="J322" i="3"/>
  <c r="P331" i="3"/>
  <c r="N311" i="3"/>
  <c r="O313" i="3"/>
  <c r="F324" i="3"/>
  <c r="X322" i="3"/>
  <c r="J331" i="3"/>
  <c r="AA335" i="3"/>
  <c r="AD335" i="3"/>
  <c r="I312" i="3"/>
  <c r="K308" i="3"/>
  <c r="T314" i="3"/>
  <c r="G308" i="3"/>
  <c r="P321" i="3"/>
  <c r="Y327" i="3"/>
  <c r="AA330" i="3"/>
  <c r="AF326" i="3"/>
  <c r="M335" i="3"/>
  <c r="O318" i="3"/>
  <c r="T321" i="3"/>
  <c r="S314" i="3"/>
  <c r="AD314" i="3"/>
  <c r="F320" i="3"/>
  <c r="AF321" i="3"/>
  <c r="L321" i="3"/>
  <c r="AB308" i="3"/>
  <c r="AH308" i="3"/>
  <c r="T319" i="3"/>
  <c r="O321" i="3"/>
  <c r="H312" i="3"/>
  <c r="AI306" i="3"/>
  <c r="V323" i="3"/>
  <c r="I311" i="3"/>
  <c r="H320" i="3"/>
  <c r="H332" i="3"/>
  <c r="R319" i="3"/>
  <c r="AI335" i="3"/>
  <c r="K322" i="3"/>
  <c r="I322" i="3"/>
  <c r="AA313" i="3"/>
  <c r="T320" i="3"/>
  <c r="V309" i="3"/>
  <c r="S333" i="3"/>
  <c r="AH314" i="3"/>
  <c r="U314" i="3"/>
  <c r="AH328" i="3"/>
  <c r="V313" i="3"/>
  <c r="K330" i="3"/>
  <c r="I321" i="3"/>
  <c r="J317" i="3"/>
  <c r="AE310" i="3"/>
  <c r="V315" i="3"/>
  <c r="W315" i="3"/>
  <c r="AE323" i="3"/>
  <c r="AH335" i="3"/>
  <c r="AC333" i="3"/>
  <c r="J318" i="3"/>
  <c r="L322" i="3"/>
  <c r="L314" i="3"/>
  <c r="AE324" i="3"/>
  <c r="K310" i="3"/>
  <c r="S313" i="3"/>
  <c r="K318" i="3"/>
  <c r="U324" i="3"/>
  <c r="AB311" i="3"/>
  <c r="AC318" i="3"/>
  <c r="O331" i="3"/>
  <c r="X306" i="3"/>
  <c r="AH323" i="3"/>
  <c r="R328" i="3"/>
  <c r="AA331" i="3"/>
  <c r="AG328" i="3"/>
  <c r="AE331" i="3"/>
  <c r="X328" i="3"/>
  <c r="T331" i="3"/>
  <c r="AE333" i="3"/>
  <c r="AC322" i="3"/>
  <c r="Q331" i="3"/>
  <c r="J315" i="3"/>
  <c r="N327" i="3"/>
  <c r="AA322" i="3"/>
  <c r="M332" i="3"/>
  <c r="AF317" i="3"/>
  <c r="O312" i="3"/>
  <c r="X323" i="3"/>
  <c r="AB315" i="3"/>
  <c r="K326" i="3"/>
  <c r="W322" i="3"/>
  <c r="M313" i="3"/>
  <c r="R330" i="3"/>
  <c r="AH317" i="3"/>
  <c r="AG329" i="3"/>
  <c r="F306" i="3"/>
  <c r="J306" i="3"/>
  <c r="AH333" i="3"/>
  <c r="H310" i="3"/>
  <c r="K311" i="3"/>
  <c r="AE329" i="3"/>
  <c r="G309" i="3"/>
  <c r="J319" i="3"/>
  <c r="AG306" i="3"/>
  <c r="G321" i="3"/>
  <c r="AF310" i="3"/>
  <c r="X329" i="3"/>
  <c r="AD329" i="3"/>
  <c r="AD323" i="3"/>
  <c r="T309" i="3"/>
  <c r="H309" i="3"/>
  <c r="Z324" i="3"/>
  <c r="M306" i="3"/>
  <c r="O334" i="3"/>
  <c r="U328" i="3"/>
  <c r="I332" i="3"/>
  <c r="AA328" i="3"/>
  <c r="X335" i="3"/>
  <c r="T326" i="3"/>
  <c r="V319" i="3"/>
  <c r="X330" i="3"/>
  <c r="X320" i="3"/>
  <c r="AB330" i="3"/>
  <c r="AD328" i="3"/>
  <c r="M315" i="3"/>
  <c r="AD319" i="3"/>
  <c r="AC326" i="3"/>
  <c r="M317" i="3"/>
  <c r="F326" i="3"/>
  <c r="AH324" i="3"/>
  <c r="R334" i="3"/>
  <c r="F329" i="3"/>
  <c r="U319" i="3"/>
  <c r="P333" i="3"/>
  <c r="I315" i="3"/>
  <c r="AH332" i="3"/>
  <c r="Q319" i="3"/>
  <c r="X310" i="3"/>
  <c r="K321" i="3"/>
  <c r="W328" i="3"/>
  <c r="AB317" i="3"/>
  <c r="K309" i="3"/>
  <c r="AC310" i="3"/>
  <c r="Z311" i="3"/>
  <c r="Q324" i="3"/>
  <c r="K324" i="3"/>
  <c r="T327" i="3"/>
  <c r="S310" i="3"/>
  <c r="AG334" i="3"/>
  <c r="N326" i="3"/>
  <c r="O327" i="3"/>
  <c r="X314" i="3"/>
  <c r="Q321" i="3"/>
  <c r="S318" i="3"/>
  <c r="N335" i="3"/>
  <c r="L334" i="3"/>
  <c r="AF319" i="3"/>
  <c r="AC307" i="3"/>
  <c r="N330" i="3"/>
  <c r="H317" i="3"/>
  <c r="AH306" i="3"/>
  <c r="Y326" i="3"/>
  <c r="AD330" i="3"/>
  <c r="Y325" i="3"/>
  <c r="G310" i="3"/>
  <c r="O317" i="3"/>
  <c r="F318" i="3"/>
  <c r="M309" i="3"/>
  <c r="AH326" i="3"/>
  <c r="I319" i="3"/>
  <c r="AG315" i="3"/>
  <c r="Q317" i="3"/>
  <c r="Z330" i="3"/>
  <c r="J308" i="3"/>
  <c r="AH327" i="3"/>
  <c r="V318" i="3"/>
  <c r="AE317" i="3"/>
  <c r="S316" i="3"/>
  <c r="W330" i="3"/>
  <c r="N317" i="3"/>
  <c r="S308" i="3"/>
  <c r="F310" i="3"/>
  <c r="Y330" i="3"/>
  <c r="S332" i="3"/>
  <c r="AC323" i="3"/>
  <c r="Y306" i="3"/>
  <c r="AC331" i="3"/>
  <c r="AE322" i="3"/>
  <c r="AI309" i="3"/>
  <c r="AC327" i="3"/>
  <c r="K327" i="3"/>
  <c r="W324" i="3"/>
  <c r="T322" i="3"/>
  <c r="AF306" i="3"/>
  <c r="N310" i="3"/>
  <c r="L307" i="3"/>
  <c r="J335" i="3"/>
  <c r="Y334" i="3"/>
  <c r="AI323" i="3"/>
  <c r="K328" i="3"/>
  <c r="R331" i="3"/>
  <c r="F316" i="3"/>
  <c r="L318" i="3"/>
  <c r="Z320" i="3"/>
  <c r="W313" i="3"/>
  <c r="P308" i="3"/>
  <c r="N308" i="3"/>
  <c r="AG333" i="3"/>
  <c r="AD317" i="3"/>
  <c r="AE311" i="3"/>
  <c r="S320" i="3"/>
  <c r="N321" i="3"/>
  <c r="AD307" i="3"/>
  <c r="L315" i="3"/>
  <c r="N329" i="3"/>
  <c r="V329" i="3"/>
  <c r="AF308" i="3"/>
  <c r="AC321" i="3"/>
  <c r="L328" i="3"/>
  <c r="AD332" i="3"/>
  <c r="G325" i="3"/>
  <c r="F308" i="3"/>
  <c r="AG330" i="3"/>
  <c r="AB313" i="3"/>
  <c r="L331" i="3"/>
  <c r="W307" i="3"/>
  <c r="Y335" i="3"/>
  <c r="AD322" i="3"/>
  <c r="Z317" i="3"/>
  <c r="S335" i="3"/>
  <c r="AH322" i="3"/>
  <c r="AB326" i="3"/>
  <c r="AA306" i="3"/>
  <c r="AA327" i="3"/>
  <c r="N331" i="3"/>
  <c r="Y322" i="3"/>
  <c r="Q310" i="3"/>
  <c r="AB335" i="3"/>
  <c r="AA320" i="3"/>
  <c r="AI321" i="3"/>
  <c r="AA332" i="3"/>
  <c r="J311" i="3"/>
  <c r="M308" i="3"/>
  <c r="J309" i="3"/>
  <c r="AF331" i="3"/>
  <c r="L313" i="3"/>
  <c r="M330" i="3"/>
  <c r="AG317" i="3"/>
  <c r="P309" i="3"/>
  <c r="AI324" i="3"/>
  <c r="AC309" i="3"/>
  <c r="AD333" i="3"/>
  <c r="AA318" i="3"/>
  <c r="AE316" i="3"/>
  <c r="Q323" i="3"/>
  <c r="V316" i="3"/>
  <c r="K320" i="3"/>
  <c r="M319" i="3"/>
  <c r="V312" i="3"/>
  <c r="O322" i="3"/>
  <c r="V325" i="3"/>
  <c r="H314" i="3"/>
  <c r="F335" i="3"/>
  <c r="V324" i="3"/>
  <c r="H306" i="3"/>
  <c r="G330" i="3"/>
  <c r="AI319" i="3"/>
  <c r="Z321" i="3"/>
  <c r="G311" i="3"/>
  <c r="AE309" i="3"/>
  <c r="AI328" i="3"/>
  <c r="AG323" i="3"/>
  <c r="S309" i="3"/>
  <c r="AI327" i="3"/>
  <c r="AI326" i="3"/>
  <c r="U326" i="3"/>
  <c r="M320" i="3"/>
  <c r="X313" i="3"/>
  <c r="X321" i="3"/>
  <c r="H322" i="3"/>
  <c r="L327" i="3"/>
  <c r="R324" i="3"/>
  <c r="W308" i="3"/>
  <c r="AB331" i="3"/>
  <c r="Q315" i="3"/>
  <c r="P330" i="3"/>
  <c r="AC328" i="3"/>
  <c r="AA319" i="3"/>
  <c r="AF316" i="3"/>
  <c r="Y332" i="3"/>
  <c r="AG322" i="3"/>
  <c r="AD308" i="3"/>
  <c r="X312" i="3"/>
  <c r="T318" i="3"/>
  <c r="I306" i="3"/>
  <c r="R318" i="3"/>
  <c r="X319" i="3"/>
  <c r="AI307" i="3"/>
  <c r="AG312" i="3"/>
  <c r="P306" i="3"/>
  <c r="AG332" i="3"/>
  <c r="J326" i="3"/>
  <c r="Q309" i="3"/>
  <c r="AC335" i="3"/>
  <c r="I309" i="3"/>
  <c r="V306" i="3"/>
  <c r="W306" i="3"/>
  <c r="Z331" i="3"/>
  <c r="Y310" i="3"/>
  <c r="U306" i="3"/>
  <c r="U332" i="3"/>
  <c r="K312" i="3"/>
  <c r="AB318" i="3"/>
  <c r="Q316" i="3"/>
  <c r="N307" i="3"/>
  <c r="AG309" i="3"/>
  <c r="AE312" i="3"/>
  <c r="W309" i="3"/>
  <c r="X316" i="3"/>
  <c r="R316" i="3"/>
  <c r="K306" i="3"/>
  <c r="AF313" i="3"/>
  <c r="T308" i="3"/>
  <c r="W335" i="3"/>
  <c r="AH307" i="3"/>
  <c r="R326" i="3"/>
  <c r="AH330" i="3"/>
  <c r="AE335" i="3"/>
  <c r="O332" i="3"/>
  <c r="Q314" i="3"/>
  <c r="U322" i="3"/>
  <c r="G316" i="3"/>
  <c r="G335" i="3"/>
  <c r="H318" i="3"/>
  <c r="AE307" i="3"/>
  <c r="Z325" i="3"/>
  <c r="AB320" i="3"/>
  <c r="N312" i="3"/>
  <c r="AI315" i="3"/>
  <c r="G317" i="3"/>
  <c r="Y311" i="3"/>
  <c r="J330" i="3"/>
  <c r="U316" i="3"/>
  <c r="Q308" i="3"/>
  <c r="G332" i="3"/>
  <c r="J321" i="3"/>
  <c r="X324" i="3"/>
  <c r="AE318" i="3"/>
  <c r="Y312" i="3"/>
  <c r="AI318" i="3"/>
  <c r="K332" i="3"/>
  <c r="AB325" i="3"/>
  <c r="W311" i="3"/>
  <c r="X326" i="3"/>
  <c r="O324" i="3"/>
  <c r="AI329" i="3"/>
  <c r="L320" i="3"/>
  <c r="K335" i="3"/>
  <c r="G324" i="3"/>
  <c r="AA317" i="3"/>
  <c r="V314" i="3"/>
  <c r="AB309" i="3"/>
  <c r="I331" i="3"/>
  <c r="W320" i="3"/>
  <c r="AH319" i="3"/>
  <c r="AG326" i="3"/>
  <c r="V328" i="3"/>
  <c r="G314" i="3"/>
  <c r="AH334" i="3"/>
  <c r="I308" i="3"/>
  <c r="I323" i="3"/>
  <c r="I335" i="3"/>
  <c r="P311" i="3"/>
  <c r="V308" i="3"/>
  <c r="AG310" i="3"/>
  <c r="Z323" i="3"/>
  <c r="H323" i="3"/>
  <c r="AC306" i="3"/>
  <c r="AI310" i="3"/>
  <c r="Q325" i="3"/>
  <c r="X308" i="3"/>
  <c r="AC334" i="3"/>
  <c r="O323" i="3"/>
  <c r="V307" i="3"/>
  <c r="Q312" i="3"/>
  <c r="AF334" i="3"/>
  <c r="O326" i="3"/>
  <c r="N322" i="3"/>
  <c r="W331" i="3"/>
  <c r="N313" i="3"/>
  <c r="AA326" i="3"/>
  <c r="K319" i="3"/>
  <c r="P324" i="3"/>
  <c r="X307" i="3"/>
  <c r="H313" i="3"/>
  <c r="S317" i="3"/>
  <c r="N332" i="3"/>
  <c r="AE319" i="3"/>
  <c r="Y328" i="3"/>
  <c r="P318" i="3"/>
  <c r="N309" i="3"/>
  <c r="T325" i="3"/>
  <c r="AI316" i="3"/>
  <c r="AF322" i="3"/>
  <c r="T311" i="3"/>
  <c r="AE325" i="3"/>
  <c r="AC315" i="3"/>
  <c r="AI333" i="3"/>
  <c r="AB316" i="3"/>
  <c r="G307" i="3"/>
  <c r="L316" i="3"/>
  <c r="AH320" i="3"/>
  <c r="I330" i="3"/>
  <c r="R335" i="3"/>
  <c r="Y319" i="3"/>
  <c r="AG318" i="3"/>
  <c r="X317" i="3"/>
  <c r="T313" i="3"/>
  <c r="AA329" i="3"/>
  <c r="AI313" i="3"/>
  <c r="F325" i="3"/>
  <c r="J327" i="3"/>
  <c r="L332" i="3"/>
  <c r="AF325" i="3"/>
  <c r="L333" i="3"/>
  <c r="AG327" i="3"/>
  <c r="R314" i="3"/>
  <c r="R329" i="3"/>
  <c r="G315" i="3"/>
  <c r="N324" i="3"/>
  <c r="H330" i="3"/>
  <c r="P329" i="3"/>
  <c r="AA325" i="3"/>
  <c r="AI332" i="3"/>
  <c r="AI331" i="3"/>
  <c r="Q313" i="3"/>
  <c r="M310" i="3"/>
  <c r="F321" i="3"/>
  <c r="AG325" i="3"/>
  <c r="I325" i="3"/>
  <c r="P327" i="3"/>
  <c r="W326" i="3"/>
  <c r="K315" i="3"/>
  <c r="S334" i="3"/>
  <c r="R307" i="3"/>
  <c r="T332" i="3"/>
  <c r="T310" i="3"/>
  <c r="N320" i="3"/>
  <c r="AD318" i="3"/>
  <c r="Q328" i="3"/>
  <c r="H333" i="3"/>
  <c r="U333" i="3"/>
  <c r="AG307" i="3"/>
  <c r="N306" i="3"/>
  <c r="R317" i="3"/>
  <c r="AI314" i="3"/>
  <c r="H331" i="3"/>
  <c r="AE314" i="3"/>
  <c r="S322" i="3"/>
  <c r="U330" i="3"/>
  <c r="H329" i="3"/>
  <c r="P323" i="3"/>
  <c r="F334" i="3"/>
  <c r="H321" i="3"/>
  <c r="AG316" i="3"/>
  <c r="AB332" i="3"/>
  <c r="M328" i="3"/>
  <c r="W310" i="3"/>
  <c r="W319" i="3"/>
  <c r="R332" i="3"/>
  <c r="S328" i="3"/>
  <c r="AD320" i="3"/>
  <c r="AF309" i="3"/>
  <c r="AI320" i="3"/>
  <c r="L319" i="3"/>
  <c r="Y324" i="3"/>
  <c r="U318" i="3"/>
  <c r="V321" i="3"/>
  <c r="AD306" i="3"/>
  <c r="Y309" i="3"/>
  <c r="U312" i="3"/>
  <c r="S327" i="3"/>
  <c r="AG320" i="3"/>
  <c r="P313" i="3"/>
  <c r="AG321" i="3"/>
  <c r="U309" i="3"/>
  <c r="P335" i="3"/>
  <c r="AA311" i="3"/>
  <c r="AH325" i="3"/>
  <c r="R321" i="3"/>
  <c r="AE332" i="3"/>
  <c r="Q326" i="3"/>
  <c r="Z313" i="3"/>
  <c r="J312" i="3"/>
  <c r="I307" i="3"/>
  <c r="U329" i="3"/>
  <c r="L310" i="3"/>
  <c r="M329" i="3"/>
  <c r="K313" i="3"/>
  <c r="L330" i="3"/>
  <c r="AC330" i="3"/>
  <c r="V320" i="3"/>
  <c r="G328" i="3"/>
  <c r="Z316" i="3"/>
  <c r="AB322" i="3"/>
  <c r="W312" i="3"/>
  <c r="Y320" i="3"/>
  <c r="AH312" i="3"/>
  <c r="P326" i="3"/>
  <c r="P334" i="3"/>
  <c r="U317" i="3"/>
  <c r="I317" i="3"/>
  <c r="T333" i="3"/>
  <c r="AB312" i="3"/>
  <c r="Z335" i="3"/>
  <c r="V326" i="3"/>
  <c r="O307" i="3"/>
  <c r="AH321" i="3"/>
  <c r="F333" i="3"/>
  <c r="Q335" i="3"/>
  <c r="Y315" i="3"/>
  <c r="U335" i="3"/>
  <c r="AF307" i="3"/>
  <c r="K329" i="3"/>
  <c r="Y333" i="3"/>
  <c r="AF314" i="3"/>
  <c r="AE334" i="3"/>
  <c r="AE306" i="3"/>
  <c r="I333" i="3"/>
  <c r="U323" i="3"/>
  <c r="Y317" i="3"/>
  <c r="AA308" i="3"/>
  <c r="AA334" i="3"/>
  <c r="AH310" i="3"/>
  <c r="F311" i="3"/>
  <c r="S330" i="3"/>
  <c r="O325" i="3"/>
  <c r="Q318" i="3"/>
  <c r="N318" i="3"/>
  <c r="AC324" i="3"/>
  <c r="G333" i="3"/>
  <c r="Y318" i="3"/>
  <c r="F317" i="3"/>
  <c r="AE313" i="3"/>
  <c r="L324" i="3"/>
  <c r="AD334" i="3"/>
  <c r="L323" i="3"/>
  <c r="H326" i="3"/>
  <c r="M334" i="3"/>
  <c r="I324" i="3"/>
  <c r="V327" i="3"/>
  <c r="AD311" i="3"/>
  <c r="V331" i="3"/>
  <c r="S311" i="3"/>
  <c r="P319" i="3"/>
  <c r="AF329" i="3"/>
  <c r="J329" i="3"/>
  <c r="AD321" i="3"/>
  <c r="R306" i="3"/>
  <c r="F315" i="3"/>
  <c r="V330" i="3"/>
  <c r="J313" i="3"/>
  <c r="U315" i="3"/>
  <c r="AC312" i="3"/>
  <c r="F332" i="3"/>
  <c r="I329" i="3"/>
  <c r="AC316" i="3"/>
  <c r="L329" i="3"/>
  <c r="AF320" i="3"/>
  <c r="M322" i="3"/>
  <c r="Q306" i="3"/>
  <c r="X334" i="3"/>
  <c r="Q327" i="3"/>
  <c r="T334" i="3"/>
  <c r="X325" i="3"/>
  <c r="Z307" i="3"/>
  <c r="I313" i="3"/>
  <c r="H324" i="3"/>
  <c r="H316" i="3"/>
  <c r="P325" i="3"/>
  <c r="V322" i="3"/>
  <c r="G326" i="3"/>
  <c r="U321" i="3"/>
  <c r="J320" i="3"/>
  <c r="AI317" i="3"/>
  <c r="X333" i="3"/>
  <c r="G319" i="3"/>
  <c r="R322" i="3"/>
  <c r="AE328" i="3"/>
  <c r="K333" i="3"/>
  <c r="AC311" i="3"/>
  <c r="R311" i="3"/>
  <c r="AA316" i="3"/>
  <c r="AB329" i="3"/>
  <c r="AD315" i="3"/>
  <c r="AH309" i="3"/>
  <c r="Q307" i="3"/>
  <c r="F314" i="3"/>
  <c r="AB319" i="3"/>
  <c r="AH315" i="3"/>
  <c r="Z329" i="3"/>
  <c r="G329" i="3"/>
  <c r="Z310" i="3"/>
  <c r="N325" i="3"/>
  <c r="AA312" i="3"/>
  <c r="I320" i="3"/>
  <c r="K325" i="3"/>
  <c r="U331" i="3"/>
  <c r="AA310" i="3"/>
  <c r="P317" i="3"/>
  <c r="R325" i="3"/>
  <c r="AD331" i="3"/>
  <c r="F330" i="3"/>
  <c r="Z306" i="3"/>
  <c r="Q333" i="3"/>
  <c r="AB333" i="3"/>
  <c r="X309" i="3"/>
  <c r="AD325" i="3"/>
  <c r="Q311" i="3"/>
  <c r="W314" i="3"/>
  <c r="W323" i="3"/>
  <c r="Y316" i="3"/>
  <c r="Z332" i="3"/>
  <c r="O316" i="3"/>
  <c r="U311" i="3"/>
  <c r="V335" i="3"/>
  <c r="M323" i="3"/>
  <c r="I318" i="3"/>
  <c r="O314" i="3"/>
  <c r="AF324" i="3"/>
  <c r="H334" i="3"/>
  <c r="AG313" i="3"/>
  <c r="M314" i="3"/>
  <c r="Z326" i="3"/>
  <c r="X318" i="3"/>
  <c r="O310" i="3"/>
  <c r="AF327" i="3"/>
  <c r="AA323" i="3"/>
  <c r="T315" i="3"/>
  <c r="I310" i="3"/>
  <c r="AA315" i="3"/>
  <c r="AI312" i="3"/>
  <c r="H327" i="3"/>
  <c r="Z322" i="3"/>
  <c r="T328" i="3"/>
  <c r="R310" i="3"/>
  <c r="O330" i="3"/>
  <c r="Y331" i="3"/>
  <c r="Y308" i="3"/>
  <c r="O315" i="3"/>
  <c r="G327" i="3"/>
  <c r="Y323" i="3"/>
  <c r="AB321" i="3"/>
  <c r="K323" i="3"/>
  <c r="AB314" i="3"/>
  <c r="AC325" i="3"/>
  <c r="Y307" i="3"/>
  <c r="G320" i="3"/>
  <c r="H315" i="3"/>
  <c r="T323" i="3"/>
  <c r="J325" i="3"/>
  <c r="Z312" i="3"/>
  <c r="U320" i="3"/>
  <c r="N319" i="3"/>
  <c r="O320" i="3"/>
  <c r="P328" i="3"/>
  <c r="T316" i="3"/>
  <c r="J333" i="3"/>
  <c r="N328" i="3"/>
  <c r="AE321" i="3"/>
  <c r="W333" i="3"/>
  <c r="F328" i="3"/>
  <c r="J316" i="3"/>
  <c r="G323" i="3"/>
  <c r="M327" i="3"/>
  <c r="AE327" i="3"/>
  <c r="S306" i="3"/>
  <c r="Z318" i="3"/>
  <c r="AF330" i="3"/>
  <c r="M311" i="3"/>
  <c r="AI334" i="3"/>
  <c r="Z328" i="3"/>
  <c r="I328" i="3"/>
  <c r="N316" i="3"/>
  <c r="AF333" i="3"/>
  <c r="I316" i="3"/>
  <c r="Y329" i="3"/>
  <c r="M316" i="3"/>
  <c r="U313" i="3"/>
  <c r="O328" i="3"/>
  <c r="AI308" i="3"/>
  <c r="AE308" i="3"/>
  <c r="AG331" i="3"/>
  <c r="I327" i="3"/>
  <c r="K331" i="3"/>
  <c r="F327" i="3"/>
  <c r="R313" i="3"/>
  <c r="N323" i="3"/>
  <c r="AG308" i="3"/>
  <c r="H335" i="3"/>
  <c r="R312" i="3"/>
  <c r="Z308" i="3"/>
  <c r="M326" i="3"/>
  <c r="L312" i="3"/>
  <c r="AD326" i="3"/>
  <c r="F312" i="3"/>
  <c r="AF315" i="3"/>
  <c r="U310" i="3"/>
  <c r="AD309" i="3"/>
  <c r="AC320" i="3"/>
  <c r="V311" i="3"/>
  <c r="AI460" i="3"/>
  <c r="I478" i="3"/>
  <c r="V463" i="3"/>
  <c r="AD471" i="3"/>
  <c r="H478" i="3"/>
  <c r="I463" i="3"/>
  <c r="W474" i="3"/>
  <c r="AG464" i="3"/>
  <c r="AC463" i="3"/>
  <c r="G458" i="3"/>
  <c r="Y465" i="3"/>
  <c r="AD463" i="3"/>
  <c r="L463" i="3"/>
  <c r="F482" i="3"/>
  <c r="Q481" i="3"/>
  <c r="AD474" i="3"/>
  <c r="T463" i="3"/>
  <c r="L476" i="3"/>
  <c r="S458" i="3"/>
  <c r="AH463" i="3"/>
  <c r="P478" i="3"/>
  <c r="O486" i="3"/>
  <c r="M459" i="3"/>
  <c r="T471" i="3"/>
  <c r="AA460" i="3"/>
  <c r="J478" i="3"/>
  <c r="AE479" i="3"/>
  <c r="S484" i="3"/>
  <c r="I474" i="3"/>
  <c r="U469" i="3"/>
  <c r="AD484" i="3"/>
  <c r="T475" i="3"/>
  <c r="P473" i="3"/>
  <c r="F459" i="3"/>
  <c r="Q460" i="3"/>
  <c r="T484" i="3"/>
  <c r="W460" i="3"/>
  <c r="V462" i="3"/>
  <c r="Y479" i="3"/>
  <c r="M467" i="3"/>
  <c r="O469" i="3"/>
  <c r="AI466" i="3"/>
  <c r="F485" i="3"/>
  <c r="AC468" i="3"/>
  <c r="AA477" i="3"/>
  <c r="H474" i="3"/>
  <c r="K460" i="3"/>
  <c r="T464" i="3"/>
  <c r="I479" i="3"/>
  <c r="AH486" i="3"/>
  <c r="G473" i="3"/>
  <c r="U487" i="3"/>
  <c r="AB461" i="3"/>
  <c r="N470" i="3"/>
  <c r="H475" i="3"/>
  <c r="AI461" i="3"/>
  <c r="F483" i="3"/>
  <c r="H468" i="3"/>
  <c r="AG460" i="3"/>
  <c r="J459" i="3"/>
  <c r="K467" i="3"/>
  <c r="T473" i="3"/>
  <c r="X480" i="3"/>
  <c r="AI477" i="3"/>
  <c r="J460" i="3"/>
  <c r="N480" i="3"/>
  <c r="AE480" i="3"/>
  <c r="I464" i="3"/>
  <c r="X462" i="3"/>
  <c r="L464" i="3"/>
  <c r="J463" i="3"/>
  <c r="AA473" i="3"/>
  <c r="X461" i="3"/>
  <c r="AI479" i="3"/>
  <c r="I482" i="3"/>
  <c r="AG468" i="3"/>
  <c r="Y474" i="3"/>
  <c r="X473" i="3"/>
  <c r="R478" i="3"/>
  <c r="AF478" i="3"/>
  <c r="X466" i="3"/>
  <c r="AB467" i="3"/>
  <c r="K474" i="3"/>
  <c r="AC471" i="3"/>
  <c r="AF480" i="3"/>
  <c r="AF463" i="3"/>
  <c r="V469" i="3"/>
  <c r="T477" i="3"/>
  <c r="AD478" i="3"/>
  <c r="N466" i="3"/>
  <c r="AB477" i="3"/>
  <c r="AH478" i="3"/>
  <c r="F463" i="3"/>
  <c r="H465" i="3"/>
  <c r="S464" i="3"/>
  <c r="X486" i="3"/>
  <c r="Y463" i="3"/>
  <c r="Y484" i="3"/>
  <c r="L458" i="3"/>
  <c r="H466" i="3"/>
  <c r="AC486" i="3"/>
  <c r="O472" i="3"/>
  <c r="P471" i="3"/>
  <c r="AC461" i="3"/>
  <c r="K471" i="3"/>
  <c r="AC481" i="3"/>
  <c r="AE461" i="3"/>
  <c r="R470" i="3"/>
  <c r="K481" i="3"/>
  <c r="W473" i="3"/>
  <c r="Z463" i="3"/>
  <c r="F469" i="3"/>
  <c r="AE478" i="3"/>
  <c r="L485" i="3"/>
  <c r="W469" i="3"/>
  <c r="Z468" i="3"/>
  <c r="Q480" i="3"/>
  <c r="K463" i="3"/>
  <c r="AB483" i="3"/>
  <c r="Y466" i="3"/>
  <c r="N479" i="3"/>
  <c r="F465" i="3"/>
  <c r="AH474" i="3"/>
  <c r="AI475" i="3"/>
  <c r="Y483" i="3"/>
  <c r="AD470" i="3"/>
  <c r="H479" i="3"/>
  <c r="M461" i="3"/>
  <c r="AB485" i="3"/>
  <c r="S460" i="3"/>
  <c r="S479" i="3"/>
  <c r="M481" i="3"/>
  <c r="F475" i="3"/>
  <c r="L465" i="3"/>
  <c r="Z474" i="3"/>
  <c r="R484" i="3"/>
  <c r="R458" i="3"/>
  <c r="F473" i="3"/>
  <c r="K466" i="3"/>
  <c r="U471" i="3"/>
  <c r="X460" i="3"/>
  <c r="S473" i="3"/>
  <c r="L477" i="3"/>
  <c r="L459" i="3"/>
  <c r="R475" i="3"/>
  <c r="X482" i="3"/>
  <c r="K480" i="3"/>
  <c r="H472" i="3"/>
  <c r="W466" i="3"/>
  <c r="L462" i="3"/>
  <c r="AI485" i="3"/>
  <c r="Y487" i="3"/>
  <c r="K458" i="3"/>
  <c r="M485" i="3"/>
  <c r="T459" i="3"/>
  <c r="Z464" i="3"/>
  <c r="AH487" i="3"/>
  <c r="AH469" i="3"/>
  <c r="AG477" i="3"/>
  <c r="Y486" i="3"/>
  <c r="L480" i="3"/>
  <c r="K468" i="3"/>
  <c r="AH484" i="3"/>
  <c r="G482" i="3"/>
  <c r="AG487" i="3"/>
  <c r="H485" i="3"/>
  <c r="U462" i="3"/>
  <c r="H459" i="3"/>
  <c r="AG463" i="3"/>
  <c r="J473" i="3"/>
  <c r="AF465" i="3"/>
  <c r="P469" i="3"/>
  <c r="H482" i="3"/>
  <c r="W481" i="3"/>
  <c r="AI476" i="3"/>
  <c r="AA484" i="3"/>
  <c r="Q464" i="3"/>
  <c r="G470" i="3"/>
  <c r="I467" i="3"/>
  <c r="AH472" i="3"/>
  <c r="Y467" i="3"/>
  <c r="V486" i="3"/>
  <c r="H469" i="3"/>
  <c r="X484" i="3"/>
  <c r="Y459" i="3"/>
  <c r="J483" i="3"/>
  <c r="AF466" i="3"/>
  <c r="P464" i="3"/>
  <c r="U473" i="3"/>
  <c r="U468" i="3"/>
  <c r="M458" i="3"/>
  <c r="M468" i="3"/>
  <c r="Q471" i="3"/>
  <c r="H470" i="3"/>
  <c r="AI463" i="3"/>
  <c r="K487" i="3"/>
  <c r="F477" i="3"/>
  <c r="S463" i="3"/>
  <c r="O459" i="3"/>
  <c r="P470" i="3"/>
  <c r="Q484" i="3"/>
  <c r="V468" i="3"/>
  <c r="X475" i="3"/>
  <c r="Z460" i="3"/>
  <c r="Q469" i="3"/>
  <c r="M486" i="3"/>
  <c r="G459" i="3"/>
  <c r="S483" i="3"/>
  <c r="F487" i="3"/>
  <c r="K486" i="3"/>
  <c r="J476" i="3"/>
  <c r="W486" i="3"/>
  <c r="V474" i="3"/>
  <c r="W470" i="3"/>
  <c r="O473" i="3"/>
  <c r="AE463" i="3"/>
  <c r="T472" i="3"/>
  <c r="T487" i="3"/>
  <c r="AC467" i="3"/>
  <c r="I462" i="3"/>
  <c r="Z487" i="3"/>
  <c r="U465" i="3"/>
  <c r="AD479" i="3"/>
  <c r="T481" i="3"/>
  <c r="N472" i="3"/>
  <c r="AA485" i="3"/>
  <c r="L472" i="3"/>
  <c r="Y458" i="3"/>
  <c r="Q487" i="3"/>
  <c r="AE458" i="3"/>
  <c r="W472" i="3"/>
  <c r="N478" i="3"/>
  <c r="AB459" i="3"/>
  <c r="S468" i="3"/>
  <c r="M476" i="3"/>
  <c r="L471" i="3"/>
  <c r="G474" i="3"/>
  <c r="R474" i="3"/>
  <c r="X463" i="3"/>
  <c r="AE460" i="3"/>
  <c r="J469" i="3"/>
  <c r="W480" i="3"/>
  <c r="I459" i="3"/>
  <c r="AH462" i="3"/>
  <c r="S465" i="3"/>
  <c r="T482" i="3"/>
  <c r="K461" i="3"/>
  <c r="K475" i="3"/>
  <c r="AD487" i="3"/>
  <c r="M462" i="3"/>
  <c r="AE464" i="3"/>
  <c r="T461" i="3"/>
  <c r="AC464" i="3"/>
  <c r="AH470" i="3"/>
  <c r="AC465" i="3"/>
  <c r="V466" i="3"/>
  <c r="R483" i="3"/>
  <c r="G487" i="3"/>
  <c r="I460" i="3"/>
  <c r="W463" i="3"/>
  <c r="G478" i="3"/>
  <c r="J486" i="3"/>
  <c r="AI470" i="3"/>
  <c r="AF470" i="3"/>
  <c r="V479" i="3"/>
  <c r="J462" i="3"/>
  <c r="K470" i="3"/>
  <c r="I484" i="3"/>
  <c r="Z473" i="3"/>
  <c r="U477" i="3"/>
  <c r="Z467" i="3"/>
  <c r="AE487" i="3"/>
  <c r="L474" i="3"/>
  <c r="Z486" i="3"/>
  <c r="I469" i="3"/>
  <c r="L481" i="3"/>
  <c r="AB478" i="3"/>
  <c r="N477" i="3"/>
  <c r="V483" i="3"/>
  <c r="AH477" i="3"/>
  <c r="R476" i="3"/>
  <c r="AF486" i="3"/>
  <c r="H464" i="3"/>
  <c r="T462" i="3"/>
  <c r="Q485" i="3"/>
  <c r="AI486" i="3"/>
  <c r="T476" i="3"/>
  <c r="J481" i="3"/>
  <c r="AC482" i="3"/>
  <c r="U478" i="3"/>
  <c r="Q473" i="3"/>
  <c r="F467" i="3"/>
  <c r="V470" i="3"/>
  <c r="O458" i="3"/>
  <c r="J479" i="3"/>
  <c r="X471" i="3"/>
  <c r="AI483" i="3"/>
  <c r="AG461" i="3"/>
  <c r="N464" i="3"/>
  <c r="P465" i="3"/>
  <c r="AD469" i="3"/>
  <c r="U475" i="3"/>
  <c r="H486" i="3"/>
  <c r="H461" i="3"/>
  <c r="AA487" i="3"/>
  <c r="AF482" i="3"/>
  <c r="H473" i="3"/>
  <c r="AF487" i="3"/>
  <c r="R487" i="3"/>
  <c r="AB462" i="3"/>
  <c r="AF458" i="3"/>
  <c r="N484" i="3"/>
  <c r="U484" i="3"/>
  <c r="AF464" i="3"/>
  <c r="AE483" i="3"/>
  <c r="AD476" i="3"/>
  <c r="G471" i="3"/>
  <c r="F474" i="3"/>
  <c r="AH479" i="3"/>
  <c r="U486" i="3"/>
  <c r="F478" i="3"/>
  <c r="R480" i="3"/>
  <c r="AC484" i="3"/>
  <c r="Y468" i="3"/>
  <c r="AD461" i="3"/>
  <c r="L478" i="3"/>
  <c r="AG470" i="3"/>
  <c r="P460" i="3"/>
  <c r="AH485" i="3"/>
  <c r="J470" i="3"/>
  <c r="W487" i="3"/>
  <c r="J458" i="3"/>
  <c r="M475" i="3"/>
  <c r="AE484" i="3"/>
  <c r="N483" i="3"/>
  <c r="M471" i="3"/>
  <c r="T485" i="3"/>
  <c r="F472" i="3"/>
  <c r="H477" i="3"/>
  <c r="AC458" i="3"/>
  <c r="U466" i="3"/>
  <c r="J467" i="3"/>
  <c r="AE468" i="3"/>
  <c r="V476" i="3"/>
  <c r="AA459" i="3"/>
  <c r="S466" i="3"/>
  <c r="Y482" i="3"/>
  <c r="AC473" i="3"/>
  <c r="S485" i="3"/>
  <c r="AD466" i="3"/>
  <c r="U470" i="3"/>
  <c r="AA483" i="3"/>
  <c r="Q475" i="3"/>
  <c r="S475" i="3"/>
  <c r="AA461" i="3"/>
  <c r="Z475" i="3"/>
  <c r="U483" i="3"/>
  <c r="AA480" i="3"/>
  <c r="AG462" i="3"/>
  <c r="R464" i="3"/>
  <c r="T470" i="3"/>
  <c r="N467" i="3"/>
  <c r="AG471" i="3"/>
  <c r="K472" i="3"/>
  <c r="M477" i="3"/>
  <c r="L483" i="3"/>
  <c r="F484" i="3"/>
  <c r="N475" i="3"/>
  <c r="V475" i="3"/>
  <c r="W484" i="3"/>
  <c r="AB486" i="3"/>
  <c r="AC479" i="3"/>
  <c r="AA467" i="3"/>
  <c r="M464" i="3"/>
  <c r="Q468" i="3"/>
  <c r="G469" i="3"/>
  <c r="Z459" i="3"/>
  <c r="V484" i="3"/>
  <c r="I487" i="3"/>
  <c r="J482" i="3"/>
  <c r="AG476" i="3"/>
  <c r="AB466" i="3"/>
  <c r="J487" i="3"/>
  <c r="I466" i="3"/>
  <c r="AI458" i="3"/>
  <c r="U474" i="3"/>
  <c r="AA478" i="3"/>
  <c r="G486" i="3"/>
  <c r="AA463" i="3"/>
  <c r="G476" i="3"/>
  <c r="Y464" i="3"/>
  <c r="K92" i="3"/>
  <c r="F82" i="3"/>
  <c r="R102" i="3"/>
  <c r="M105" i="3"/>
  <c r="AD97" i="3"/>
  <c r="N98" i="3"/>
  <c r="V101" i="3"/>
  <c r="AE92" i="3"/>
  <c r="M107" i="3"/>
  <c r="I101" i="3"/>
  <c r="I90" i="3"/>
  <c r="AD94" i="3"/>
  <c r="F93" i="3"/>
  <c r="AI101" i="3"/>
  <c r="X103" i="3"/>
  <c r="H98" i="3"/>
  <c r="AB92" i="3"/>
  <c r="Z103" i="3"/>
  <c r="AI84" i="3"/>
  <c r="N84" i="3"/>
  <c r="N82" i="3"/>
  <c r="W84" i="3"/>
  <c r="G88" i="3"/>
  <c r="Q98" i="3"/>
  <c r="T84" i="3"/>
  <c r="P80" i="3"/>
  <c r="O78" i="3"/>
  <c r="J106" i="3"/>
  <c r="AI97" i="3"/>
  <c r="W90" i="3"/>
  <c r="Q86" i="3"/>
  <c r="AA99" i="3"/>
  <c r="AF106" i="3"/>
  <c r="L79" i="3"/>
  <c r="H87" i="3"/>
  <c r="AC100" i="3"/>
  <c r="Y79" i="3"/>
  <c r="Z105" i="3"/>
  <c r="X102" i="3"/>
  <c r="AH85" i="3"/>
  <c r="G102" i="3"/>
  <c r="U91" i="3"/>
  <c r="AA80" i="3"/>
  <c r="Q105" i="3"/>
  <c r="AC96" i="3"/>
  <c r="U88" i="3"/>
  <c r="T98" i="3"/>
  <c r="W101" i="3"/>
  <c r="K93" i="3"/>
  <c r="U78" i="3"/>
  <c r="AE100" i="3"/>
  <c r="AH93" i="3"/>
  <c r="G83" i="3"/>
  <c r="P107" i="3"/>
  <c r="U96" i="3"/>
  <c r="AB105" i="3"/>
  <c r="M81" i="3"/>
  <c r="H106" i="3"/>
  <c r="AB94" i="3"/>
  <c r="I99" i="3"/>
  <c r="AA104" i="3"/>
  <c r="S104" i="3"/>
  <c r="AG97" i="3"/>
  <c r="AA107" i="3"/>
  <c r="U81" i="3"/>
  <c r="AB88" i="3"/>
  <c r="P104" i="3"/>
  <c r="N92" i="3"/>
  <c r="K96" i="3"/>
  <c r="K82" i="3"/>
  <c r="AB106" i="3"/>
  <c r="G85" i="3"/>
  <c r="AG80" i="3"/>
  <c r="Q94" i="3"/>
  <c r="H86" i="3"/>
  <c r="V79" i="3"/>
  <c r="V103" i="3"/>
  <c r="S80" i="3"/>
  <c r="K84" i="3"/>
  <c r="K99" i="3"/>
  <c r="W96" i="3"/>
  <c r="AA86" i="3"/>
  <c r="AD91" i="3"/>
  <c r="AA83" i="3"/>
  <c r="AC97" i="3"/>
  <c r="L105" i="3"/>
  <c r="U92" i="3"/>
  <c r="Y80" i="3"/>
  <c r="AH107" i="3"/>
  <c r="V81" i="3"/>
  <c r="AA105" i="3"/>
  <c r="V93" i="3"/>
  <c r="AD101" i="3"/>
  <c r="AI91" i="3"/>
  <c r="H105" i="3"/>
  <c r="M94" i="3"/>
  <c r="P98" i="3"/>
  <c r="Q103" i="3"/>
  <c r="H104" i="3"/>
  <c r="AE85" i="3"/>
  <c r="AH98" i="3"/>
  <c r="H99" i="3"/>
  <c r="V91" i="3"/>
  <c r="R78" i="3"/>
  <c r="Q90" i="3"/>
  <c r="T78" i="3"/>
  <c r="J79" i="3"/>
  <c r="X79" i="3"/>
  <c r="AI89" i="3"/>
  <c r="U82" i="3"/>
  <c r="H78" i="3"/>
  <c r="I86" i="3"/>
  <c r="AB95" i="3"/>
  <c r="AE99" i="3"/>
  <c r="AC93" i="3"/>
  <c r="L107" i="3"/>
  <c r="O104" i="3"/>
  <c r="U83" i="3"/>
  <c r="P103" i="3"/>
  <c r="AG103" i="3"/>
  <c r="AF84" i="3"/>
  <c r="T99" i="3"/>
  <c r="AA84" i="3"/>
  <c r="I98" i="3"/>
  <c r="AD89" i="3"/>
  <c r="W88" i="3"/>
  <c r="K98" i="3"/>
  <c r="AB90" i="3"/>
  <c r="W95" i="3"/>
  <c r="V82" i="3"/>
  <c r="S78" i="3"/>
  <c r="R83" i="3"/>
  <c r="F91" i="3"/>
  <c r="F94" i="3"/>
  <c r="M86" i="3"/>
  <c r="AI92" i="3"/>
  <c r="J101" i="3"/>
  <c r="U102" i="3"/>
  <c r="P106" i="3"/>
  <c r="AG87" i="3"/>
  <c r="W83" i="3"/>
  <c r="O105" i="3"/>
  <c r="F105" i="3"/>
  <c r="N88" i="3"/>
  <c r="O99" i="3"/>
  <c r="AD82" i="3"/>
  <c r="AI88" i="3"/>
  <c r="Q106" i="3"/>
  <c r="H89" i="3"/>
  <c r="Q95" i="3"/>
  <c r="AH106" i="3"/>
  <c r="P90" i="3"/>
  <c r="AB84" i="3"/>
  <c r="O107" i="3"/>
  <c r="AH96" i="3"/>
  <c r="AB97" i="3"/>
  <c r="N94" i="3"/>
  <c r="K104" i="3"/>
  <c r="Q82" i="3"/>
  <c r="T96" i="3"/>
  <c r="Q80" i="3"/>
  <c r="Y106" i="3"/>
  <c r="T95" i="3"/>
  <c r="AF89" i="3"/>
  <c r="AD81" i="3"/>
  <c r="AC104" i="3"/>
  <c r="J99" i="3"/>
  <c r="AA87" i="3"/>
  <c r="S88" i="3"/>
  <c r="Y99" i="3"/>
  <c r="M99" i="3"/>
  <c r="AI79" i="3"/>
  <c r="R216" i="3"/>
  <c r="F202" i="3"/>
  <c r="Q218" i="3"/>
  <c r="M220" i="3"/>
  <c r="V198" i="3"/>
  <c r="P209" i="3"/>
  <c r="N196" i="3"/>
  <c r="R199" i="3"/>
  <c r="AI204" i="3"/>
  <c r="AI192" i="3"/>
  <c r="R205" i="3"/>
  <c r="X211" i="3"/>
  <c r="G221" i="3"/>
  <c r="AB212" i="3"/>
  <c r="AI219" i="3"/>
  <c r="AH205" i="3"/>
  <c r="V211" i="3"/>
  <c r="AE211" i="3"/>
  <c r="Z205" i="3"/>
  <c r="K195" i="3"/>
  <c r="U211" i="3"/>
  <c r="AD204" i="3"/>
  <c r="J198" i="3"/>
  <c r="I206" i="3"/>
  <c r="R207" i="3"/>
  <c r="X218" i="3"/>
  <c r="O193" i="3"/>
  <c r="AI200" i="3"/>
  <c r="Z196" i="3"/>
  <c r="AF209" i="3"/>
  <c r="S212" i="3"/>
  <c r="F196" i="3"/>
  <c r="AC219" i="3"/>
  <c r="M199" i="3"/>
  <c r="F220" i="3"/>
  <c r="AI201" i="3"/>
  <c r="AI207" i="3"/>
  <c r="P203" i="3"/>
  <c r="AI212" i="3"/>
  <c r="S199" i="3"/>
  <c r="X752" i="3"/>
  <c r="P740" i="3"/>
  <c r="M745" i="3"/>
  <c r="H745" i="3"/>
  <c r="N751" i="3"/>
  <c r="AG727" i="3"/>
  <c r="O730" i="3"/>
  <c r="AG744" i="3"/>
  <c r="M724" i="3"/>
  <c r="V739" i="3"/>
  <c r="H741" i="3"/>
  <c r="L742" i="3"/>
  <c r="AF749" i="3"/>
  <c r="AB751" i="3"/>
  <c r="H724" i="3"/>
  <c r="K738" i="3"/>
  <c r="R753" i="3"/>
  <c r="V730" i="3"/>
  <c r="AD744" i="3"/>
  <c r="AI729" i="3"/>
  <c r="H753" i="3"/>
  <c r="Y739" i="3"/>
  <c r="AG741" i="3"/>
  <c r="L746" i="3"/>
  <c r="AF737" i="3"/>
  <c r="M746" i="3"/>
  <c r="O748" i="3"/>
  <c r="V736" i="3"/>
  <c r="N731" i="3"/>
  <c r="I745" i="3"/>
  <c r="AG740" i="3"/>
  <c r="AE744" i="3"/>
  <c r="K727" i="3"/>
  <c r="AB748" i="3"/>
  <c r="J729" i="3"/>
  <c r="S747" i="3"/>
  <c r="V743" i="3"/>
  <c r="I753" i="3"/>
  <c r="N733" i="3"/>
  <c r="S741" i="3"/>
  <c r="Q738" i="3"/>
  <c r="O727" i="3"/>
  <c r="S746" i="3"/>
  <c r="L750" i="3"/>
  <c r="AE724" i="3"/>
  <c r="AE733" i="3"/>
  <c r="R744" i="3"/>
  <c r="AC737" i="3"/>
  <c r="S730" i="3"/>
  <c r="G742" i="3"/>
  <c r="AH734" i="3"/>
  <c r="P732" i="3"/>
  <c r="AH746" i="3"/>
  <c r="U729" i="3"/>
  <c r="L747" i="3"/>
  <c r="T751" i="3"/>
  <c r="P733" i="3"/>
  <c r="U727" i="3"/>
  <c r="G728" i="3"/>
  <c r="M732" i="3"/>
  <c r="AC751" i="3"/>
  <c r="T724" i="3"/>
  <c r="N737" i="3"/>
  <c r="S748" i="3"/>
  <c r="K725" i="3"/>
  <c r="AB749" i="3"/>
  <c r="F729" i="3"/>
  <c r="L726" i="3"/>
  <c r="V728" i="3"/>
  <c r="K730" i="3"/>
  <c r="Y745" i="3"/>
  <c r="K731" i="3"/>
  <c r="H740" i="3"/>
  <c r="Q728" i="3"/>
  <c r="T740" i="3"/>
  <c r="Z730" i="3"/>
  <c r="R740" i="3"/>
  <c r="X726" i="3"/>
  <c r="R748" i="3"/>
  <c r="U745" i="3"/>
  <c r="AB747" i="3"/>
  <c r="O743" i="3"/>
  <c r="Q731" i="3"/>
  <c r="W748" i="3"/>
  <c r="AE729" i="3"/>
  <c r="R732" i="3"/>
  <c r="AH744" i="3"/>
  <c r="P744" i="3"/>
  <c r="X737" i="3"/>
  <c r="K740" i="3"/>
  <c r="F752" i="3"/>
  <c r="AG753" i="3"/>
  <c r="O737" i="3"/>
  <c r="U731" i="3"/>
  <c r="U730" i="3"/>
  <c r="AG748" i="3"/>
  <c r="Z750" i="3"/>
  <c r="R730" i="3"/>
  <c r="F743" i="3"/>
  <c r="N743" i="3"/>
  <c r="AF736" i="3"/>
  <c r="J728" i="3"/>
  <c r="K747" i="3"/>
  <c r="AH749" i="3"/>
  <c r="G730" i="3"/>
  <c r="P743" i="3"/>
  <c r="AB725" i="3"/>
  <c r="S734" i="3"/>
  <c r="S753" i="3"/>
  <c r="O742" i="3"/>
  <c r="AI733" i="3"/>
  <c r="J736" i="3"/>
  <c r="I727" i="3"/>
  <c r="T736" i="3"/>
  <c r="O725" i="3"/>
  <c r="G746" i="3"/>
  <c r="M726" i="3"/>
  <c r="AB739" i="3"/>
  <c r="Y732" i="3"/>
  <c r="AB738" i="3"/>
  <c r="X740" i="3"/>
  <c r="N744" i="3"/>
  <c r="I739" i="3"/>
  <c r="L752" i="3"/>
  <c r="AC748" i="3"/>
  <c r="X732" i="3"/>
  <c r="R742" i="3"/>
  <c r="R733" i="3"/>
  <c r="L725" i="3"/>
  <c r="O736" i="3"/>
  <c r="AE727" i="3"/>
  <c r="I743" i="3"/>
  <c r="R731" i="3"/>
  <c r="AE745" i="3"/>
  <c r="Q743" i="3"/>
  <c r="G738" i="3"/>
  <c r="X744" i="3"/>
  <c r="V751" i="3"/>
  <c r="Y750" i="3"/>
  <c r="AF746" i="3"/>
  <c r="J751" i="3"/>
  <c r="F725" i="3"/>
  <c r="S728" i="3"/>
  <c r="AI743" i="3"/>
  <c r="AF753" i="3"/>
  <c r="T743" i="3"/>
  <c r="P748" i="3"/>
  <c r="H744" i="3"/>
  <c r="Q733" i="3"/>
  <c r="G752" i="3"/>
  <c r="K742" i="3"/>
  <c r="V740" i="3"/>
  <c r="J724" i="3"/>
  <c r="P726" i="3"/>
  <c r="G741" i="3"/>
  <c r="R734" i="3"/>
  <c r="R745" i="3"/>
  <c r="AD743" i="3"/>
  <c r="W745" i="3"/>
  <c r="M751" i="3"/>
  <c r="AH726" i="3"/>
  <c r="M738" i="3"/>
  <c r="T734" i="3"/>
  <c r="AG734" i="3"/>
  <c r="AI751" i="3"/>
  <c r="R729" i="3"/>
  <c r="W734" i="3"/>
  <c r="S725" i="3"/>
  <c r="Z732" i="3"/>
  <c r="T750" i="3"/>
  <c r="AC749" i="3"/>
  <c r="AH751" i="3"/>
  <c r="AB740" i="3"/>
  <c r="N747" i="3"/>
  <c r="I731" i="3"/>
  <c r="AB746" i="3"/>
  <c r="F738" i="3"/>
  <c r="X739" i="3"/>
  <c r="X750" i="3"/>
  <c r="U748" i="3"/>
  <c r="AA724" i="3"/>
  <c r="AA728" i="3"/>
  <c r="W730" i="3"/>
  <c r="U732" i="3"/>
  <c r="L749" i="3"/>
  <c r="AA737" i="3"/>
  <c r="T728" i="3"/>
  <c r="S752" i="3"/>
  <c r="I728" i="3"/>
  <c r="S735" i="3"/>
  <c r="T749" i="3"/>
  <c r="AB730" i="3"/>
  <c r="AD742" i="3"/>
  <c r="N752" i="3"/>
  <c r="Y748" i="3"/>
  <c r="V729" i="3"/>
  <c r="U724" i="3"/>
  <c r="R728" i="3"/>
  <c r="Y747" i="3"/>
  <c r="J745" i="3"/>
  <c r="AA753" i="3"/>
  <c r="Z753" i="3"/>
  <c r="Z731" i="3"/>
  <c r="T738" i="3"/>
  <c r="W731" i="3"/>
  <c r="AG729" i="3"/>
  <c r="AE751" i="3"/>
  <c r="N729" i="3"/>
  <c r="AB742" i="3"/>
  <c r="L735" i="3"/>
  <c r="AI748" i="3"/>
  <c r="AH735" i="3"/>
  <c r="N746" i="3"/>
  <c r="G732" i="3"/>
  <c r="K750" i="3"/>
  <c r="AF738" i="3"/>
  <c r="AB741" i="3"/>
  <c r="U741" i="3"/>
  <c r="T737" i="3"/>
  <c r="AH753" i="3"/>
  <c r="O741" i="3"/>
  <c r="I730" i="3"/>
  <c r="S739" i="3"/>
  <c r="U747" i="3"/>
  <c r="F746" i="3"/>
  <c r="P730" i="3"/>
  <c r="AF732" i="3"/>
  <c r="O738" i="3"/>
  <c r="J741" i="3"/>
  <c r="I732" i="3"/>
  <c r="O734" i="3"/>
  <c r="AA746" i="3"/>
  <c r="L737" i="3"/>
  <c r="AD745" i="3"/>
  <c r="G735" i="3"/>
  <c r="J744" i="3"/>
  <c r="I733" i="3"/>
  <c r="AF751" i="3"/>
  <c r="H743" i="3"/>
  <c r="M752" i="3"/>
  <c r="G747" i="3"/>
  <c r="AG743" i="3"/>
  <c r="H742" i="3"/>
  <c r="S727" i="3"/>
  <c r="AE750" i="3"/>
  <c r="P742" i="3"/>
  <c r="H729" i="3"/>
  <c r="Q749" i="3"/>
  <c r="X727" i="3"/>
  <c r="AD732" i="3"/>
  <c r="H731" i="3"/>
  <c r="AC732" i="3"/>
  <c r="X725" i="3"/>
  <c r="G751" i="3"/>
  <c r="G729" i="3"/>
  <c r="F748" i="3"/>
  <c r="K732" i="3"/>
  <c r="AD736" i="3"/>
  <c r="J750" i="3"/>
  <c r="X749" i="3"/>
  <c r="Y746" i="3"/>
  <c r="H751" i="3"/>
  <c r="AC729" i="3"/>
  <c r="Z738" i="3"/>
  <c r="AH730" i="3"/>
  <c r="Q727" i="3"/>
  <c r="G727" i="3"/>
  <c r="Q729" i="3"/>
  <c r="AI726" i="3"/>
  <c r="AG735" i="3"/>
  <c r="AD748" i="3"/>
  <c r="K753" i="3"/>
  <c r="H750" i="3"/>
  <c r="H733" i="3"/>
  <c r="AA725" i="3"/>
  <c r="W738" i="3"/>
  <c r="AA744" i="3"/>
  <c r="K735" i="3"/>
  <c r="Y749" i="3"/>
  <c r="O746" i="3"/>
  <c r="Q750" i="3"/>
  <c r="P727" i="3"/>
  <c r="AF728" i="3"/>
  <c r="U725" i="3"/>
  <c r="Z736" i="3"/>
  <c r="AE737" i="3"/>
  <c r="I752" i="3"/>
  <c r="U737" i="3"/>
  <c r="G734" i="3"/>
  <c r="U734" i="3"/>
  <c r="AH741" i="3"/>
  <c r="I735" i="3"/>
  <c r="K739" i="3"/>
  <c r="AA733" i="3"/>
  <c r="Z735" i="3"/>
  <c r="AA729" i="3"/>
  <c r="AH743" i="3"/>
  <c r="AF747" i="3"/>
  <c r="AI724" i="3"/>
  <c r="I750" i="3"/>
  <c r="I746" i="3"/>
  <c r="AE734" i="3"/>
  <c r="X751" i="3"/>
  <c r="K741" i="3"/>
  <c r="M735" i="3"/>
  <c r="AE740" i="3"/>
  <c r="N730" i="3"/>
  <c r="L745" i="3"/>
  <c r="P747" i="3"/>
  <c r="AI745" i="3"/>
  <c r="AE747" i="3"/>
  <c r="AA751" i="3"/>
  <c r="Q725" i="3"/>
  <c r="H728" i="3"/>
  <c r="I747" i="3"/>
  <c r="L739" i="3"/>
  <c r="AA732" i="3"/>
  <c r="V745" i="3"/>
  <c r="Q737" i="3"/>
  <c r="R741" i="3"/>
  <c r="AC745" i="3"/>
  <c r="AG725" i="3"/>
  <c r="M749" i="3"/>
  <c r="X728" i="3"/>
  <c r="W727" i="3"/>
  <c r="AA739" i="3"/>
  <c r="AE730" i="3"/>
  <c r="O752" i="3"/>
  <c r="AD737" i="3"/>
  <c r="AF745" i="3"/>
  <c r="Y752" i="3"/>
  <c r="W750" i="3"/>
  <c r="Y753" i="3"/>
  <c r="AG736" i="3"/>
  <c r="AA734" i="3"/>
  <c r="M734" i="3"/>
  <c r="G739" i="3"/>
  <c r="I726" i="3"/>
  <c r="K746" i="3"/>
  <c r="K744" i="3"/>
  <c r="M729" i="3"/>
  <c r="N742" i="3"/>
  <c r="J731" i="3"/>
  <c r="AA743" i="3"/>
  <c r="AE741" i="3"/>
  <c r="R738" i="3"/>
  <c r="J725" i="3"/>
  <c r="Y740" i="3"/>
  <c r="P739" i="3"/>
  <c r="N738" i="3"/>
  <c r="AI742" i="3"/>
  <c r="V733" i="3"/>
  <c r="W728" i="3"/>
  <c r="Y738" i="3"/>
  <c r="AI735" i="3"/>
  <c r="F753" i="3"/>
  <c r="F726" i="3"/>
  <c r="F747" i="3"/>
  <c r="S732" i="3"/>
  <c r="F737" i="3"/>
  <c r="AH750" i="3"/>
  <c r="X734" i="3"/>
  <c r="R726" i="3"/>
  <c r="O744" i="3"/>
  <c r="AD739" i="3"/>
  <c r="AH739" i="3"/>
  <c r="R724" i="3"/>
  <c r="F749" i="3"/>
  <c r="Y730" i="3"/>
  <c r="AD750" i="3"/>
  <c r="F724" i="3"/>
  <c r="T727" i="3"/>
  <c r="T753" i="3"/>
  <c r="Q739" i="3"/>
  <c r="AE732" i="3"/>
  <c r="S733" i="3"/>
  <c r="X731" i="3"/>
  <c r="Z748" i="3"/>
  <c r="T746" i="3"/>
  <c r="AC739" i="3"/>
  <c r="I748" i="3"/>
  <c r="M725" i="3"/>
  <c r="Z724" i="3"/>
  <c r="AG746" i="3"/>
  <c r="X733" i="3"/>
  <c r="T731" i="3"/>
  <c r="N727" i="3"/>
  <c r="O739" i="3"/>
  <c r="O729" i="3"/>
  <c r="AG731" i="3"/>
  <c r="N726" i="3"/>
  <c r="H727" i="3"/>
  <c r="Q732" i="3"/>
  <c r="W747" i="3"/>
  <c r="G753" i="3"/>
  <c r="AA738" i="3"/>
  <c r="AF742" i="3"/>
  <c r="I742" i="3"/>
  <c r="M747" i="3"/>
  <c r="AH747" i="3"/>
  <c r="K737" i="3"/>
  <c r="V753" i="3"/>
  <c r="AA742" i="3"/>
  <c r="H738" i="3"/>
  <c r="AH732" i="3"/>
  <c r="S743" i="3"/>
  <c r="AE736" i="3"/>
  <c r="R752" i="3"/>
  <c r="AF752" i="3"/>
  <c r="AB729" i="3"/>
  <c r="P752" i="3"/>
  <c r="P750" i="3"/>
  <c r="Q745" i="3"/>
  <c r="Z742" i="3"/>
  <c r="U739" i="3"/>
  <c r="F740" i="3"/>
  <c r="N741" i="3"/>
  <c r="M730" i="3"/>
  <c r="AC743" i="3"/>
  <c r="AB724" i="3"/>
  <c r="P734" i="3"/>
  <c r="Z752" i="3"/>
  <c r="U743" i="3"/>
  <c r="Y734" i="3"/>
  <c r="AC731" i="3"/>
  <c r="AB737" i="3"/>
  <c r="L734" i="3"/>
  <c r="V726" i="3"/>
  <c r="J748" i="3"/>
  <c r="F731" i="3"/>
  <c r="Y743" i="3"/>
  <c r="AA752" i="3"/>
  <c r="G748" i="3"/>
  <c r="U750" i="3"/>
  <c r="M727" i="3"/>
  <c r="I744" i="3"/>
  <c r="T725" i="3"/>
  <c r="L738" i="3"/>
  <c r="AC744" i="3"/>
  <c r="J742" i="3"/>
  <c r="AC740" i="3"/>
  <c r="U753" i="3"/>
  <c r="AD727" i="3"/>
  <c r="W743" i="3"/>
  <c r="X729" i="3"/>
  <c r="AI740" i="3"/>
  <c r="AD746" i="3"/>
  <c r="AG732" i="3"/>
  <c r="I740" i="3"/>
  <c r="R739" i="3"/>
  <c r="AC735" i="3"/>
  <c r="J746" i="3"/>
  <c r="X736" i="3"/>
  <c r="I738" i="3"/>
  <c r="AI747" i="3"/>
  <c r="F732" i="3"/>
  <c r="G725" i="3"/>
  <c r="AE752" i="3"/>
  <c r="AG750" i="3"/>
  <c r="AA749" i="3"/>
  <c r="H725" i="3"/>
  <c r="J753" i="3"/>
  <c r="K749" i="3"/>
  <c r="P731" i="3"/>
  <c r="AD738" i="3"/>
  <c r="Q730" i="3"/>
  <c r="O731" i="3"/>
  <c r="AI749" i="3"/>
  <c r="AI739" i="3"/>
  <c r="Q752" i="3"/>
  <c r="V727" i="3"/>
  <c r="AA741" i="3"/>
  <c r="Z739" i="3"/>
  <c r="X741" i="3"/>
  <c r="W751" i="3"/>
  <c r="N732" i="3"/>
  <c r="K729" i="3"/>
  <c r="AC752" i="3"/>
  <c r="AF739" i="3"/>
  <c r="F751" i="3"/>
  <c r="I734" i="3"/>
  <c r="Y751" i="3"/>
  <c r="AG739" i="3"/>
  <c r="N739" i="3"/>
  <c r="V741" i="3"/>
  <c r="G731" i="3"/>
  <c r="AE742" i="3"/>
  <c r="AG749" i="3"/>
  <c r="AE753" i="3"/>
  <c r="O751" i="3"/>
  <c r="AH727" i="3"/>
  <c r="V738" i="3"/>
  <c r="F734" i="3"/>
  <c r="AI725" i="3"/>
  <c r="AB743" i="3"/>
  <c r="AA745" i="3"/>
  <c r="H732" i="3"/>
  <c r="AB735" i="3"/>
  <c r="Q736" i="3"/>
  <c r="AA747" i="3"/>
  <c r="Q747" i="3"/>
  <c r="M742" i="3"/>
  <c r="AC741" i="3"/>
  <c r="R725" i="3"/>
  <c r="F736" i="3"/>
  <c r="U738" i="3"/>
  <c r="AH752" i="3"/>
  <c r="M753" i="3"/>
  <c r="J730" i="3"/>
  <c r="AA735" i="3"/>
  <c r="L743" i="3"/>
  <c r="N736" i="3"/>
  <c r="R749" i="3"/>
  <c r="AC733" i="3"/>
  <c r="W724" i="3"/>
  <c r="AA727" i="3"/>
  <c r="Y737" i="3"/>
  <c r="G744" i="3"/>
  <c r="AE749" i="3"/>
  <c r="AB726" i="3"/>
  <c r="S736" i="3"/>
  <c r="R735" i="3"/>
  <c r="Z745" i="3"/>
  <c r="M728" i="3"/>
  <c r="H748" i="3"/>
  <c r="S726" i="3"/>
  <c r="U735" i="3"/>
  <c r="L724" i="3"/>
  <c r="Q753" i="3"/>
  <c r="AD753" i="3"/>
  <c r="P738" i="3"/>
  <c r="N750" i="3"/>
  <c r="Q751" i="3"/>
  <c r="T748" i="3"/>
  <c r="X743" i="3"/>
  <c r="L753" i="3"/>
  <c r="U733" i="3"/>
  <c r="AC746" i="3"/>
  <c r="W729" i="3"/>
  <c r="I724" i="3"/>
  <c r="N734" i="3"/>
  <c r="AD735" i="3"/>
  <c r="AC725" i="3"/>
  <c r="R737" i="3"/>
  <c r="I725" i="3"/>
  <c r="R751" i="3"/>
  <c r="O724" i="3"/>
  <c r="L751" i="3"/>
  <c r="O733" i="3"/>
  <c r="S745" i="3"/>
  <c r="W740" i="3"/>
  <c r="M744" i="3"/>
  <c r="W752" i="3"/>
  <c r="H747" i="3"/>
  <c r="AD747" i="3"/>
  <c r="P737" i="3"/>
  <c r="U740" i="3"/>
  <c r="AI746" i="3"/>
  <c r="T733" i="3"/>
  <c r="AB727" i="3"/>
  <c r="F727" i="3"/>
  <c r="AD731" i="3"/>
  <c r="AB753" i="3"/>
  <c r="U736" i="3"/>
  <c r="Z740" i="3"/>
  <c r="J737" i="3"/>
  <c r="X746" i="3"/>
  <c r="P729" i="3"/>
  <c r="AH729" i="3"/>
  <c r="AI744" i="3"/>
  <c r="AD729" i="3"/>
  <c r="AF741" i="3"/>
  <c r="AB752" i="3"/>
  <c r="S740" i="3"/>
  <c r="V724" i="3"/>
  <c r="J752" i="3"/>
  <c r="M736" i="3"/>
  <c r="F730" i="3"/>
  <c r="V732" i="3"/>
  <c r="V749" i="3"/>
  <c r="Y731" i="3"/>
  <c r="K733" i="3"/>
  <c r="Z737" i="3"/>
  <c r="G733" i="3"/>
  <c r="O750" i="3"/>
  <c r="X724" i="3"/>
  <c r="S724" i="3"/>
  <c r="Q748" i="3"/>
  <c r="F728" i="3"/>
  <c r="R746" i="3"/>
  <c r="V747" i="3"/>
  <c r="Q742" i="3"/>
  <c r="AE748" i="3"/>
  <c r="AC742" i="3"/>
  <c r="AI737" i="3"/>
  <c r="AI741" i="3"/>
  <c r="Z727" i="3"/>
  <c r="K728" i="3"/>
  <c r="I737" i="3"/>
  <c r="H746" i="3"/>
  <c r="G726" i="3"/>
  <c r="AF729" i="3"/>
  <c r="AD724" i="3"/>
  <c r="U726" i="3"/>
  <c r="Z743" i="3"/>
  <c r="N728" i="3"/>
  <c r="AI728" i="3"/>
  <c r="J727" i="3"/>
  <c r="AH740" i="3"/>
  <c r="AI738" i="3"/>
  <c r="AC747" i="3"/>
  <c r="AC730" i="3"/>
  <c r="AH736" i="3"/>
  <c r="W733" i="3"/>
  <c r="AA740" i="3"/>
  <c r="V737" i="3"/>
  <c r="H736" i="3"/>
  <c r="AA748" i="3"/>
  <c r="AG747" i="3"/>
  <c r="Q734" i="3"/>
  <c r="L728" i="3"/>
  <c r="H749" i="3"/>
  <c r="J740" i="3"/>
  <c r="F744" i="3"/>
  <c r="X742" i="3"/>
  <c r="V748" i="3"/>
  <c r="T729" i="3"/>
  <c r="G736" i="3"/>
  <c r="M743" i="3"/>
  <c r="V731" i="3"/>
  <c r="K726" i="3"/>
  <c r="AC736" i="3"/>
  <c r="AG742" i="3"/>
  <c r="AG752" i="3"/>
  <c r="AF744" i="3"/>
  <c r="M733" i="3"/>
  <c r="V725" i="3"/>
  <c r="AE743" i="3"/>
  <c r="AF733" i="3"/>
  <c r="T752" i="3"/>
  <c r="AA750" i="3"/>
  <c r="W746" i="3"/>
  <c r="O732" i="3"/>
  <c r="AI736" i="3"/>
  <c r="G740" i="3"/>
  <c r="AF748" i="3"/>
  <c r="W735" i="3"/>
  <c r="AD752" i="3"/>
  <c r="P735" i="3"/>
  <c r="K736" i="3"/>
  <c r="J734" i="3"/>
  <c r="Y733" i="3"/>
  <c r="H726" i="3"/>
  <c r="X748" i="3"/>
  <c r="S744" i="3"/>
  <c r="P753" i="3"/>
  <c r="AD740" i="3"/>
  <c r="AD741" i="3"/>
  <c r="K724" i="3"/>
  <c r="K752" i="3"/>
  <c r="M739" i="3"/>
  <c r="AC726" i="3"/>
  <c r="F741" i="3"/>
  <c r="Y728" i="3"/>
  <c r="AF731" i="3"/>
  <c r="AE738" i="3"/>
  <c r="AE731" i="3"/>
  <c r="P749" i="3"/>
  <c r="U744" i="3"/>
  <c r="U751" i="3"/>
  <c r="U728" i="3"/>
  <c r="P728" i="3"/>
  <c r="AG728" i="3"/>
  <c r="Q744" i="3"/>
  <c r="Y742" i="3"/>
  <c r="P724" i="3"/>
  <c r="V734" i="3"/>
  <c r="U746" i="3"/>
  <c r="AD734" i="3"/>
  <c r="N753" i="3"/>
  <c r="I729" i="3"/>
  <c r="K745" i="3"/>
  <c r="J738" i="3"/>
  <c r="W725" i="3"/>
  <c r="AA731" i="3"/>
  <c r="N748" i="3"/>
  <c r="AF734" i="3"/>
  <c r="AH728" i="3"/>
  <c r="R743" i="3"/>
  <c r="AE739" i="3"/>
  <c r="Z744" i="3"/>
  <c r="AC738" i="3"/>
  <c r="I749" i="3"/>
  <c r="S751" i="3"/>
  <c r="AF750" i="3"/>
  <c r="L727" i="3"/>
  <c r="Q726" i="3"/>
  <c r="V750" i="3"/>
  <c r="Z749" i="3"/>
  <c r="AF726" i="3"/>
  <c r="P751" i="3"/>
  <c r="G750" i="3"/>
  <c r="T744" i="3"/>
  <c r="T739" i="3"/>
  <c r="I741" i="3"/>
  <c r="N745" i="3"/>
  <c r="Z733" i="3"/>
  <c r="J735" i="3"/>
  <c r="F750" i="3"/>
  <c r="L730" i="3"/>
  <c r="AB734" i="3"/>
  <c r="S737" i="3"/>
  <c r="R750" i="3"/>
  <c r="AB750" i="3"/>
  <c r="G737" i="3"/>
  <c r="AA730" i="3"/>
  <c r="Y725" i="3"/>
  <c r="Z751" i="3"/>
  <c r="AA726" i="3"/>
  <c r="X738" i="3"/>
  <c r="AH742" i="3"/>
  <c r="R727" i="3"/>
  <c r="V752" i="3"/>
  <c r="AH738" i="3"/>
  <c r="H739" i="3"/>
  <c r="AF269" i="3"/>
  <c r="W272" i="3"/>
  <c r="P295" i="3"/>
  <c r="P278" i="3"/>
  <c r="P276" i="3"/>
  <c r="X285" i="3"/>
  <c r="AE280" i="3"/>
  <c r="W297" i="3"/>
  <c r="Z272" i="3"/>
  <c r="G281" i="3"/>
  <c r="M280" i="3"/>
  <c r="T275" i="3"/>
  <c r="G279" i="3"/>
  <c r="AD279" i="3"/>
  <c r="R273" i="3"/>
  <c r="AH295" i="3"/>
  <c r="X281" i="3"/>
  <c r="H285" i="3"/>
  <c r="R288" i="3"/>
  <c r="Z271" i="3"/>
  <c r="G282" i="3"/>
  <c r="F278" i="3"/>
  <c r="U290" i="3"/>
  <c r="K293" i="3"/>
  <c r="H284" i="3"/>
  <c r="H277" i="3"/>
  <c r="U294" i="3"/>
  <c r="AH288" i="3"/>
  <c r="S287" i="3"/>
  <c r="Q274" i="3"/>
  <c r="I274" i="3"/>
  <c r="W286" i="3"/>
  <c r="G278" i="3"/>
  <c r="K284" i="3"/>
  <c r="T286" i="3"/>
  <c r="T294" i="3"/>
  <c r="O271" i="3"/>
  <c r="Z286" i="3"/>
  <c r="AI290" i="3"/>
  <c r="L277" i="3"/>
  <c r="L288" i="3"/>
  <c r="L296" i="3"/>
  <c r="L294" i="3"/>
  <c r="K292" i="3"/>
  <c r="AH289" i="3"/>
  <c r="X286" i="3"/>
  <c r="G276" i="3"/>
  <c r="AC282" i="3"/>
  <c r="G275" i="3"/>
  <c r="AA275" i="3"/>
  <c r="X272" i="3"/>
  <c r="AA290" i="3"/>
  <c r="AC276" i="3"/>
  <c r="AH270" i="3"/>
  <c r="X295" i="3"/>
  <c r="AB294" i="3"/>
  <c r="AC273" i="3"/>
  <c r="W294" i="3"/>
  <c r="R278" i="3"/>
  <c r="N293" i="3"/>
  <c r="AF268" i="3"/>
  <c r="P277" i="3"/>
  <c r="J278" i="3"/>
  <c r="H281" i="3"/>
  <c r="V281" i="3"/>
  <c r="H294" i="3"/>
  <c r="F271" i="3"/>
  <c r="W271" i="3"/>
  <c r="AF279" i="3"/>
  <c r="U277" i="3"/>
  <c r="AE274" i="3"/>
  <c r="AH278" i="3"/>
  <c r="T291" i="3"/>
  <c r="AE277" i="3"/>
  <c r="AA286" i="3"/>
  <c r="M272" i="3"/>
  <c r="AG268" i="3"/>
  <c r="V284" i="3"/>
  <c r="S293" i="3"/>
  <c r="R290" i="3"/>
  <c r="S297" i="3"/>
  <c r="AA272" i="3"/>
  <c r="P280" i="3"/>
  <c r="O273" i="3"/>
  <c r="AC286" i="3"/>
  <c r="J288" i="3"/>
  <c r="O272" i="3"/>
  <c r="P290" i="3"/>
  <c r="P294" i="3"/>
  <c r="N291" i="3"/>
  <c r="L281" i="3"/>
  <c r="F288" i="3"/>
  <c r="AH277" i="3"/>
  <c r="AA271" i="3"/>
  <c r="L284" i="3"/>
  <c r="W277" i="3"/>
  <c r="Z285" i="3"/>
  <c r="O278" i="3"/>
  <c r="W284" i="3"/>
  <c r="R292" i="3"/>
  <c r="K296" i="3"/>
  <c r="Q282" i="3"/>
  <c r="AA288" i="3"/>
  <c r="AB279" i="3"/>
  <c r="W281" i="3"/>
  <c r="AA289" i="3"/>
  <c r="U274" i="3"/>
  <c r="AF280" i="3"/>
  <c r="AD277" i="3"/>
  <c r="AE276" i="3"/>
  <c r="I280" i="3"/>
  <c r="S281" i="3"/>
  <c r="AC297" i="3"/>
  <c r="R276" i="3"/>
  <c r="Q271" i="3"/>
  <c r="V275" i="3"/>
  <c r="X296" i="3"/>
  <c r="O274" i="3"/>
  <c r="H288" i="3"/>
  <c r="P282" i="3"/>
  <c r="AF276" i="3"/>
  <c r="AF290" i="3"/>
  <c r="AC292" i="3"/>
  <c r="I273" i="3"/>
  <c r="I289" i="3"/>
  <c r="AI277" i="3"/>
  <c r="W291" i="3"/>
  <c r="O286" i="3"/>
  <c r="K289" i="3"/>
  <c r="I284" i="3"/>
  <c r="X279" i="3"/>
  <c r="AF295" i="3"/>
  <c r="S271" i="3"/>
  <c r="H291" i="3"/>
  <c r="Q294" i="3"/>
  <c r="S273" i="3"/>
  <c r="L295" i="3"/>
  <c r="AE292" i="3"/>
  <c r="AC271" i="3"/>
  <c r="AI272" i="3"/>
  <c r="R295" i="3"/>
  <c r="AE288" i="3"/>
  <c r="Y280" i="3"/>
  <c r="Q269" i="3"/>
  <c r="J272" i="3"/>
  <c r="S279" i="3"/>
  <c r="N273" i="3"/>
  <c r="G270" i="3"/>
  <c r="AI288" i="3"/>
  <c r="T296" i="3"/>
  <c r="AF297" i="3"/>
  <c r="Z274" i="3"/>
  <c r="AH287" i="3"/>
  <c r="I291" i="3"/>
  <c r="R297" i="3"/>
  <c r="AD293" i="3"/>
  <c r="L270" i="3"/>
  <c r="R275" i="3"/>
  <c r="V286" i="3"/>
  <c r="X290" i="3"/>
  <c r="H289" i="3"/>
  <c r="N281" i="3"/>
  <c r="S270" i="3"/>
  <c r="AG284" i="3"/>
  <c r="AI286" i="3"/>
  <c r="V276" i="3"/>
  <c r="J287" i="3"/>
  <c r="S278" i="3"/>
  <c r="U296" i="3"/>
  <c r="R296" i="3"/>
  <c r="G274" i="3"/>
  <c r="U272" i="3"/>
  <c r="Y283" i="3"/>
  <c r="AH294" i="3"/>
  <c r="O281" i="3"/>
  <c r="L289" i="3"/>
  <c r="AI293" i="3"/>
  <c r="AI269" i="3"/>
  <c r="M279" i="3"/>
  <c r="I288" i="3"/>
  <c r="S292" i="3"/>
  <c r="J296" i="3"/>
  <c r="V277" i="3"/>
  <c r="S276" i="3"/>
  <c r="AA276" i="3"/>
  <c r="F293" i="3"/>
  <c r="T293" i="3"/>
  <c r="AB287" i="3"/>
  <c r="L272" i="3"/>
  <c r="I295" i="3"/>
  <c r="N274" i="3"/>
  <c r="AD268" i="3"/>
  <c r="Y297" i="3"/>
  <c r="AD295" i="3"/>
  <c r="AB274" i="3"/>
  <c r="N290" i="3"/>
  <c r="Y292" i="3"/>
  <c r="N280" i="3"/>
  <c r="T289" i="3"/>
  <c r="M292" i="3"/>
  <c r="X271" i="3"/>
  <c r="L279" i="3"/>
  <c r="AB293" i="3"/>
  <c r="AD291" i="3"/>
  <c r="S272" i="3"/>
  <c r="AC283" i="3"/>
  <c r="J283" i="3"/>
  <c r="Q291" i="3"/>
  <c r="Z297" i="3"/>
  <c r="Z275" i="3"/>
  <c r="AF289" i="3"/>
  <c r="AF288" i="3"/>
  <c r="AG297" i="3"/>
  <c r="Y269" i="3"/>
  <c r="AG276" i="3"/>
  <c r="M296" i="3"/>
  <c r="H296" i="3"/>
  <c r="T287" i="3"/>
  <c r="AF291" i="3"/>
  <c r="AI278" i="3"/>
  <c r="Z291" i="3"/>
  <c r="AG282" i="3"/>
  <c r="K287" i="3"/>
  <c r="AC281" i="3"/>
  <c r="R284" i="3"/>
  <c r="AG291" i="3"/>
  <c r="V297" i="3"/>
  <c r="K297" i="3"/>
  <c r="AE286" i="3"/>
  <c r="Z289" i="3"/>
  <c r="T297" i="3"/>
  <c r="F268" i="3"/>
  <c r="T268" i="3"/>
  <c r="AF282" i="3"/>
  <c r="J276" i="3"/>
  <c r="X293" i="3"/>
  <c r="Y293" i="3"/>
  <c r="T270" i="3"/>
  <c r="M269" i="3"/>
  <c r="AC272" i="3"/>
  <c r="L274" i="3"/>
  <c r="AC275" i="3"/>
  <c r="T290" i="3"/>
  <c r="S284" i="3"/>
  <c r="K268" i="3"/>
  <c r="W295" i="3"/>
  <c r="Y284" i="3"/>
  <c r="O296" i="3"/>
  <c r="J284" i="3"/>
  <c r="AB271" i="3"/>
  <c r="W278" i="3"/>
  <c r="AG275" i="3"/>
  <c r="AI271" i="3"/>
  <c r="AG274" i="3"/>
  <c r="V283" i="3"/>
  <c r="I290" i="3"/>
  <c r="Q279" i="3"/>
  <c r="R291" i="3"/>
  <c r="M278" i="3"/>
  <c r="AC285" i="3"/>
  <c r="H268" i="3"/>
  <c r="O285" i="3"/>
  <c r="AI296" i="3"/>
  <c r="AI292" i="3"/>
  <c r="M270" i="3"/>
  <c r="X282" i="3"/>
  <c r="Z288" i="3"/>
  <c r="J275" i="3"/>
  <c r="Y287" i="3"/>
  <c r="J271" i="3"/>
  <c r="AD271" i="3"/>
  <c r="Y274" i="3"/>
  <c r="Q289" i="3"/>
  <c r="P269" i="3"/>
  <c r="T277" i="3"/>
  <c r="Y291" i="3"/>
  <c r="R277" i="3"/>
  <c r="AB276" i="3"/>
  <c r="W287" i="3"/>
  <c r="O287" i="3"/>
  <c r="K274" i="3"/>
  <c r="S274" i="3"/>
  <c r="AE275" i="3"/>
  <c r="U292" i="3"/>
  <c r="J273" i="3"/>
  <c r="AC269" i="3"/>
  <c r="AA274" i="3"/>
  <c r="AI275" i="3"/>
  <c r="Y273" i="3"/>
  <c r="AH291" i="3"/>
  <c r="U269" i="3"/>
  <c r="T276" i="3"/>
  <c r="Z280" i="3"/>
  <c r="H282" i="3"/>
  <c r="J285" i="3"/>
  <c r="Y277" i="3"/>
  <c r="F289" i="3"/>
  <c r="V285" i="3"/>
  <c r="F276" i="3"/>
  <c r="M273" i="3"/>
  <c r="R271" i="3"/>
  <c r="U284" i="3"/>
  <c r="G286" i="3"/>
  <c r="J295" i="3"/>
  <c r="O284" i="3"/>
  <c r="H293" i="3"/>
  <c r="U289" i="3"/>
  <c r="AC277" i="3"/>
  <c r="O283" i="3"/>
  <c r="W269" i="3"/>
  <c r="T274" i="3"/>
  <c r="Y296" i="3"/>
  <c r="J291" i="3"/>
  <c r="AG295" i="3"/>
  <c r="T279" i="3"/>
  <c r="AB268" i="3"/>
  <c r="W290" i="3"/>
  <c r="AC290" i="3"/>
  <c r="V287" i="3"/>
  <c r="AD297" i="3"/>
  <c r="J280" i="3"/>
  <c r="G290" i="3"/>
  <c r="Z296" i="3"/>
  <c r="U295" i="3"/>
  <c r="AF275" i="3"/>
  <c r="P268" i="3"/>
  <c r="Q284" i="3"/>
  <c r="P296" i="3"/>
  <c r="F273" i="3"/>
  <c r="AG283" i="3"/>
  <c r="L276" i="3"/>
  <c r="AG273" i="3"/>
  <c r="P286" i="3"/>
  <c r="H290" i="3"/>
  <c r="O279" i="3"/>
  <c r="F297" i="3"/>
  <c r="K280" i="3"/>
  <c r="G287" i="3"/>
  <c r="M271" i="3"/>
  <c r="W273" i="3"/>
  <c r="K275" i="3"/>
  <c r="AB297" i="3"/>
  <c r="V269" i="3"/>
  <c r="P292" i="3"/>
  <c r="F294" i="3"/>
  <c r="N270" i="3"/>
  <c r="Q286" i="3"/>
  <c r="U275" i="3"/>
  <c r="R294" i="3"/>
  <c r="O270" i="3"/>
  <c r="F290" i="3"/>
  <c r="AF294" i="3"/>
  <c r="AE289" i="3"/>
  <c r="AA279" i="3"/>
  <c r="AA287" i="3"/>
  <c r="AD287" i="3"/>
  <c r="AI280" i="3"/>
  <c r="N287" i="3"/>
  <c r="P279" i="3"/>
  <c r="Z293" i="3"/>
  <c r="AI274" i="3"/>
  <c r="N275" i="3"/>
  <c r="S280" i="3"/>
  <c r="Q292" i="3"/>
  <c r="H275" i="3"/>
  <c r="G280" i="3"/>
  <c r="V293" i="3"/>
  <c r="M277" i="3"/>
  <c r="J297" i="3"/>
  <c r="AE287" i="3"/>
  <c r="F287" i="3"/>
  <c r="Q295" i="3"/>
  <c r="U281" i="3"/>
  <c r="AH272" i="3"/>
  <c r="U279" i="3"/>
  <c r="AG277" i="3"/>
  <c r="P275" i="3"/>
  <c r="AD294" i="3"/>
  <c r="H287" i="3"/>
  <c r="I285" i="3"/>
  <c r="AA277" i="3"/>
  <c r="AF292" i="3"/>
  <c r="I277" i="3"/>
  <c r="S275" i="3"/>
  <c r="J282" i="3"/>
  <c r="W289" i="3"/>
  <c r="X283" i="3"/>
  <c r="J289" i="3"/>
  <c r="AG290" i="3"/>
  <c r="AG296" i="3"/>
  <c r="W292" i="3"/>
  <c r="N283" i="3"/>
  <c r="AB277" i="3"/>
  <c r="AC279" i="3"/>
  <c r="U285" i="3"/>
  <c r="J292" i="3"/>
  <c r="H269" i="3"/>
  <c r="H283" i="3"/>
  <c r="M291" i="3"/>
  <c r="P272" i="3"/>
  <c r="N285" i="3"/>
  <c r="AD278" i="3"/>
  <c r="H280" i="3"/>
  <c r="G271" i="3"/>
  <c r="V280" i="3"/>
  <c r="AF271" i="3"/>
  <c r="AB284" i="3"/>
  <c r="AE272" i="3"/>
  <c r="F274" i="3"/>
  <c r="F283" i="3"/>
  <c r="AB292" i="3"/>
  <c r="Y271" i="3"/>
  <c r="M295" i="3"/>
  <c r="Y281" i="3"/>
  <c r="I292" i="3"/>
  <c r="AC294" i="3"/>
  <c r="AD280" i="3"/>
  <c r="T283" i="3"/>
  <c r="Y279" i="3"/>
  <c r="AG285" i="3"/>
  <c r="AH273" i="3"/>
  <c r="V271" i="3"/>
  <c r="X278" i="3"/>
  <c r="M289" i="3"/>
  <c r="AD282" i="3"/>
  <c r="G291" i="3"/>
  <c r="AB278" i="3"/>
  <c r="T271" i="3"/>
  <c r="V291" i="3"/>
  <c r="H278" i="3"/>
  <c r="Q278" i="3"/>
  <c r="AB290" i="3"/>
  <c r="AA293" i="3"/>
  <c r="V272" i="3"/>
  <c r="V294" i="3"/>
  <c r="I275" i="3"/>
  <c r="AH281" i="3"/>
  <c r="T285" i="3"/>
  <c r="Q275" i="3"/>
  <c r="AE297" i="3"/>
  <c r="Z269" i="3"/>
  <c r="AA273" i="3"/>
  <c r="J293" i="3"/>
  <c r="T281" i="3"/>
  <c r="X270" i="3"/>
  <c r="AD296" i="3"/>
  <c r="K272" i="3"/>
  <c r="F285" i="3"/>
  <c r="V289" i="3"/>
  <c r="AG278" i="3"/>
  <c r="AD284" i="3"/>
  <c r="Y278" i="3"/>
  <c r="AC293" i="3"/>
  <c r="AI285" i="3"/>
  <c r="N272" i="3"/>
  <c r="I279" i="3"/>
  <c r="H270" i="3"/>
  <c r="H297" i="3"/>
  <c r="AD286" i="3"/>
  <c r="R270" i="3"/>
  <c r="AC295" i="3"/>
  <c r="Y290" i="3"/>
  <c r="L290" i="3"/>
  <c r="N294" i="3"/>
  <c r="Q270" i="3"/>
  <c r="R281" i="3"/>
  <c r="I282" i="3"/>
  <c r="F292" i="3"/>
  <c r="Q277" i="3"/>
  <c r="O282" i="3"/>
  <c r="AB295" i="3"/>
  <c r="AF283" i="3"/>
  <c r="X277" i="3"/>
  <c r="V288" i="3"/>
  <c r="AE294" i="3"/>
  <c r="AA296" i="3"/>
  <c r="AI276" i="3"/>
  <c r="AC274" i="3"/>
  <c r="Z278" i="3"/>
  <c r="AH286" i="3"/>
  <c r="AI289" i="3"/>
  <c r="Z287" i="3"/>
  <c r="AB291" i="3"/>
  <c r="U270" i="3"/>
  <c r="AD281" i="3"/>
  <c r="J286" i="3"/>
  <c r="L285" i="3"/>
  <c r="AE291" i="3"/>
  <c r="L269" i="3"/>
  <c r="AD269" i="3"/>
  <c r="AH274" i="3"/>
  <c r="U291" i="3"/>
  <c r="AI291" i="3"/>
  <c r="H286" i="3"/>
  <c r="Q280" i="3"/>
  <c r="O288" i="3"/>
  <c r="K277" i="3"/>
  <c r="Z282" i="3"/>
  <c r="O297" i="3"/>
  <c r="AF293" i="3"/>
  <c r="Y286" i="3"/>
  <c r="I268" i="3"/>
  <c r="R293" i="3"/>
  <c r="AH279" i="3"/>
  <c r="X292" i="3"/>
  <c r="I293" i="3"/>
  <c r="I281" i="3"/>
  <c r="AF273" i="3"/>
  <c r="AH271" i="3"/>
  <c r="AC287" i="3"/>
  <c r="F281" i="3"/>
  <c r="AE290" i="3"/>
  <c r="L297" i="3"/>
  <c r="T278" i="3"/>
  <c r="AE282" i="3"/>
  <c r="AG292" i="3"/>
  <c r="T292" i="3"/>
  <c r="AA270" i="3"/>
  <c r="X297" i="3"/>
  <c r="AB275" i="3"/>
  <c r="N276" i="3"/>
  <c r="O276" i="3"/>
  <c r="K288" i="3"/>
  <c r="H295" i="3"/>
  <c r="F295" i="3"/>
  <c r="P285" i="3"/>
  <c r="AB289" i="3"/>
  <c r="AE295" i="3"/>
  <c r="H274" i="3"/>
  <c r="M293" i="3"/>
  <c r="AC284" i="3"/>
  <c r="I271" i="3"/>
  <c r="F277" i="3"/>
  <c r="X291" i="3"/>
  <c r="AB270" i="3"/>
  <c r="N297" i="3"/>
  <c r="S289" i="3"/>
  <c r="I278" i="3"/>
  <c r="X269" i="3"/>
  <c r="AE271" i="3"/>
  <c r="M294" i="3"/>
  <c r="J277" i="3"/>
  <c r="J290" i="3"/>
  <c r="AC278" i="3"/>
  <c r="N296" i="3"/>
  <c r="H271" i="3"/>
  <c r="R285" i="3"/>
  <c r="P284" i="3"/>
  <c r="F272" i="3"/>
  <c r="AD292" i="3"/>
  <c r="M276" i="3"/>
  <c r="H292" i="3"/>
  <c r="P274" i="3"/>
  <c r="O293" i="3"/>
  <c r="I294" i="3"/>
  <c r="F279" i="3"/>
  <c r="Z279" i="3"/>
  <c r="R286" i="3"/>
  <c r="AA285" i="3"/>
  <c r="G269" i="3"/>
  <c r="O294" i="3"/>
  <c r="I270" i="3"/>
  <c r="F280" i="3"/>
  <c r="AI287" i="3"/>
  <c r="AH292" i="3"/>
  <c r="V290" i="3"/>
  <c r="R280" i="3"/>
  <c r="Q272" i="3"/>
  <c r="AH268" i="3"/>
  <c r="J279" i="3"/>
  <c r="N284" i="3"/>
  <c r="K286" i="3"/>
  <c r="K290" i="3"/>
  <c r="AI283" i="3"/>
  <c r="AH280" i="3"/>
  <c r="AC291" i="3"/>
  <c r="K283" i="3"/>
  <c r="V268" i="3"/>
  <c r="AC270" i="3"/>
  <c r="W288" i="3"/>
  <c r="W280" i="3"/>
  <c r="O275" i="3"/>
  <c r="N289" i="3"/>
  <c r="Z292" i="3"/>
  <c r="V274" i="3"/>
  <c r="AH296" i="3"/>
  <c r="V273" i="3"/>
  <c r="P289" i="3"/>
  <c r="AB269" i="3"/>
  <c r="I272" i="3"/>
  <c r="AC288" i="3"/>
  <c r="O289" i="3"/>
  <c r="L278" i="3"/>
  <c r="X273" i="3"/>
  <c r="AB281" i="3"/>
  <c r="R274" i="3"/>
  <c r="X288" i="3"/>
  <c r="AG269" i="3"/>
  <c r="AD283" i="3"/>
  <c r="AE279" i="3"/>
  <c r="P281" i="3"/>
  <c r="AD273" i="3"/>
  <c r="U297" i="3"/>
  <c r="P297" i="3"/>
  <c r="AA268" i="3"/>
  <c r="G294" i="3"/>
  <c r="Z273" i="3"/>
  <c r="O277" i="3"/>
  <c r="AD289" i="3"/>
  <c r="L268" i="3"/>
  <c r="W279" i="3"/>
  <c r="P283" i="3"/>
  <c r="L275" i="3"/>
  <c r="P273" i="3"/>
  <c r="X294" i="3"/>
  <c r="L280" i="3"/>
  <c r="Y289" i="3"/>
  <c r="Y282" i="3"/>
  <c r="G288" i="3"/>
  <c r="L291" i="3"/>
  <c r="K273" i="3"/>
  <c r="AB283" i="3"/>
  <c r="S295" i="3"/>
  <c r="S268" i="3"/>
  <c r="AA292" i="3"/>
  <c r="Q268" i="3"/>
  <c r="X268" i="3"/>
  <c r="F269" i="3"/>
  <c r="I296" i="3"/>
  <c r="I297" i="3"/>
  <c r="U273" i="3"/>
  <c r="F286" i="3"/>
  <c r="AB273" i="3"/>
  <c r="G277" i="3"/>
  <c r="AE270" i="3"/>
  <c r="AI279" i="3"/>
  <c r="X284" i="3"/>
  <c r="G285" i="3"/>
  <c r="K269" i="3"/>
  <c r="AE296" i="3"/>
  <c r="AG271" i="3"/>
  <c r="M284" i="3"/>
  <c r="AH275" i="3"/>
  <c r="Y294" i="3"/>
  <c r="P270" i="3"/>
  <c r="G283" i="3"/>
  <c r="Q290" i="3"/>
  <c r="AA283" i="3"/>
  <c r="F296" i="3"/>
  <c r="G284" i="3"/>
  <c r="U278" i="3"/>
  <c r="P288" i="3"/>
  <c r="N282" i="3"/>
  <c r="S286" i="3"/>
  <c r="AC344" i="3"/>
  <c r="F346" i="3"/>
  <c r="AE370" i="3"/>
  <c r="AC373" i="3"/>
  <c r="G355" i="3"/>
  <c r="N361" i="3"/>
  <c r="R355" i="3"/>
  <c r="H363" i="3"/>
  <c r="Z351" i="3"/>
  <c r="S344" i="3"/>
  <c r="Z367" i="3"/>
  <c r="W350" i="3"/>
  <c r="J365" i="3"/>
  <c r="Q360" i="3"/>
  <c r="L358" i="3"/>
  <c r="AH364" i="3"/>
  <c r="J347" i="3"/>
  <c r="AI367" i="3"/>
  <c r="AE373" i="3"/>
  <c r="O372" i="3"/>
  <c r="AI351" i="3"/>
  <c r="G352" i="3"/>
  <c r="S364" i="3"/>
  <c r="AD351" i="3"/>
  <c r="AB351" i="3"/>
  <c r="L355" i="3"/>
  <c r="AD359" i="3"/>
  <c r="AF357" i="3"/>
  <c r="AF365" i="3"/>
  <c r="AD365" i="3"/>
  <c r="AC372" i="3"/>
  <c r="AD346" i="3"/>
  <c r="G372" i="3"/>
  <c r="AA353" i="3"/>
  <c r="F360" i="3"/>
  <c r="U358" i="3"/>
  <c r="H373" i="3"/>
  <c r="R350" i="3"/>
  <c r="U361" i="3"/>
  <c r="AE351" i="3"/>
  <c r="N365" i="3"/>
  <c r="W369" i="3"/>
  <c r="Z350" i="3"/>
  <c r="P368" i="3"/>
  <c r="L372" i="3"/>
  <c r="W370" i="3"/>
  <c r="W347" i="3"/>
  <c r="O370" i="3"/>
  <c r="Q349" i="3"/>
  <c r="N364" i="3"/>
  <c r="Z368" i="3"/>
  <c r="W366" i="3"/>
  <c r="Z356" i="3"/>
  <c r="L370" i="3"/>
  <c r="AC349" i="3"/>
  <c r="K369" i="3"/>
  <c r="J348" i="3"/>
  <c r="AD344" i="3"/>
  <c r="H369" i="3"/>
  <c r="V360" i="3"/>
  <c r="S365" i="3"/>
  <c r="G368" i="3"/>
  <c r="AH370" i="3"/>
  <c r="I364" i="3"/>
  <c r="H357" i="3"/>
  <c r="V363" i="3"/>
  <c r="H366" i="3"/>
  <c r="W360" i="3"/>
  <c r="AB372" i="3"/>
  <c r="J370" i="3"/>
  <c r="R357" i="3"/>
  <c r="I354" i="3"/>
  <c r="AA348" i="3"/>
  <c r="I360" i="3"/>
  <c r="G349" i="3"/>
  <c r="W368" i="3"/>
  <c r="O348" i="3"/>
  <c r="W359" i="3"/>
  <c r="AA355" i="3"/>
  <c r="R369" i="3"/>
  <c r="AD356" i="3"/>
  <c r="X344" i="3"/>
  <c r="Q372" i="3"/>
  <c r="U349" i="3"/>
  <c r="AG366" i="3"/>
  <c r="AO18" i="2"/>
  <c r="AM45" i="2"/>
  <c r="X346" i="3"/>
  <c r="R362" i="3"/>
  <c r="U345" i="3"/>
  <c r="M354" i="3"/>
  <c r="U360" i="3"/>
  <c r="N344" i="3"/>
  <c r="J355" i="3"/>
  <c r="U373" i="3"/>
  <c r="Q358" i="3"/>
  <c r="S353" i="3"/>
  <c r="AE354" i="3"/>
  <c r="Z346" i="3"/>
  <c r="P353" i="3"/>
  <c r="O347" i="3"/>
  <c r="Z358" i="3"/>
  <c r="T347" i="3"/>
  <c r="Z348" i="3"/>
  <c r="S351" i="3"/>
  <c r="U344" i="3"/>
  <c r="J356" i="3"/>
  <c r="O363" i="3"/>
  <c r="F357" i="3"/>
  <c r="AG355" i="3"/>
  <c r="AD371" i="3"/>
  <c r="J353" i="3"/>
  <c r="G358" i="3"/>
  <c r="L353" i="3"/>
  <c r="M353" i="3"/>
  <c r="T356" i="3"/>
  <c r="P359" i="3"/>
  <c r="O356" i="3"/>
  <c r="K361" i="3"/>
  <c r="S372" i="3"/>
  <c r="T355" i="3"/>
  <c r="AC356" i="3"/>
  <c r="X362" i="3"/>
  <c r="Z361" i="3"/>
  <c r="Q368" i="3"/>
  <c r="I363" i="3"/>
  <c r="R352" i="3"/>
  <c r="Q354" i="3"/>
  <c r="AE360" i="3"/>
  <c r="M349" i="3"/>
  <c r="Y351" i="3"/>
  <c r="Q348" i="3"/>
  <c r="G371" i="3"/>
  <c r="T363" i="3"/>
  <c r="Y353" i="3"/>
  <c r="S357" i="3"/>
  <c r="O368" i="3"/>
  <c r="M368" i="3"/>
  <c r="AI349" i="3"/>
  <c r="AE348" i="3"/>
  <c r="P371" i="3"/>
  <c r="N358" i="3"/>
  <c r="H348" i="3"/>
  <c r="U354" i="3"/>
  <c r="AG353" i="3"/>
  <c r="O353" i="3"/>
  <c r="Y364" i="3"/>
  <c r="Y361" i="3"/>
  <c r="W345" i="3"/>
  <c r="AH353" i="3"/>
  <c r="AD362" i="3"/>
  <c r="AC364" i="3"/>
  <c r="AB353" i="3"/>
  <c r="AH354" i="3"/>
  <c r="P351" i="3"/>
  <c r="G366" i="3"/>
  <c r="AG358" i="3"/>
  <c r="H349" i="3"/>
  <c r="L359" i="3"/>
  <c r="N356" i="3"/>
  <c r="V358" i="3"/>
  <c r="K355" i="3"/>
  <c r="M373" i="3"/>
  <c r="V357" i="3"/>
  <c r="P360" i="3"/>
  <c r="F372" i="3"/>
  <c r="Y344" i="3"/>
  <c r="AC371" i="3"/>
  <c r="T352" i="3"/>
  <c r="F352" i="3"/>
  <c r="AI370" i="3"/>
  <c r="AD37" i="2"/>
  <c r="Z41" i="2"/>
  <c r="X30" i="2"/>
  <c r="AA160" i="3"/>
  <c r="T177" i="3"/>
  <c r="AB159" i="3"/>
  <c r="L157" i="3"/>
  <c r="AE167" i="3"/>
  <c r="AD173" i="3"/>
  <c r="T178" i="3"/>
  <c r="F174" i="3"/>
  <c r="W177" i="3"/>
  <c r="AF176" i="3"/>
  <c r="G179" i="3"/>
  <c r="K159" i="3"/>
  <c r="AF181" i="3"/>
  <c r="AH178" i="3"/>
  <c r="Q164" i="3"/>
  <c r="S178" i="3"/>
  <c r="L178" i="3"/>
  <c r="O179" i="3"/>
  <c r="W168" i="3"/>
  <c r="T173" i="3"/>
  <c r="AF183" i="3"/>
  <c r="W155" i="3"/>
  <c r="Z174" i="3"/>
  <c r="S180" i="3"/>
  <c r="N182" i="3"/>
  <c r="V175" i="3"/>
  <c r="AD171" i="3"/>
  <c r="R154" i="3"/>
  <c r="AH183" i="3"/>
  <c r="H161" i="3"/>
  <c r="O162" i="3"/>
  <c r="AG162" i="3"/>
  <c r="K155" i="3"/>
  <c r="S156" i="3"/>
  <c r="X168" i="3"/>
  <c r="AF170" i="3"/>
  <c r="AG167" i="3"/>
  <c r="H167" i="3"/>
  <c r="J168" i="3"/>
  <c r="O160" i="3"/>
  <c r="T170" i="3"/>
  <c r="O155" i="3"/>
  <c r="S169" i="3"/>
  <c r="AE166" i="3"/>
  <c r="Q174" i="3"/>
  <c r="AI181" i="3"/>
  <c r="M165" i="3"/>
  <c r="X175" i="3"/>
  <c r="W154" i="3"/>
  <c r="U164" i="3"/>
  <c r="L163" i="3"/>
  <c r="AB180" i="3"/>
  <c r="AA179" i="3"/>
  <c r="N154" i="3"/>
  <c r="V161" i="3"/>
  <c r="R176" i="3"/>
  <c r="J172" i="3"/>
  <c r="M181" i="3"/>
  <c r="AC164" i="3"/>
  <c r="F155" i="3"/>
  <c r="AD172" i="3"/>
  <c r="L177" i="3"/>
  <c r="AE159" i="3"/>
  <c r="N157" i="3"/>
  <c r="T162" i="3"/>
  <c r="P183" i="3"/>
  <c r="I174" i="3"/>
  <c r="AH158" i="3"/>
  <c r="W173" i="3"/>
  <c r="V173" i="3"/>
  <c r="AH174" i="3"/>
  <c r="Q161" i="3"/>
  <c r="J183" i="3"/>
  <c r="L182" i="3"/>
  <c r="J170" i="3"/>
  <c r="W164" i="3"/>
  <c r="Y180" i="3"/>
  <c r="Z167" i="3"/>
  <c r="AI173" i="3"/>
  <c r="U173" i="3"/>
  <c r="AE176" i="3"/>
  <c r="AF163" i="3"/>
  <c r="L166" i="3"/>
  <c r="L176" i="3"/>
  <c r="H175" i="3"/>
  <c r="N169" i="3"/>
  <c r="M172" i="3"/>
  <c r="L180" i="3"/>
  <c r="AE173" i="3"/>
  <c r="X167" i="3"/>
  <c r="AC180" i="3"/>
  <c r="F159" i="3"/>
  <c r="AA182" i="3"/>
  <c r="N178" i="3"/>
  <c r="AI176" i="3"/>
  <c r="G166" i="3"/>
  <c r="F170" i="3"/>
  <c r="T155" i="3"/>
  <c r="AF175" i="3"/>
  <c r="R182" i="3"/>
  <c r="P171" i="3"/>
  <c r="Z163" i="3"/>
  <c r="S158" i="3"/>
  <c r="AH171" i="3"/>
  <c r="R158" i="3"/>
  <c r="AC159" i="3"/>
  <c r="O166" i="3"/>
  <c r="AG183" i="3"/>
  <c r="L183" i="3"/>
  <c r="X172" i="3"/>
  <c r="AE154" i="3"/>
  <c r="M161" i="3"/>
  <c r="AA162" i="3"/>
  <c r="AF161" i="3"/>
  <c r="AA163" i="3"/>
  <c r="Y172" i="3"/>
  <c r="J157" i="3"/>
  <c r="AE165" i="3"/>
  <c r="X182" i="3"/>
  <c r="O159" i="3"/>
  <c r="U155" i="3"/>
  <c r="U178" i="3"/>
  <c r="AA173" i="3"/>
  <c r="Z182" i="3"/>
  <c r="S171" i="3"/>
  <c r="G165" i="3"/>
  <c r="AI179" i="3"/>
  <c r="T172" i="3"/>
  <c r="AH163" i="3"/>
  <c r="J179" i="3"/>
  <c r="AC155" i="3"/>
  <c r="M160" i="3"/>
  <c r="X183" i="3"/>
  <c r="T176" i="3"/>
  <c r="H159" i="3"/>
  <c r="V164" i="3"/>
  <c r="AE155" i="3"/>
  <c r="AG173" i="3"/>
  <c r="R163" i="3"/>
  <c r="V166" i="3"/>
  <c r="U181" i="3"/>
  <c r="Y176" i="3"/>
  <c r="AI166" i="3"/>
  <c r="W172" i="3"/>
  <c r="L167" i="3"/>
  <c r="Q181" i="3"/>
  <c r="H182" i="3"/>
  <c r="AC182" i="3"/>
  <c r="L174" i="3"/>
  <c r="M175" i="3"/>
  <c r="O174" i="3"/>
  <c r="AH172" i="3"/>
  <c r="R175" i="3"/>
  <c r="O172" i="3"/>
  <c r="AC181" i="3"/>
  <c r="AC168" i="3"/>
  <c r="I163" i="3"/>
  <c r="G160" i="3"/>
  <c r="Q163" i="3"/>
  <c r="I182" i="3"/>
  <c r="H177" i="3"/>
  <c r="AE177" i="3"/>
  <c r="T174" i="3"/>
  <c r="AF179" i="3"/>
  <c r="F181" i="3"/>
  <c r="J171" i="3"/>
  <c r="AG155" i="3"/>
  <c r="W162" i="3"/>
  <c r="AF154" i="3"/>
  <c r="L165" i="3"/>
  <c r="F176" i="3"/>
  <c r="S174" i="3"/>
  <c r="AB161" i="3"/>
  <c r="S183" i="3"/>
  <c r="L161" i="3"/>
  <c r="AH161" i="3"/>
  <c r="F160" i="3"/>
  <c r="W183" i="3"/>
  <c r="AI182" i="3"/>
  <c r="P165" i="3"/>
  <c r="F164" i="3"/>
  <c r="P157" i="3"/>
  <c r="I173" i="3"/>
  <c r="Y169" i="3"/>
  <c r="H176" i="3"/>
  <c r="V181" i="3"/>
  <c r="Y166" i="3"/>
  <c r="AD164" i="3"/>
  <c r="N176" i="3"/>
  <c r="X174" i="3"/>
  <c r="J165" i="3"/>
  <c r="AE172" i="3"/>
  <c r="T156" i="3"/>
  <c r="Y155" i="3"/>
  <c r="X156" i="3"/>
  <c r="AC156" i="3"/>
  <c r="R166" i="3"/>
  <c r="K156" i="3"/>
  <c r="AB182" i="3"/>
  <c r="U165" i="3"/>
  <c r="H169" i="3"/>
  <c r="AG171" i="3"/>
  <c r="AH159" i="3"/>
  <c r="S154" i="3"/>
  <c r="F180" i="3"/>
  <c r="K164" i="3"/>
  <c r="L154" i="3"/>
  <c r="AH162" i="3"/>
  <c r="G158" i="3"/>
  <c r="W181" i="3"/>
  <c r="AC157" i="3"/>
  <c r="AB176" i="3"/>
  <c r="P159" i="3"/>
  <c r="AF177" i="3"/>
  <c r="K166" i="3"/>
  <c r="N162" i="3"/>
  <c r="F171" i="3"/>
  <c r="O156" i="3"/>
  <c r="H164" i="3"/>
  <c r="AA159" i="3"/>
  <c r="U171" i="3"/>
  <c r="Z160" i="3"/>
  <c r="Y161" i="3"/>
  <c r="F167" i="3"/>
  <c r="I180" i="3"/>
  <c r="R173" i="3"/>
  <c r="K170" i="3"/>
  <c r="AB165" i="3"/>
  <c r="AG159" i="3"/>
  <c r="AB171" i="3"/>
  <c r="Z161" i="3"/>
  <c r="AF167" i="3"/>
  <c r="O158" i="3"/>
  <c r="AE163" i="3"/>
  <c r="P179" i="3"/>
  <c r="P181" i="3"/>
  <c r="Y167" i="3"/>
  <c r="G172" i="3"/>
  <c r="V159" i="3"/>
  <c r="Z168" i="3"/>
  <c r="Q180" i="3"/>
  <c r="J177" i="3"/>
  <c r="X154" i="3"/>
  <c r="P182" i="3"/>
  <c r="Z171" i="3"/>
  <c r="U156" i="3"/>
  <c r="N167" i="3"/>
  <c r="M163" i="3"/>
  <c r="S161" i="3"/>
  <c r="Y164" i="3"/>
  <c r="AC172" i="3"/>
  <c r="K160" i="3"/>
  <c r="K182" i="3"/>
  <c r="AA181" i="3"/>
  <c r="AE157" i="3"/>
  <c r="N170" i="3"/>
  <c r="N168" i="3"/>
  <c r="S181" i="3"/>
  <c r="V179" i="3"/>
  <c r="J159" i="3"/>
  <c r="AD161" i="3"/>
  <c r="P177" i="3"/>
  <c r="N158" i="3"/>
  <c r="J175" i="3"/>
  <c r="U167" i="3"/>
  <c r="AI177" i="3"/>
  <c r="AE181" i="3"/>
  <c r="Q165" i="3"/>
  <c r="Q168" i="3"/>
  <c r="AH169" i="3"/>
  <c r="X169" i="3"/>
  <c r="W160" i="3"/>
  <c r="S160" i="3"/>
  <c r="V162" i="3"/>
  <c r="M159" i="3"/>
  <c r="J166" i="3"/>
  <c r="S179" i="3"/>
  <c r="AC175" i="3"/>
  <c r="I171" i="3"/>
  <c r="Y174" i="3"/>
  <c r="AH154" i="3"/>
  <c r="G174" i="3"/>
  <c r="T164" i="3"/>
  <c r="AF171" i="3"/>
  <c r="O170" i="3"/>
  <c r="AH177" i="3"/>
  <c r="AC165" i="3"/>
  <c r="AI155" i="3"/>
  <c r="O180" i="3"/>
  <c r="V163" i="3"/>
  <c r="G171" i="3"/>
  <c r="L164" i="3"/>
  <c r="F178" i="3"/>
  <c r="AE169" i="3"/>
  <c r="AC174" i="3"/>
  <c r="J173" i="3"/>
  <c r="O182" i="3"/>
  <c r="AG160" i="3"/>
  <c r="Z177" i="3"/>
  <c r="AA169" i="3"/>
  <c r="T181" i="3"/>
  <c r="AI165" i="3"/>
  <c r="Z173" i="3"/>
  <c r="X155" i="3"/>
  <c r="G156" i="3"/>
  <c r="L159" i="3"/>
  <c r="R157" i="3"/>
  <c r="L173" i="3"/>
  <c r="X176" i="3"/>
  <c r="AE178" i="3"/>
  <c r="AD156" i="3"/>
  <c r="J169" i="3"/>
  <c r="AI183" i="3"/>
  <c r="AB160" i="3"/>
  <c r="N159" i="3"/>
  <c r="R167" i="3"/>
  <c r="W161" i="3"/>
  <c r="AD183" i="3"/>
  <c r="AB162" i="3"/>
  <c r="N171" i="3"/>
  <c r="AD182" i="3"/>
  <c r="Z166" i="3"/>
  <c r="AG172" i="3"/>
  <c r="O163" i="3"/>
  <c r="AG182" i="3"/>
  <c r="Z183" i="3"/>
  <c r="M170" i="3"/>
  <c r="S162" i="3"/>
  <c r="AG170" i="3"/>
  <c r="U154" i="3"/>
  <c r="AA183" i="3"/>
  <c r="P170" i="3"/>
  <c r="AH175" i="3"/>
  <c r="M169" i="3"/>
  <c r="AA154" i="3"/>
  <c r="F169" i="3"/>
  <c r="S170" i="3"/>
  <c r="I155" i="3"/>
  <c r="AB175" i="3"/>
  <c r="U172" i="3"/>
  <c r="AE174" i="3"/>
  <c r="I154" i="3"/>
  <c r="Z180" i="3"/>
  <c r="AI180" i="3"/>
  <c r="AF166" i="3"/>
  <c r="K158" i="3"/>
  <c r="S168" i="3"/>
  <c r="F183" i="3"/>
  <c r="R170" i="3"/>
  <c r="Y183" i="3"/>
  <c r="P154" i="3"/>
  <c r="X162" i="3"/>
  <c r="H170" i="3"/>
  <c r="AE168" i="3"/>
  <c r="M180" i="3"/>
  <c r="AH180" i="3"/>
  <c r="Q177" i="3"/>
  <c r="X166" i="3"/>
  <c r="I160" i="3"/>
  <c r="AB170" i="3"/>
  <c r="AB179" i="3"/>
  <c r="S172" i="3"/>
  <c r="W159" i="3"/>
  <c r="AC169" i="3"/>
  <c r="Y162" i="3"/>
  <c r="AD158" i="3"/>
  <c r="Z155" i="3"/>
  <c r="AF159" i="3"/>
  <c r="R168" i="3"/>
  <c r="J156" i="3"/>
  <c r="V174" i="3"/>
  <c r="H162" i="3"/>
  <c r="M182" i="3"/>
  <c r="I175" i="3"/>
  <c r="AD175" i="3"/>
  <c r="M158" i="3"/>
  <c r="J174" i="3"/>
  <c r="V182" i="3"/>
  <c r="AC179" i="3"/>
  <c r="F182" i="3"/>
  <c r="N166" i="3"/>
  <c r="AG158" i="3"/>
  <c r="AA175" i="3"/>
  <c r="AH181" i="3"/>
  <c r="P169" i="3"/>
  <c r="AD181" i="3"/>
  <c r="Q166" i="3"/>
  <c r="S155" i="3"/>
  <c r="AH170" i="3"/>
  <c r="AD167" i="3"/>
  <c r="AI164" i="3"/>
  <c r="I162" i="3"/>
  <c r="U157" i="3"/>
  <c r="AD163" i="3"/>
  <c r="S182" i="3"/>
  <c r="AD165" i="3"/>
  <c r="K154" i="3"/>
  <c r="P158" i="3"/>
  <c r="AG177" i="3"/>
  <c r="S173" i="3"/>
  <c r="M157" i="3"/>
  <c r="P162" i="3"/>
  <c r="F166" i="3"/>
  <c r="AA155" i="3"/>
  <c r="K168" i="3"/>
  <c r="AF156" i="3"/>
  <c r="AI167" i="3"/>
  <c r="AA161" i="3"/>
  <c r="N160" i="3"/>
  <c r="J161" i="3"/>
  <c r="I165" i="3"/>
  <c r="N174" i="3"/>
  <c r="O183" i="3"/>
  <c r="M183" i="3"/>
  <c r="I167" i="3"/>
  <c r="X179" i="3"/>
  <c r="G154" i="3"/>
  <c r="N173" i="3"/>
  <c r="O171" i="3"/>
  <c r="K171" i="3"/>
  <c r="AF165" i="3"/>
  <c r="AA156" i="3"/>
  <c r="AF168" i="3"/>
  <c r="AG165" i="3"/>
  <c r="G161" i="3"/>
  <c r="I166" i="3"/>
  <c r="AG175" i="3"/>
  <c r="J162" i="3"/>
  <c r="T159" i="3"/>
  <c r="AF172" i="3"/>
  <c r="W166" i="3"/>
  <c r="Y156" i="3"/>
  <c r="O165" i="3"/>
  <c r="O175" i="3"/>
  <c r="K183" i="3"/>
  <c r="AE156" i="3"/>
  <c r="R165" i="3"/>
  <c r="AB158" i="3"/>
  <c r="W180" i="3"/>
  <c r="Z170" i="3"/>
  <c r="F165" i="3"/>
  <c r="AH164" i="3"/>
  <c r="L156" i="3"/>
  <c r="S159" i="3"/>
  <c r="AI157" i="3"/>
  <c r="AE164" i="3"/>
  <c r="K180" i="3"/>
  <c r="AH179" i="3"/>
  <c r="I156" i="3"/>
  <c r="AG164" i="3"/>
  <c r="N179" i="3"/>
  <c r="J167" i="3"/>
  <c r="Z169" i="3"/>
  <c r="R172" i="3"/>
  <c r="N164" i="3"/>
  <c r="Q170" i="3"/>
  <c r="F163" i="3"/>
  <c r="V180" i="3"/>
  <c r="M154" i="3"/>
  <c r="U182" i="3"/>
  <c r="Z172" i="3"/>
  <c r="AB154" i="3"/>
  <c r="U160" i="3"/>
  <c r="P172" i="3"/>
  <c r="G157" i="3"/>
  <c r="G183" i="3"/>
  <c r="X157" i="3"/>
  <c r="F168" i="3"/>
  <c r="H157" i="3"/>
  <c r="O169" i="3"/>
  <c r="S175" i="3"/>
  <c r="AA177" i="3"/>
  <c r="Y175" i="3"/>
  <c r="T154" i="3"/>
  <c r="V169" i="3"/>
  <c r="G173" i="3"/>
  <c r="S166" i="3"/>
  <c r="L172" i="3"/>
  <c r="AH168" i="3"/>
  <c r="G177" i="3"/>
  <c r="K177" i="3"/>
  <c r="AD179" i="3"/>
  <c r="AD155" i="3"/>
  <c r="Z179" i="3"/>
  <c r="S167" i="3"/>
  <c r="I177" i="3"/>
  <c r="U176" i="3"/>
  <c r="M168" i="3"/>
  <c r="X180" i="3"/>
  <c r="M166" i="3"/>
  <c r="O157" i="3"/>
  <c r="H178" i="3"/>
  <c r="Q176" i="3"/>
  <c r="AE171" i="3"/>
  <c r="K179" i="3"/>
  <c r="AE180" i="3"/>
  <c r="P168" i="3"/>
  <c r="K157" i="3"/>
  <c r="X178" i="3"/>
  <c r="W174" i="3"/>
  <c r="V155" i="3"/>
  <c r="J180" i="3"/>
  <c r="AG178" i="3"/>
  <c r="J176" i="3"/>
  <c r="AA172" i="3"/>
  <c r="AE179" i="3"/>
  <c r="AI174" i="3"/>
  <c r="O161" i="3"/>
  <c r="N165" i="3"/>
  <c r="AD160" i="3"/>
  <c r="Y179" i="3"/>
  <c r="R160" i="3"/>
  <c r="Q167" i="3"/>
  <c r="W176" i="3"/>
  <c r="Y171" i="3"/>
  <c r="I158" i="3"/>
  <c r="AI171" i="3"/>
  <c r="X160" i="3"/>
  <c r="K172" i="3"/>
  <c r="AG163" i="3"/>
  <c r="N175" i="3"/>
  <c r="G155" i="3"/>
  <c r="J178" i="3"/>
  <c r="AF155" i="3"/>
  <c r="AD162" i="3"/>
  <c r="K174" i="3"/>
  <c r="K175" i="3"/>
  <c r="F177" i="3"/>
  <c r="U180" i="3"/>
  <c r="AD178" i="3"/>
  <c r="K165" i="3"/>
  <c r="AA176" i="3"/>
  <c r="O181" i="3"/>
  <c r="AF182" i="3"/>
  <c r="AG161" i="3"/>
  <c r="F161" i="3"/>
  <c r="H174" i="3"/>
  <c r="T166" i="3"/>
  <c r="AI175" i="3"/>
  <c r="R181" i="3"/>
  <c r="AF158" i="3"/>
  <c r="O25" i="2"/>
  <c r="X45" i="2"/>
  <c r="AB46" i="2"/>
  <c r="X47" i="2"/>
  <c r="AH23" i="2"/>
  <c r="O23" i="2"/>
  <c r="N41" i="2"/>
  <c r="X27" i="2"/>
  <c r="AI24" i="2"/>
  <c r="AM18" i="2"/>
  <c r="AD47" i="2"/>
  <c r="AE42" i="2"/>
  <c r="AL44" i="2"/>
  <c r="AL27" i="2"/>
  <c r="W38" i="2"/>
  <c r="AP41" i="2"/>
  <c r="AG28" i="2"/>
  <c r="AP20" i="2"/>
  <c r="AH20" i="2"/>
  <c r="Y33" i="2"/>
  <c r="W19" i="2"/>
  <c r="AG41" i="2"/>
  <c r="Y20" i="2"/>
  <c r="AM40" i="2"/>
  <c r="X21" i="2"/>
  <c r="AB19" i="2"/>
  <c r="Y35" i="2"/>
  <c r="Q22" i="2"/>
  <c r="AK24" i="2"/>
  <c r="AE25" i="2"/>
  <c r="Z44" i="2"/>
  <c r="AO35" i="2"/>
  <c r="R24" i="2"/>
  <c r="W27" i="2"/>
  <c r="Z19" i="2"/>
  <c r="X28" i="2"/>
  <c r="AB45" i="2"/>
  <c r="P45" i="2"/>
  <c r="AE28" i="2"/>
  <c r="AL28" i="2"/>
  <c r="AD43" i="2"/>
  <c r="AM44" i="2"/>
  <c r="P34" i="2"/>
  <c r="AD33" i="2"/>
  <c r="X159" i="3"/>
  <c r="AD157" i="3"/>
  <c r="M155" i="3"/>
  <c r="T157" i="3"/>
  <c r="W167" i="3"/>
  <c r="V178" i="3"/>
  <c r="P175" i="3"/>
  <c r="Z176" i="3"/>
  <c r="AF173" i="3"/>
  <c r="AC162" i="3"/>
  <c r="Z164" i="3"/>
  <c r="AC161" i="3"/>
  <c r="R174" i="3"/>
  <c r="K163" i="3"/>
  <c r="AA170" i="3"/>
  <c r="N155" i="3"/>
  <c r="W175" i="3"/>
  <c r="U169" i="3"/>
  <c r="V165" i="3"/>
  <c r="F157" i="3"/>
  <c r="U161" i="3"/>
  <c r="L175" i="3"/>
  <c r="AF157" i="3"/>
  <c r="V170" i="3"/>
  <c r="S177" i="3"/>
  <c r="L171" i="3"/>
  <c r="X181" i="3"/>
  <c r="AG168" i="3"/>
  <c r="T165" i="3"/>
  <c r="AH182" i="3"/>
  <c r="Q162" i="3"/>
  <c r="AB183" i="3"/>
  <c r="L155" i="3"/>
  <c r="X164" i="3"/>
  <c r="U162" i="3"/>
  <c r="AL22" i="2"/>
  <c r="X18" i="2"/>
  <c r="AH47" i="2"/>
  <c r="O47" i="2"/>
  <c r="AE30" i="2"/>
  <c r="P39" i="2"/>
  <c r="AE32" i="2"/>
  <c r="AA20" i="2"/>
  <c r="AC45" i="2"/>
  <c r="AF41" i="2"/>
  <c r="AD31" i="2"/>
  <c r="AJ41" i="2"/>
  <c r="AK27" i="2"/>
  <c r="Q23" i="2"/>
  <c r="P22" i="2"/>
  <c r="S37" i="2"/>
  <c r="AH18" i="2"/>
  <c r="AO43" i="2"/>
  <c r="AA43" i="2"/>
  <c r="Q26" i="2"/>
  <c r="O24" i="2"/>
  <c r="AH32" i="2"/>
  <c r="AN20" i="2"/>
  <c r="AC18" i="2"/>
  <c r="AQ32" i="2"/>
  <c r="AD35" i="2"/>
  <c r="U42" i="2"/>
  <c r="W35" i="2"/>
  <c r="AO27" i="2"/>
  <c r="AB37" i="2"/>
  <c r="AI47" i="2"/>
  <c r="AG31" i="2"/>
  <c r="S39" i="2"/>
  <c r="AJ38" i="2"/>
  <c r="AA39" i="2"/>
  <c r="W43" i="2"/>
  <c r="W42" i="2"/>
  <c r="U19" i="2"/>
  <c r="Z36" i="2"/>
  <c r="AC21" i="2"/>
  <c r="AA26" i="2"/>
  <c r="Z28" i="2"/>
  <c r="AO36" i="2"/>
  <c r="Z32" i="2"/>
  <c r="R19" i="2"/>
  <c r="AK19" i="2"/>
  <c r="AC46" i="2"/>
  <c r="V22" i="2"/>
  <c r="AN33" i="2"/>
  <c r="W41" i="2"/>
  <c r="H103" i="3"/>
  <c r="AF83" i="3"/>
  <c r="F88" i="3"/>
  <c r="K94" i="3"/>
  <c r="AD102" i="3"/>
  <c r="M79" i="3"/>
  <c r="AC79" i="3"/>
  <c r="N99" i="3"/>
  <c r="AD87" i="3"/>
  <c r="I82" i="3"/>
  <c r="AI103" i="3"/>
  <c r="F87" i="3"/>
  <c r="O98" i="3"/>
  <c r="X82" i="3"/>
  <c r="AE107" i="3"/>
  <c r="V95" i="3"/>
  <c r="G82" i="3"/>
  <c r="L89" i="3"/>
  <c r="V87" i="3"/>
  <c r="M92" i="3"/>
  <c r="I89" i="3"/>
  <c r="Y103" i="3"/>
  <c r="L97" i="3"/>
  <c r="U85" i="3"/>
  <c r="R93" i="3"/>
  <c r="I107" i="3"/>
  <c r="AG91" i="3"/>
  <c r="G94" i="3"/>
  <c r="AG85" i="3"/>
  <c r="S96" i="3"/>
  <c r="M88" i="3"/>
  <c r="AF95" i="3"/>
  <c r="I83" i="3"/>
  <c r="O94" i="3"/>
  <c r="R81" i="3"/>
  <c r="AG92" i="3"/>
  <c r="P92" i="3"/>
  <c r="AG86" i="3"/>
  <c r="G103" i="3"/>
  <c r="F90" i="3"/>
  <c r="M106" i="3"/>
  <c r="AH105" i="3"/>
  <c r="O100" i="3"/>
  <c r="O91" i="3"/>
  <c r="X93" i="3"/>
  <c r="L197" i="3"/>
  <c r="X197" i="3"/>
  <c r="V195" i="3"/>
  <c r="I194" i="3"/>
  <c r="AF218" i="3"/>
  <c r="L213" i="3"/>
  <c r="L204" i="3"/>
  <c r="K200" i="3"/>
  <c r="T199" i="3"/>
  <c r="M201" i="3"/>
  <c r="AC221" i="3"/>
  <c r="P202" i="3"/>
  <c r="X220" i="3"/>
  <c r="U201" i="3"/>
  <c r="K198" i="3"/>
  <c r="S202" i="3"/>
  <c r="Q221" i="3"/>
  <c r="X202" i="3"/>
  <c r="L203" i="3"/>
  <c r="F210" i="3"/>
  <c r="N203" i="3"/>
  <c r="F208" i="3"/>
  <c r="G214" i="3"/>
  <c r="H201" i="3"/>
  <c r="AH212" i="3"/>
  <c r="AI218" i="3"/>
  <c r="Z219" i="3"/>
  <c r="S200" i="3"/>
  <c r="AB205" i="3"/>
  <c r="G204" i="3"/>
  <c r="AD213" i="3"/>
  <c r="O221" i="3"/>
  <c r="P208" i="3"/>
  <c r="X213" i="3"/>
  <c r="L201" i="3"/>
  <c r="Y200" i="3"/>
  <c r="Q212" i="3"/>
  <c r="U217" i="3"/>
  <c r="I196" i="3"/>
  <c r="M192" i="3"/>
  <c r="X31" i="2"/>
  <c r="AE41" i="2"/>
  <c r="AN37" i="2"/>
  <c r="P28" i="2"/>
  <c r="AD30" i="2"/>
  <c r="U34" i="2"/>
  <c r="AL20" i="2"/>
  <c r="S26" i="2"/>
  <c r="U44" i="2"/>
  <c r="AH34" i="2"/>
  <c r="AG27" i="2"/>
  <c r="O31" i="2"/>
  <c r="AM29" i="2"/>
  <c r="S40" i="2"/>
  <c r="S23" i="2"/>
  <c r="Y22" i="2"/>
  <c r="AP29" i="2"/>
  <c r="AM30" i="2"/>
  <c r="N21" i="2"/>
  <c r="P18" i="2"/>
  <c r="AJ34" i="2"/>
  <c r="AK36" i="2"/>
  <c r="S30" i="2"/>
  <c r="AP21" i="2"/>
  <c r="AM37" i="2"/>
  <c r="X43" i="2"/>
  <c r="AA38" i="2"/>
  <c r="P40" i="2"/>
  <c r="AG37" i="2"/>
  <c r="AE29" i="2"/>
  <c r="AF35" i="2"/>
  <c r="O29" i="2"/>
  <c r="AC41" i="2"/>
  <c r="Z18" i="2"/>
  <c r="AE23" i="2"/>
  <c r="R47" i="2"/>
  <c r="S32" i="2"/>
  <c r="AM23" i="2"/>
  <c r="AE43" i="2"/>
  <c r="AN18" i="2"/>
  <c r="AG36" i="2"/>
  <c r="P32" i="2"/>
  <c r="AM41" i="2"/>
  <c r="AF29" i="2"/>
  <c r="S31" i="2"/>
  <c r="Z20" i="2"/>
  <c r="AQ39" i="2"/>
  <c r="AE39" i="2"/>
  <c r="T22" i="2"/>
  <c r="W26" i="2"/>
  <c r="Y39" i="2"/>
  <c r="P23" i="2"/>
  <c r="AF33" i="2"/>
  <c r="AQ23" i="2"/>
  <c r="AM36" i="2"/>
  <c r="V19" i="2"/>
  <c r="AD24" i="2"/>
  <c r="AJ43" i="2"/>
  <c r="P41" i="2"/>
  <c r="AA19" i="2"/>
  <c r="AG29" i="2"/>
  <c r="AD28" i="2"/>
  <c r="N28" i="2"/>
  <c r="W34" i="2"/>
  <c r="N27" i="2"/>
  <c r="U26" i="2"/>
  <c r="AJ24" i="2"/>
  <c r="AG32" i="2"/>
  <c r="AL43" i="2"/>
  <c r="AQ45" i="2"/>
  <c r="AQ46" i="2"/>
  <c r="V41" i="2"/>
  <c r="R45" i="2"/>
  <c r="AI27" i="2"/>
  <c r="AJ33" i="2"/>
  <c r="AA34" i="2"/>
  <c r="AF24" i="2"/>
  <c r="AI25" i="2"/>
  <c r="AL33" i="2"/>
  <c r="AP42" i="2"/>
  <c r="AO20" i="2"/>
  <c r="AM39" i="2"/>
  <c r="Q20" i="2"/>
  <c r="N26" i="2"/>
  <c r="U36" i="2"/>
  <c r="X25" i="2"/>
  <c r="P36" i="2"/>
  <c r="X20" i="2"/>
  <c r="AJ44" i="2"/>
  <c r="W23" i="2"/>
  <c r="AP25" i="2"/>
  <c r="N23" i="2"/>
  <c r="Z33" i="2"/>
  <c r="AJ35" i="2"/>
  <c r="O36" i="2"/>
  <c r="AL32" i="2"/>
  <c r="U24" i="2"/>
  <c r="AA24" i="2"/>
  <c r="X34" i="2"/>
  <c r="N36" i="2"/>
  <c r="AB27" i="2"/>
  <c r="AF37" i="2"/>
  <c r="AE24" i="2"/>
  <c r="AL47" i="2"/>
  <c r="AA40" i="2"/>
  <c r="AG21" i="2"/>
  <c r="AH22" i="2"/>
  <c r="S24" i="2"/>
  <c r="AI22" i="2"/>
  <c r="AK25" i="2"/>
  <c r="AL24" i="2"/>
  <c r="AG38" i="2"/>
  <c r="V23" i="2"/>
  <c r="U28" i="2"/>
  <c r="AL26" i="2"/>
  <c r="T30" i="2"/>
  <c r="U43" i="2"/>
  <c r="AM34" i="2"/>
  <c r="AB21" i="2"/>
  <c r="Q46" i="2"/>
  <c r="U35" i="2"/>
  <c r="AA27" i="2"/>
  <c r="AN24" i="2"/>
  <c r="AK33" i="2"/>
  <c r="S44" i="2"/>
  <c r="V42" i="2"/>
  <c r="AI35" i="2"/>
  <c r="W37" i="2"/>
  <c r="AH42" i="2"/>
  <c r="Y25" i="2"/>
  <c r="AG35" i="2"/>
  <c r="O40" i="2"/>
  <c r="AF43" i="2"/>
  <c r="N31" i="2"/>
  <c r="T39" i="2"/>
  <c r="AB38" i="2"/>
  <c r="AN36" i="2"/>
  <c r="AL39" i="2"/>
  <c r="T35" i="2"/>
  <c r="O33" i="2"/>
  <c r="R37" i="2"/>
  <c r="AM31" i="2"/>
  <c r="S19" i="2"/>
  <c r="T46" i="2"/>
  <c r="AN29" i="2"/>
  <c r="N24" i="2"/>
  <c r="S34" i="2"/>
  <c r="AE34" i="2"/>
  <c r="AP23" i="2"/>
  <c r="P27" i="2"/>
  <c r="AM26" i="2"/>
  <c r="AM33" i="2"/>
  <c r="AC32" i="2"/>
  <c r="AB30" i="2"/>
  <c r="Y18" i="2"/>
  <c r="W30" i="2"/>
  <c r="T44" i="2"/>
  <c r="P29" i="2"/>
  <c r="Z38" i="2"/>
  <c r="AI28" i="2"/>
  <c r="AM22" i="2"/>
  <c r="T40" i="2"/>
  <c r="Y41" i="2"/>
  <c r="AM25" i="2"/>
  <c r="AC20" i="2"/>
  <c r="AK44" i="2"/>
  <c r="AA33" i="2"/>
  <c r="AG34" i="2"/>
  <c r="AB22" i="2"/>
  <c r="O44" i="2"/>
  <c r="AO32" i="2"/>
  <c r="AO47" i="2"/>
  <c r="AJ37" i="2"/>
  <c r="AH40" i="2"/>
  <c r="N34" i="2"/>
  <c r="AJ28" i="2"/>
  <c r="R41" i="2"/>
  <c r="AF25" i="2"/>
  <c r="AQ22" i="2"/>
  <c r="AN28" i="2"/>
  <c r="AF38" i="2"/>
  <c r="AK40" i="2"/>
  <c r="AQ44" i="2"/>
  <c r="X36" i="2"/>
  <c r="AD38" i="2"/>
  <c r="AI43" i="2"/>
  <c r="P43" i="2"/>
  <c r="AG44" i="2"/>
  <c r="R23" i="2"/>
  <c r="Q31" i="2"/>
  <c r="O19" i="2"/>
  <c r="U22" i="2"/>
  <c r="U47" i="2"/>
  <c r="AK34" i="2"/>
  <c r="W18" i="2"/>
  <c r="X19" i="2"/>
  <c r="AE33" i="2"/>
  <c r="W39" i="2"/>
  <c r="AB39" i="2"/>
  <c r="AK28" i="2"/>
  <c r="AA25" i="2"/>
  <c r="S35" i="2"/>
  <c r="AD39" i="2"/>
  <c r="AM28" i="2"/>
  <c r="Q43" i="2"/>
  <c r="AE40" i="2"/>
  <c r="AB25" i="2"/>
  <c r="X29" i="2"/>
  <c r="P26" i="2"/>
  <c r="R29" i="2"/>
  <c r="S41" i="2"/>
  <c r="AN30" i="2"/>
  <c r="R40" i="2"/>
  <c r="AL29" i="2"/>
  <c r="AM43" i="2"/>
  <c r="Y40" i="2"/>
  <c r="U32" i="2"/>
  <c r="O34" i="2"/>
  <c r="AI40" i="2"/>
  <c r="T43" i="2"/>
  <c r="AO30" i="2"/>
  <c r="O30" i="2"/>
  <c r="R27" i="2"/>
  <c r="AM21" i="2"/>
  <c r="AJ31" i="2"/>
  <c r="R35" i="2"/>
  <c r="AK22" i="2"/>
  <c r="AF32" i="2"/>
  <c r="AE20" i="2"/>
  <c r="AP18" i="2"/>
  <c r="V36" i="2"/>
  <c r="Q32" i="2"/>
  <c r="P25" i="2"/>
  <c r="AH46" i="2"/>
  <c r="R26" i="2"/>
  <c r="AG45" i="2"/>
  <c r="AJ30" i="2"/>
  <c r="AN46" i="2"/>
  <c r="AF34" i="2"/>
  <c r="Z30" i="2"/>
  <c r="U18" i="2"/>
  <c r="AB43" i="2"/>
  <c r="AN26" i="2"/>
  <c r="AG30" i="2"/>
  <c r="AP35" i="2"/>
  <c r="R22" i="2"/>
  <c r="AC31" i="2"/>
  <c r="AJ46" i="2"/>
  <c r="T47" i="2"/>
  <c r="AG25" i="2"/>
  <c r="AA35" i="2"/>
  <c r="T27" i="2"/>
  <c r="R36" i="2"/>
  <c r="AD19" i="2"/>
  <c r="AG20" i="2"/>
  <c r="AH44" i="2"/>
  <c r="AC39" i="2"/>
  <c r="AN19" i="2"/>
  <c r="AB24" i="2"/>
  <c r="O46" i="2"/>
  <c r="AL30" i="2"/>
  <c r="AQ25" i="2"/>
  <c r="Y23" i="2"/>
  <c r="W44" i="2"/>
  <c r="AJ23" i="2"/>
  <c r="Y29" i="2"/>
  <c r="V38" i="2"/>
  <c r="T20" i="2"/>
  <c r="P30" i="2"/>
  <c r="W31" i="2"/>
  <c r="N22" i="2"/>
  <c r="AD25" i="2"/>
  <c r="AD29" i="2"/>
  <c r="AG46" i="2"/>
  <c r="Q27" i="2"/>
  <c r="AA30" i="2"/>
  <c r="AC25" i="2"/>
  <c r="AI41" i="2"/>
  <c r="AP28" i="2"/>
  <c r="AL31" i="2"/>
  <c r="Q25" i="2"/>
  <c r="AG22" i="2"/>
  <c r="AE47" i="2"/>
  <c r="AF36" i="2"/>
  <c r="N35" i="2"/>
  <c r="Y43" i="2"/>
  <c r="O22" i="2"/>
  <c r="Y47" i="2"/>
  <c r="AA44" i="2"/>
  <c r="Q18" i="2"/>
  <c r="AB40" i="2"/>
  <c r="AP36" i="2"/>
  <c r="AC43" i="2"/>
  <c r="AO33" i="2"/>
  <c r="Q40" i="2"/>
  <c r="AQ37" i="2"/>
  <c r="AN31" i="2"/>
  <c r="AC23" i="2"/>
  <c r="W40" i="2"/>
  <c r="Q36" i="2"/>
  <c r="Y19" i="2"/>
  <c r="AJ40" i="2"/>
  <c r="P37" i="2"/>
  <c r="AG23" i="2"/>
  <c r="AF31" i="2"/>
  <c r="V37" i="2"/>
  <c r="Q33" i="2"/>
  <c r="AA28" i="2"/>
  <c r="V45" i="2"/>
  <c r="AH36" i="2"/>
  <c r="R39" i="2"/>
  <c r="V34" i="2"/>
  <c r="Z46" i="2"/>
  <c r="S22" i="2"/>
  <c r="AC40" i="2"/>
  <c r="AP19" i="2"/>
  <c r="AI18" i="2"/>
  <c r="AH45" i="2"/>
  <c r="Z22" i="2"/>
  <c r="T38" i="2"/>
  <c r="Q24" i="2"/>
  <c r="AJ18" i="2"/>
  <c r="AK21" i="2"/>
  <c r="R25" i="2"/>
  <c r="AK46" i="2"/>
  <c r="O39" i="2"/>
  <c r="AL25" i="2"/>
  <c r="Y36" i="2"/>
  <c r="V44" i="2"/>
  <c r="AM47" i="2"/>
  <c r="AK47" i="2"/>
  <c r="AP26" i="2"/>
  <c r="Q28" i="2"/>
  <c r="AQ26" i="2"/>
  <c r="AB31" i="2"/>
  <c r="U46" i="2"/>
  <c r="O45" i="2"/>
  <c r="AH38" i="2"/>
  <c r="U38" i="2"/>
  <c r="AJ22" i="2"/>
  <c r="R46" i="2"/>
  <c r="AI30" i="2"/>
  <c r="AQ38" i="2"/>
  <c r="AH30" i="2"/>
  <c r="V39" i="2"/>
  <c r="AO38" i="2"/>
  <c r="AH43" i="2"/>
  <c r="AK32" i="2"/>
  <c r="AL40" i="2"/>
  <c r="AB586" i="3"/>
  <c r="X572" i="3"/>
  <c r="L590" i="3"/>
  <c r="P593" i="3"/>
  <c r="AD583" i="3"/>
  <c r="I574" i="3"/>
  <c r="AH582" i="3"/>
  <c r="O42" i="2"/>
  <c r="AF42" i="2"/>
  <c r="U31" i="2"/>
  <c r="AA46" i="2"/>
  <c r="V20" i="2"/>
  <c r="X44" i="2"/>
  <c r="X22" i="2"/>
  <c r="AB36" i="2"/>
  <c r="AE38" i="2"/>
  <c r="V21" i="2"/>
  <c r="O43" i="2"/>
  <c r="AB42" i="2"/>
  <c r="AJ39" i="2"/>
  <c r="P31" i="2"/>
  <c r="AC42" i="2"/>
  <c r="T24" i="2"/>
  <c r="AF21" i="2"/>
  <c r="AI31" i="2"/>
  <c r="Z42" i="2"/>
  <c r="N46" i="2"/>
  <c r="AE36" i="2"/>
  <c r="AH25" i="2"/>
  <c r="AH28" i="2"/>
  <c r="AI26" i="2"/>
  <c r="AI21" i="2"/>
  <c r="O21" i="2"/>
  <c r="V18" i="2"/>
  <c r="AD42" i="2"/>
  <c r="AF22" i="2"/>
  <c r="R34" i="2"/>
  <c r="AC24" i="2"/>
  <c r="Z34" i="2"/>
  <c r="AP47" i="2"/>
  <c r="AF47" i="2"/>
  <c r="AM32" i="2"/>
  <c r="U40" i="2"/>
  <c r="AE35" i="2"/>
  <c r="AH39" i="2"/>
  <c r="W21" i="2"/>
  <c r="AA31" i="2"/>
  <c r="AN21" i="2"/>
  <c r="AD40" i="2"/>
  <c r="AC30" i="2"/>
  <c r="AP24" i="2"/>
  <c r="X26" i="2"/>
  <c r="V32" i="2"/>
  <c r="Z23" i="2"/>
  <c r="AM20" i="2"/>
  <c r="P24" i="2"/>
  <c r="S20" i="2"/>
  <c r="T26" i="2"/>
  <c r="V43" i="2"/>
  <c r="AA37" i="2"/>
  <c r="R21" i="2"/>
  <c r="AE44" i="2"/>
  <c r="AO19" i="2"/>
  <c r="X33" i="2"/>
  <c r="AC38" i="2"/>
  <c r="O26" i="2"/>
  <c r="N33" i="2"/>
  <c r="AD41" i="2"/>
  <c r="U39" i="2"/>
  <c r="V33" i="2"/>
  <c r="AO39" i="2"/>
  <c r="AN42" i="2"/>
  <c r="AI45" i="2"/>
  <c r="X46" i="2"/>
  <c r="AO34" i="2"/>
  <c r="AN35" i="2"/>
  <c r="AA41" i="2"/>
  <c r="O573" i="3"/>
  <c r="AE596" i="3"/>
  <c r="Y576" i="3"/>
  <c r="J594" i="3"/>
  <c r="I592" i="3"/>
  <c r="P588" i="3"/>
  <c r="L572" i="3"/>
  <c r="R594" i="3"/>
  <c r="Z579" i="3"/>
  <c r="P572" i="3"/>
  <c r="AE578" i="3"/>
  <c r="AA591" i="3"/>
  <c r="Z596" i="3"/>
  <c r="Q591" i="3"/>
  <c r="O596" i="3"/>
  <c r="S582" i="3"/>
  <c r="Q579" i="3"/>
  <c r="M579" i="3"/>
  <c r="M580" i="3"/>
  <c r="H576" i="3"/>
  <c r="AC586" i="3"/>
  <c r="K573" i="3"/>
  <c r="AI594" i="3"/>
  <c r="AQ31" i="2"/>
  <c r="AE26" i="2"/>
  <c r="N25" i="2"/>
  <c r="AO26" i="2"/>
  <c r="AA32" i="2"/>
  <c r="AQ47" i="2"/>
  <c r="Y28" i="2"/>
  <c r="AI44" i="2"/>
  <c r="AQ43" i="2"/>
  <c r="AO44" i="2"/>
  <c r="AI29" i="2"/>
  <c r="AL19" i="2"/>
  <c r="AQ21" i="2"/>
  <c r="Z45" i="2"/>
  <c r="AG19" i="2"/>
  <c r="N30" i="2"/>
  <c r="U27" i="2"/>
  <c r="AH37" i="2"/>
  <c r="AQ24" i="2"/>
  <c r="AB33" i="2"/>
  <c r="T29" i="2"/>
  <c r="N43" i="2"/>
  <c r="P20" i="2"/>
  <c r="Y37" i="2"/>
  <c r="AQ41" i="2"/>
  <c r="AP39" i="2"/>
  <c r="Q39" i="2"/>
  <c r="AL42" i="2"/>
  <c r="V31" i="2"/>
  <c r="Z39" i="2"/>
  <c r="AP32" i="2"/>
  <c r="AJ26" i="2"/>
  <c r="AB29" i="2"/>
  <c r="T42" i="2"/>
  <c r="R33" i="2"/>
  <c r="Q35" i="2"/>
  <c r="AC26" i="2"/>
  <c r="AI32" i="2"/>
  <c r="P35" i="2"/>
  <c r="AN41" i="2"/>
  <c r="S28" i="2"/>
  <c r="R44" i="2"/>
  <c r="AL36" i="2"/>
  <c r="AB23" i="2"/>
  <c r="Q41" i="2"/>
  <c r="AC37" i="2"/>
  <c r="Y46" i="2"/>
  <c r="Z21" i="2"/>
  <c r="AI46" i="2"/>
  <c r="AC36" i="2"/>
  <c r="AE21" i="2"/>
  <c r="AL18" i="2"/>
  <c r="AE27" i="2"/>
  <c r="AD591" i="3"/>
  <c r="U575" i="3"/>
  <c r="U589" i="3"/>
  <c r="AF601" i="3"/>
  <c r="AH600" i="3"/>
  <c r="AA579" i="3"/>
  <c r="W578" i="3"/>
  <c r="K578" i="3"/>
  <c r="M575" i="3"/>
  <c r="G590" i="3"/>
  <c r="AB592" i="3"/>
  <c r="AG588" i="3"/>
  <c r="I589" i="3"/>
  <c r="Z600" i="3"/>
  <c r="S593" i="3"/>
  <c r="H597" i="3"/>
  <c r="Q583" i="3"/>
  <c r="I581" i="3"/>
  <c r="AC578" i="3"/>
  <c r="F593" i="3"/>
  <c r="AB585" i="3"/>
  <c r="AH580" i="3"/>
  <c r="U592" i="3"/>
  <c r="AD596" i="3"/>
  <c r="AD572" i="3"/>
  <c r="M582" i="3"/>
  <c r="G577" i="3"/>
  <c r="Y579" i="3"/>
  <c r="V589" i="3"/>
  <c r="Y573" i="3"/>
  <c r="Z482" i="3"/>
  <c r="M472" i="3"/>
  <c r="AF472" i="3"/>
  <c r="AD472" i="3"/>
  <c r="N476" i="3"/>
  <c r="V459" i="3"/>
  <c r="P477" i="3"/>
  <c r="U467" i="3"/>
  <c r="O484" i="3"/>
  <c r="N481" i="3"/>
  <c r="J480" i="3"/>
  <c r="X468" i="3"/>
  <c r="AG481" i="3"/>
  <c r="V461" i="3"/>
  <c r="M487" i="3"/>
  <c r="X481" i="3"/>
  <c r="AE462" i="3"/>
  <c r="J474" i="3"/>
  <c r="AI484" i="3"/>
  <c r="F464" i="3"/>
  <c r="Y476" i="3"/>
  <c r="F470" i="3"/>
  <c r="AF474" i="3"/>
  <c r="R463" i="3"/>
  <c r="AH468" i="3"/>
  <c r="Q458" i="3"/>
  <c r="I465" i="3"/>
  <c r="K476" i="3"/>
  <c r="Y478" i="3"/>
  <c r="P475" i="3"/>
  <c r="AI459" i="3"/>
  <c r="H462" i="3"/>
  <c r="Z470" i="3"/>
  <c r="AA458" i="3"/>
  <c r="Q461" i="3"/>
  <c r="O462" i="3"/>
  <c r="O466" i="3"/>
  <c r="AD467" i="3"/>
  <c r="R479" i="3"/>
  <c r="Z476" i="3"/>
  <c r="AC483" i="3"/>
  <c r="AD482" i="3"/>
  <c r="M483" i="3"/>
  <c r="S482" i="3"/>
  <c r="T467" i="3"/>
  <c r="G477" i="3"/>
  <c r="AD460" i="3"/>
  <c r="R468" i="3"/>
  <c r="U472" i="3"/>
  <c r="AH465" i="3"/>
  <c r="Y461" i="3"/>
  <c r="S474" i="3"/>
  <c r="F466" i="3"/>
  <c r="Q483" i="3"/>
  <c r="P467" i="3"/>
  <c r="AE482" i="3"/>
  <c r="S477" i="3"/>
  <c r="S467" i="3"/>
  <c r="AA469" i="3"/>
  <c r="G483" i="3"/>
  <c r="G461" i="3"/>
  <c r="AH464" i="3"/>
  <c r="K464" i="3"/>
  <c r="AE485" i="3"/>
  <c r="AB487" i="3"/>
  <c r="X474" i="3"/>
  <c r="AD485" i="3"/>
  <c r="V471" i="3"/>
  <c r="AF467" i="3"/>
  <c r="P484" i="3"/>
  <c r="H460" i="3"/>
  <c r="AG473" i="3"/>
  <c r="T479" i="3"/>
  <c r="Q462" i="3"/>
  <c r="AC476" i="3"/>
  <c r="W458" i="3"/>
  <c r="Y469" i="3"/>
  <c r="AD483" i="3"/>
  <c r="I483" i="3"/>
  <c r="P483" i="3"/>
  <c r="H463" i="3"/>
  <c r="AE472" i="3"/>
  <c r="M478" i="3"/>
  <c r="J461" i="3"/>
  <c r="W465" i="3"/>
  <c r="H458" i="3"/>
  <c r="AF459" i="3"/>
  <c r="AF484" i="3"/>
  <c r="W482" i="3"/>
  <c r="AG482" i="3"/>
  <c r="W475" i="3"/>
  <c r="AA479" i="3"/>
  <c r="W476" i="3"/>
  <c r="I472" i="3"/>
  <c r="Z465" i="3"/>
  <c r="T469" i="3"/>
  <c r="I458" i="3"/>
  <c r="S478" i="3"/>
  <c r="Y480" i="3"/>
  <c r="AA481" i="3"/>
  <c r="J477" i="3"/>
  <c r="S469" i="3"/>
  <c r="U481" i="3"/>
  <c r="K477" i="3"/>
  <c r="AI462" i="3"/>
  <c r="J472" i="3"/>
  <c r="AE469" i="3"/>
  <c r="AI464" i="3"/>
  <c r="AE467" i="3"/>
  <c r="AC466" i="3"/>
  <c r="O481" i="3"/>
  <c r="AC462" i="3"/>
  <c r="AB480" i="3"/>
  <c r="I481" i="3"/>
  <c r="AA482" i="3"/>
  <c r="L479" i="3"/>
  <c r="W464" i="3"/>
  <c r="M466" i="3"/>
  <c r="AB469" i="3"/>
  <c r="AG459" i="3"/>
  <c r="G464" i="3"/>
  <c r="L467" i="3"/>
  <c r="Q463" i="3"/>
  <c r="G466" i="3"/>
  <c r="V481" i="3"/>
  <c r="T483" i="3"/>
  <c r="M469" i="3"/>
  <c r="W485" i="3"/>
  <c r="V482" i="3"/>
  <c r="Y473" i="3"/>
  <c r="R459" i="3"/>
  <c r="AH467" i="3"/>
  <c r="I471" i="3"/>
  <c r="O478" i="3"/>
  <c r="AB458" i="3"/>
  <c r="V464" i="3"/>
  <c r="T465" i="3"/>
  <c r="H481" i="3"/>
  <c r="X469" i="3"/>
  <c r="P480" i="3"/>
  <c r="Q486" i="3"/>
  <c r="AG480" i="3"/>
  <c r="T480" i="3"/>
  <c r="W467" i="3"/>
  <c r="F458" i="3"/>
  <c r="W477" i="3"/>
  <c r="N459" i="3"/>
  <c r="AA462" i="3"/>
  <c r="Q459" i="3"/>
  <c r="AA471" i="3"/>
  <c r="AI487" i="3"/>
  <c r="O467" i="3"/>
  <c r="AG474" i="3"/>
  <c r="O477" i="3"/>
  <c r="K482" i="3"/>
  <c r="G467" i="3"/>
  <c r="K469" i="3"/>
  <c r="I486" i="3"/>
  <c r="S487" i="3"/>
  <c r="R482" i="3"/>
  <c r="AA470" i="3"/>
  <c r="G475" i="3"/>
  <c r="Z461" i="3"/>
  <c r="U461" i="3"/>
  <c r="K485" i="3"/>
  <c r="AH481" i="3"/>
  <c r="AA468" i="3"/>
  <c r="F486" i="3"/>
  <c r="Z480" i="3"/>
  <c r="AB468" i="3"/>
  <c r="AA475" i="3"/>
  <c r="J468" i="3"/>
  <c r="V485" i="3"/>
  <c r="Y471" i="3"/>
  <c r="G468" i="3"/>
  <c r="AH471" i="3"/>
  <c r="N463" i="3"/>
  <c r="G472" i="3"/>
  <c r="N482" i="3"/>
  <c r="H467" i="3"/>
  <c r="X478" i="3"/>
  <c r="V460" i="3"/>
  <c r="P481" i="3"/>
  <c r="AI474" i="3"/>
  <c r="G465" i="3"/>
  <c r="AB479" i="3"/>
  <c r="AC475" i="3"/>
  <c r="P462" i="3"/>
  <c r="Y475" i="3"/>
  <c r="AB470" i="3"/>
  <c r="W461" i="3"/>
  <c r="F468" i="3"/>
  <c r="AE486" i="3"/>
  <c r="AI482" i="3"/>
  <c r="M463" i="3"/>
  <c r="S480" i="3"/>
  <c r="O483" i="3"/>
  <c r="I485" i="3"/>
  <c r="Z462" i="3"/>
  <c r="T474" i="3"/>
  <c r="Z479" i="3"/>
  <c r="P476" i="3"/>
  <c r="AE476" i="3"/>
  <c r="P486" i="3"/>
  <c r="H476" i="3"/>
  <c r="M465" i="3"/>
  <c r="L461" i="3"/>
  <c r="I477" i="3"/>
  <c r="AF479" i="3"/>
  <c r="AG467" i="3"/>
  <c r="AC469" i="3"/>
  <c r="AH460" i="3"/>
  <c r="F460" i="3"/>
  <c r="O461" i="3"/>
  <c r="AC472" i="3"/>
  <c r="J484" i="3"/>
  <c r="F476" i="3"/>
  <c r="X470" i="3"/>
  <c r="AD480" i="3"/>
  <c r="L475" i="3"/>
  <c r="S470" i="3"/>
  <c r="Q479" i="3"/>
  <c r="S486" i="3"/>
  <c r="AF477" i="3"/>
  <c r="AI473" i="3"/>
  <c r="L468" i="3"/>
  <c r="K484" i="3"/>
  <c r="AB481" i="3"/>
  <c r="Q467" i="3"/>
  <c r="Z469" i="3"/>
  <c r="AH459" i="3"/>
  <c r="W462" i="3"/>
  <c r="Y460" i="3"/>
  <c r="S472" i="3"/>
  <c r="R466" i="3"/>
  <c r="P474" i="3"/>
  <c r="S461" i="3"/>
  <c r="AI471" i="3"/>
  <c r="U479" i="3"/>
  <c r="O479" i="3"/>
  <c r="J471" i="3"/>
  <c r="AG469" i="3"/>
  <c r="AB473" i="3"/>
  <c r="AC487" i="3"/>
  <c r="AF462" i="3"/>
  <c r="P459" i="3"/>
  <c r="X467" i="3"/>
  <c r="U476" i="3"/>
  <c r="X477" i="3"/>
  <c r="AF485" i="3"/>
  <c r="AG485" i="3"/>
  <c r="Z484" i="3"/>
  <c r="AG483" i="3"/>
  <c r="X472" i="3"/>
  <c r="AG458" i="3"/>
  <c r="Q470" i="3"/>
  <c r="G481" i="3"/>
  <c r="J485" i="3"/>
  <c r="Q477" i="3"/>
  <c r="V473" i="3"/>
  <c r="O476" i="3"/>
  <c r="R461" i="3"/>
  <c r="J464" i="3"/>
  <c r="X464" i="3"/>
  <c r="F481" i="3"/>
  <c r="V477" i="3"/>
  <c r="V467" i="3"/>
  <c r="AE470" i="3"/>
  <c r="L482" i="3"/>
  <c r="G480" i="3"/>
  <c r="Q472" i="3"/>
  <c r="T478" i="3"/>
  <c r="AA472" i="3"/>
  <c r="AB464" i="3"/>
  <c r="AD465" i="3"/>
  <c r="U459" i="3"/>
  <c r="Q474" i="3"/>
  <c r="O475" i="3"/>
  <c r="AA486" i="3"/>
  <c r="M484" i="3"/>
  <c r="O487" i="3"/>
  <c r="Y485" i="3"/>
  <c r="Y470" i="3"/>
  <c r="O470" i="3"/>
  <c r="O480" i="3"/>
  <c r="AB471" i="3"/>
  <c r="O460" i="3"/>
  <c r="AD464" i="3"/>
  <c r="R486" i="3"/>
  <c r="AC485" i="3"/>
  <c r="W478" i="3"/>
  <c r="R469" i="3"/>
  <c r="AE459" i="3"/>
  <c r="P485" i="3"/>
  <c r="L460" i="3"/>
  <c r="AA474" i="3"/>
  <c r="AF460" i="3"/>
  <c r="V465" i="3"/>
  <c r="V480" i="3"/>
  <c r="AH476" i="3"/>
  <c r="AG486" i="3"/>
  <c r="V458" i="3"/>
  <c r="AH466" i="3"/>
  <c r="AI478" i="3"/>
  <c r="K465" i="3"/>
  <c r="AI468" i="3"/>
  <c r="V472" i="3"/>
  <c r="H484" i="3"/>
  <c r="I476" i="3"/>
  <c r="P466" i="3"/>
  <c r="G463" i="3"/>
  <c r="K479" i="3"/>
  <c r="W483" i="3"/>
  <c r="AI467" i="3"/>
  <c r="L486" i="3"/>
  <c r="L469" i="3"/>
  <c r="R467" i="3"/>
  <c r="AE474" i="3"/>
  <c r="Q465" i="3"/>
  <c r="O471" i="3"/>
  <c r="L470" i="3"/>
  <c r="N485" i="3"/>
  <c r="Q476" i="3"/>
  <c r="H471" i="3"/>
  <c r="AA464" i="3"/>
  <c r="AB484" i="3"/>
  <c r="N465" i="3"/>
  <c r="AI469" i="3"/>
  <c r="AG472" i="3"/>
  <c r="AA466" i="3"/>
  <c r="X487" i="3"/>
  <c r="W471" i="3"/>
  <c r="R485" i="3"/>
  <c r="AC477" i="3"/>
  <c r="S471" i="3"/>
  <c r="AF481" i="3"/>
  <c r="G460" i="3"/>
  <c r="F479" i="3"/>
  <c r="P468" i="3"/>
  <c r="X465" i="3"/>
  <c r="Y462" i="3"/>
  <c r="R460" i="3"/>
  <c r="M479" i="3"/>
  <c r="X485" i="3"/>
  <c r="O482" i="3"/>
  <c r="K473" i="3"/>
  <c r="O463" i="3"/>
  <c r="J475" i="3"/>
  <c r="G479" i="3"/>
  <c r="AB463" i="3"/>
  <c r="T460" i="3"/>
  <c r="Y477" i="3"/>
  <c r="U480" i="3"/>
  <c r="AE471" i="3"/>
  <c r="F462" i="3"/>
  <c r="L466" i="3"/>
  <c r="I475" i="3"/>
  <c r="G462" i="3"/>
  <c r="AF476" i="3"/>
  <c r="AG466" i="3"/>
  <c r="AD459" i="3"/>
  <c r="N458" i="3"/>
  <c r="AD468" i="3"/>
  <c r="F461" i="3"/>
  <c r="AB475" i="3"/>
  <c r="M473" i="3"/>
  <c r="U464" i="3"/>
  <c r="X458" i="3"/>
  <c r="AD458" i="3"/>
  <c r="U460" i="3"/>
  <c r="Z466" i="3"/>
  <c r="S459" i="3"/>
  <c r="L487" i="3"/>
  <c r="AH482" i="3"/>
  <c r="AI480" i="3"/>
  <c r="H480" i="3"/>
  <c r="S481" i="3"/>
  <c r="S462" i="3"/>
  <c r="I468" i="3"/>
  <c r="R471" i="3"/>
  <c r="M474" i="3"/>
  <c r="AF471" i="3"/>
  <c r="AD462" i="3"/>
  <c r="T468" i="3"/>
  <c r="M470" i="3"/>
  <c r="X483" i="3"/>
  <c r="AE466" i="3"/>
  <c r="N471" i="3"/>
  <c r="AH475" i="3"/>
  <c r="Z478" i="3"/>
  <c r="R462" i="3"/>
  <c r="T466" i="3"/>
  <c r="AF473" i="3"/>
  <c r="R477" i="3"/>
  <c r="AC478" i="3"/>
  <c r="U463" i="3"/>
  <c r="AI481" i="3"/>
  <c r="N487" i="3"/>
  <c r="Q478" i="3"/>
  <c r="AE473" i="3"/>
  <c r="AF475" i="3"/>
  <c r="AB472" i="3"/>
  <c r="L484" i="3"/>
  <c r="AC460" i="3"/>
  <c r="K462" i="3"/>
  <c r="AH480" i="3"/>
  <c r="AA476" i="3"/>
  <c r="U482" i="3"/>
  <c r="O474" i="3"/>
  <c r="N462" i="3"/>
  <c r="Z472" i="3"/>
  <c r="AC98" i="3"/>
  <c r="AA94" i="3"/>
  <c r="I97" i="3"/>
  <c r="Y84" i="3"/>
  <c r="Y87" i="3"/>
  <c r="Z89" i="3"/>
  <c r="Q96" i="3"/>
  <c r="S90" i="3"/>
  <c r="L91" i="3"/>
  <c r="K91" i="3"/>
  <c r="AI85" i="3"/>
  <c r="X84" i="3"/>
  <c r="AH91" i="3"/>
  <c r="O92" i="3"/>
  <c r="X87" i="3"/>
  <c r="AE88" i="3"/>
  <c r="J85" i="3"/>
  <c r="AB78" i="3"/>
  <c r="AC107" i="3"/>
  <c r="F104" i="3"/>
  <c r="Q83" i="3"/>
  <c r="AH87" i="3"/>
  <c r="R80" i="3"/>
  <c r="N103" i="3"/>
  <c r="R92" i="3"/>
  <c r="G99" i="3"/>
  <c r="Z78" i="3"/>
  <c r="AF88" i="3"/>
  <c r="T89" i="3"/>
  <c r="S106" i="3"/>
  <c r="K105" i="3"/>
  <c r="AE96" i="3"/>
  <c r="AF81" i="3"/>
  <c r="R101" i="3"/>
  <c r="N86" i="3"/>
  <c r="J80" i="3"/>
  <c r="U80" i="3"/>
  <c r="S93" i="3"/>
  <c r="AC89" i="3"/>
  <c r="M84" i="3"/>
  <c r="R95" i="3"/>
  <c r="U89" i="3"/>
  <c r="F100" i="3"/>
  <c r="AB107" i="3"/>
  <c r="U93" i="3"/>
  <c r="AE79" i="3"/>
  <c r="L101" i="3"/>
  <c r="J78" i="3"/>
  <c r="J96" i="3"/>
  <c r="Q101" i="3"/>
  <c r="P101" i="3"/>
  <c r="N107" i="3"/>
  <c r="W107" i="3"/>
  <c r="AG93" i="3"/>
  <c r="AI87" i="3"/>
  <c r="AD105" i="3"/>
  <c r="U107" i="3"/>
  <c r="P89" i="3"/>
  <c r="AH88" i="3"/>
  <c r="AH84" i="3"/>
  <c r="K78" i="3"/>
  <c r="Y101" i="3"/>
  <c r="H81" i="3"/>
  <c r="AE78" i="3"/>
  <c r="M96" i="3"/>
  <c r="AD90" i="3"/>
  <c r="K102" i="3"/>
  <c r="AB99" i="3"/>
  <c r="H97" i="3"/>
  <c r="Q79" i="3"/>
  <c r="Z107" i="3"/>
  <c r="AI83" i="3"/>
  <c r="AH90" i="3"/>
  <c r="F84" i="3"/>
  <c r="S105" i="3"/>
  <c r="O106" i="3"/>
  <c r="O81" i="3"/>
  <c r="U97" i="3"/>
  <c r="H91" i="3"/>
  <c r="AG95" i="3"/>
  <c r="AH78" i="3"/>
  <c r="U94" i="3"/>
  <c r="AF98" i="3"/>
  <c r="P81" i="3"/>
  <c r="AF105" i="3"/>
  <c r="K101" i="3"/>
  <c r="AD80" i="3"/>
  <c r="AB89" i="3"/>
  <c r="AB100" i="3"/>
  <c r="AA103" i="3"/>
  <c r="AD107" i="3"/>
  <c r="S103" i="3"/>
  <c r="AA98" i="3"/>
  <c r="X105" i="3"/>
  <c r="X90" i="3"/>
  <c r="V97" i="3"/>
  <c r="T106" i="3"/>
  <c r="M78" i="3"/>
  <c r="W100" i="3"/>
  <c r="S101" i="3"/>
  <c r="R89" i="3"/>
  <c r="Y95" i="3"/>
  <c r="L104" i="3"/>
  <c r="AH103" i="3"/>
  <c r="AA88" i="3"/>
  <c r="X80" i="3"/>
  <c r="R97" i="3"/>
  <c r="AE84" i="3"/>
  <c r="AI86" i="3"/>
  <c r="K87" i="3"/>
  <c r="L92" i="3"/>
  <c r="W93" i="3"/>
  <c r="AH102" i="3"/>
  <c r="I81" i="3"/>
  <c r="W86" i="3"/>
  <c r="Z94" i="3"/>
  <c r="P94" i="3"/>
  <c r="AC90" i="3"/>
  <c r="J88" i="3"/>
  <c r="Q92" i="3"/>
  <c r="AC101" i="3"/>
  <c r="V98" i="3"/>
  <c r="Q100" i="3"/>
  <c r="W94" i="3"/>
  <c r="Y96" i="3"/>
  <c r="N106" i="3"/>
  <c r="AH80" i="3"/>
  <c r="G97" i="3"/>
  <c r="S98" i="3"/>
  <c r="AB81" i="3"/>
  <c r="W89" i="3"/>
  <c r="N89" i="3"/>
  <c r="T105" i="3"/>
  <c r="K103" i="3"/>
  <c r="AI105" i="3"/>
  <c r="R98" i="3"/>
  <c r="Z81" i="3"/>
  <c r="J97" i="3"/>
  <c r="AI90" i="3"/>
  <c r="R88" i="3"/>
  <c r="AB82" i="3"/>
  <c r="F106" i="3"/>
  <c r="N79" i="3"/>
  <c r="V107" i="3"/>
  <c r="R87" i="3"/>
  <c r="AF90" i="3"/>
  <c r="H102" i="3"/>
  <c r="AD103" i="3"/>
  <c r="AB93" i="3"/>
  <c r="N96" i="3"/>
  <c r="S86" i="3"/>
  <c r="O83" i="3"/>
  <c r="G86" i="3"/>
  <c r="AE102" i="3"/>
  <c r="I103" i="3"/>
  <c r="AE98" i="3"/>
  <c r="L106" i="3"/>
  <c r="J104" i="3"/>
  <c r="P96" i="3"/>
  <c r="AB103" i="3"/>
  <c r="T107" i="3"/>
  <c r="W102" i="3"/>
  <c r="AE101" i="3"/>
  <c r="Y104" i="3"/>
  <c r="J89" i="3"/>
  <c r="N80" i="3"/>
  <c r="N105" i="3"/>
  <c r="G87" i="3"/>
  <c r="AB91" i="3"/>
  <c r="Y91" i="3"/>
  <c r="Z92" i="3"/>
  <c r="AI106" i="3"/>
  <c r="O95" i="3"/>
  <c r="AC84" i="3"/>
  <c r="M103" i="3"/>
  <c r="X81" i="3"/>
  <c r="M100" i="3"/>
  <c r="AA92" i="3"/>
  <c r="X88" i="3"/>
  <c r="AI102" i="3"/>
  <c r="I85" i="3"/>
  <c r="J94" i="3"/>
  <c r="AC78" i="3"/>
  <c r="K81" i="3"/>
  <c r="AA102" i="3"/>
  <c r="Q93" i="3"/>
  <c r="W81" i="3"/>
  <c r="S81" i="3"/>
  <c r="AA82" i="3"/>
  <c r="T81" i="3"/>
  <c r="T87" i="3"/>
  <c r="AG88" i="3"/>
  <c r="O93" i="3"/>
  <c r="L103" i="3"/>
  <c r="G80" i="3"/>
  <c r="H80" i="3"/>
  <c r="J90" i="3"/>
  <c r="F83" i="3"/>
  <c r="H100" i="3"/>
  <c r="AB96" i="3"/>
  <c r="L83" i="3"/>
  <c r="AF79" i="3"/>
  <c r="AF80" i="3"/>
  <c r="P86" i="3"/>
  <c r="X100" i="3"/>
  <c r="Z87" i="3"/>
  <c r="S92" i="3"/>
  <c r="X86" i="3"/>
  <c r="P85" i="3"/>
  <c r="AA85" i="3"/>
  <c r="AD98" i="3"/>
  <c r="X101" i="3"/>
  <c r="P100" i="3"/>
  <c r="AI82" i="3"/>
  <c r="U103" i="3"/>
  <c r="AH83" i="3"/>
  <c r="AC105" i="3"/>
  <c r="F98" i="3"/>
  <c r="AG107" i="3"/>
  <c r="P78" i="3"/>
  <c r="O199" i="3"/>
  <c r="Y219" i="3"/>
  <c r="J212" i="3"/>
  <c r="Z211" i="3"/>
  <c r="G200" i="3"/>
  <c r="O215" i="3"/>
  <c r="AG198" i="3"/>
  <c r="AD206" i="3"/>
  <c r="I212" i="3"/>
  <c r="H219" i="3"/>
  <c r="G201" i="3"/>
  <c r="AD218" i="3"/>
  <c r="I220" i="3"/>
  <c r="AA193" i="3"/>
  <c r="R195" i="3"/>
  <c r="O214" i="3"/>
  <c r="H212" i="3"/>
  <c r="M197" i="3"/>
  <c r="AF210" i="3"/>
  <c r="H216" i="3"/>
  <c r="AF197" i="3"/>
  <c r="H194" i="3"/>
  <c r="AH211" i="3"/>
  <c r="S208" i="3"/>
  <c r="J213" i="3"/>
  <c r="AF219" i="3"/>
  <c r="P213" i="3"/>
  <c r="I217" i="3"/>
  <c r="H199" i="3"/>
  <c r="R198" i="3"/>
  <c r="G211" i="3"/>
  <c r="Q215" i="3"/>
  <c r="AB209" i="3"/>
  <c r="P198" i="3"/>
  <c r="R197" i="3"/>
  <c r="U209" i="3"/>
  <c r="U216" i="3"/>
  <c r="X192" i="3"/>
  <c r="T203" i="3"/>
  <c r="AB196" i="3"/>
  <c r="X195" i="3"/>
  <c r="L200" i="3"/>
  <c r="AE208" i="3"/>
  <c r="AH210" i="3"/>
  <c r="Z200" i="3"/>
  <c r="AF203" i="3"/>
  <c r="X199" i="3"/>
  <c r="H210" i="3"/>
  <c r="S193" i="3"/>
  <c r="L194" i="3"/>
  <c r="Q214" i="3"/>
  <c r="AG215" i="3"/>
  <c r="AA204" i="3"/>
  <c r="Y209" i="3"/>
  <c r="W201" i="3"/>
  <c r="R202" i="3"/>
  <c r="J193" i="3"/>
  <c r="AA213" i="3"/>
  <c r="AB221" i="3"/>
  <c r="AA221" i="3"/>
  <c r="AB220" i="3"/>
  <c r="S198" i="3"/>
  <c r="F211" i="3"/>
  <c r="AD208" i="3"/>
  <c r="AH220" i="3"/>
  <c r="W210" i="3"/>
  <c r="F206" i="3"/>
  <c r="T198" i="3"/>
  <c r="AH206" i="3"/>
  <c r="Q207" i="3"/>
  <c r="F221" i="3"/>
  <c r="U199" i="3"/>
  <c r="Y202" i="3"/>
  <c r="S197" i="3"/>
  <c r="G194" i="3"/>
  <c r="AC196" i="3"/>
  <c r="AA218" i="3"/>
  <c r="AI208" i="3"/>
  <c r="Y212" i="3"/>
  <c r="AG196" i="3"/>
  <c r="J220" i="3"/>
  <c r="R473" i="3"/>
  <c r="I473" i="3"/>
  <c r="F480" i="3"/>
  <c r="K459" i="3"/>
  <c r="AE465" i="3"/>
  <c r="AG478" i="3"/>
  <c r="Z458" i="3"/>
  <c r="P472" i="3"/>
  <c r="AC459" i="3"/>
  <c r="AH458" i="3"/>
  <c r="AB476" i="3"/>
  <c r="AC470" i="3"/>
  <c r="Z485" i="3"/>
  <c r="AG479" i="3"/>
  <c r="O485" i="3"/>
  <c r="J465" i="3"/>
  <c r="P487" i="3"/>
  <c r="T458" i="3"/>
  <c r="I461" i="3"/>
  <c r="N468" i="3"/>
  <c r="P458" i="3"/>
  <c r="AG475" i="3"/>
  <c r="AC474" i="3"/>
  <c r="Z471" i="3"/>
  <c r="AD481" i="3"/>
  <c r="R481" i="3"/>
  <c r="Y472" i="3"/>
  <c r="N461" i="3"/>
  <c r="O465" i="3"/>
  <c r="I470" i="3"/>
  <c r="Z477" i="3"/>
  <c r="N474" i="3"/>
  <c r="AF483" i="3"/>
  <c r="W479" i="3"/>
  <c r="N469" i="3"/>
  <c r="AF469" i="3"/>
  <c r="G484" i="3"/>
  <c r="R472" i="3"/>
  <c r="X479" i="3"/>
  <c r="AH461" i="3"/>
  <c r="I480" i="3"/>
  <c r="F471" i="3"/>
  <c r="S476" i="3"/>
  <c r="J466" i="3"/>
  <c r="U458" i="3"/>
  <c r="P463" i="3"/>
  <c r="AE477" i="3"/>
  <c r="X459" i="3"/>
  <c r="AB460" i="3"/>
  <c r="V487" i="3"/>
  <c r="T486" i="3"/>
  <c r="P479" i="3"/>
  <c r="L473" i="3"/>
  <c r="AD477" i="3"/>
  <c r="AI465" i="3"/>
  <c r="AG465" i="3"/>
  <c r="R465" i="3"/>
  <c r="AH473" i="3"/>
  <c r="AB465" i="3"/>
  <c r="AE475" i="3"/>
  <c r="O464" i="3"/>
  <c r="K483" i="3"/>
  <c r="AB482" i="3"/>
  <c r="M480" i="3"/>
  <c r="W459" i="3"/>
  <c r="O468" i="3"/>
  <c r="U485" i="3"/>
  <c r="AE481" i="3"/>
  <c r="K478" i="3"/>
  <c r="H483" i="3"/>
  <c r="Z481" i="3"/>
  <c r="P482" i="3"/>
  <c r="Y481" i="3"/>
  <c r="Q482" i="3"/>
  <c r="AD475" i="3"/>
  <c r="N473" i="3"/>
  <c r="V478" i="3"/>
  <c r="M460" i="3"/>
  <c r="AH483" i="3"/>
  <c r="U90" i="3"/>
  <c r="X106" i="3"/>
  <c r="R99" i="3"/>
  <c r="W82" i="3"/>
  <c r="AF103" i="3"/>
  <c r="L94" i="3"/>
  <c r="P97" i="3"/>
  <c r="AI95" i="3"/>
  <c r="W105" i="3"/>
  <c r="Y97" i="3"/>
  <c r="M87" i="3"/>
  <c r="AC91" i="3"/>
  <c r="J93" i="3"/>
  <c r="AI96" i="3"/>
  <c r="AH101" i="3"/>
  <c r="AA93" i="3"/>
  <c r="L102" i="3"/>
  <c r="P102" i="3"/>
  <c r="AF107" i="3"/>
  <c r="P99" i="3"/>
  <c r="F103" i="3"/>
  <c r="Z106" i="3"/>
  <c r="F101" i="3"/>
  <c r="I91" i="3"/>
  <c r="AF87" i="3"/>
  <c r="V84" i="3"/>
  <c r="Z79" i="3"/>
  <c r="K83" i="3"/>
  <c r="F107" i="3"/>
  <c r="AI99" i="3"/>
  <c r="N87" i="3"/>
  <c r="G91" i="3"/>
  <c r="AD78" i="3"/>
  <c r="V86" i="3"/>
  <c r="G81" i="3"/>
  <c r="AH95" i="3"/>
  <c r="AB83" i="3"/>
  <c r="AE95" i="3"/>
  <c r="AF85" i="3"/>
  <c r="J105" i="3"/>
  <c r="I78" i="3"/>
  <c r="U101" i="3"/>
  <c r="N85" i="3"/>
  <c r="R84" i="3"/>
  <c r="AC88" i="3"/>
  <c r="AE93" i="3"/>
  <c r="L87" i="3"/>
  <c r="N100" i="3"/>
  <c r="J102" i="3"/>
  <c r="I92" i="3"/>
  <c r="W80" i="3"/>
  <c r="H96" i="3"/>
  <c r="M90" i="3"/>
  <c r="AB80" i="3"/>
  <c r="Z101" i="3"/>
  <c r="AE94" i="3"/>
  <c r="Z95" i="3"/>
  <c r="N101" i="3"/>
  <c r="J107" i="3"/>
  <c r="Z96" i="3"/>
  <c r="O97" i="3"/>
  <c r="AI81" i="3"/>
  <c r="L78" i="3"/>
  <c r="P87" i="3"/>
  <c r="G104" i="3"/>
  <c r="AI100" i="3"/>
  <c r="Z93" i="3"/>
  <c r="H90" i="3"/>
  <c r="AD99" i="3"/>
  <c r="Z83" i="3"/>
  <c r="S79" i="3"/>
  <c r="L99" i="3"/>
  <c r="V105" i="3"/>
  <c r="G89" i="3"/>
  <c r="U98" i="3"/>
  <c r="Q88" i="3"/>
  <c r="U100" i="3"/>
  <c r="F86" i="3"/>
  <c r="AF78" i="3"/>
  <c r="AG102" i="3"/>
  <c r="L84" i="3"/>
  <c r="T79" i="3"/>
  <c r="G100" i="3"/>
  <c r="AA78" i="3"/>
  <c r="W92" i="3"/>
  <c r="P84" i="3"/>
  <c r="O102" i="3"/>
  <c r="R90" i="3"/>
  <c r="AC95" i="3"/>
  <c r="Z85" i="3"/>
  <c r="O79" i="3"/>
  <c r="L88" i="3"/>
  <c r="S84" i="3"/>
  <c r="Y102" i="3"/>
  <c r="H79" i="3"/>
  <c r="G106" i="3"/>
  <c r="AG79" i="3"/>
  <c r="AH89" i="3"/>
  <c r="AG105" i="3"/>
  <c r="AH99" i="3"/>
  <c r="Y90" i="3"/>
  <c r="T83" i="3"/>
  <c r="X96" i="3"/>
  <c r="K106" i="3"/>
  <c r="AC99" i="3"/>
  <c r="P82" i="3"/>
  <c r="W106" i="3"/>
  <c r="R86" i="3"/>
  <c r="L80" i="3"/>
  <c r="K89" i="3"/>
  <c r="AE104" i="3"/>
  <c r="AF91" i="3"/>
  <c r="F85" i="3"/>
  <c r="H94" i="3"/>
  <c r="F78" i="3"/>
  <c r="AG106" i="3"/>
  <c r="AG101" i="3"/>
  <c r="L93" i="3"/>
  <c r="AC103" i="3"/>
  <c r="R100" i="3"/>
  <c r="W98" i="3"/>
  <c r="F92" i="3"/>
  <c r="N81" i="3"/>
  <c r="O84" i="3"/>
  <c r="Y86" i="3"/>
  <c r="G90" i="3"/>
  <c r="AE87" i="3"/>
  <c r="AC83" i="3"/>
  <c r="U87" i="3"/>
  <c r="H92" i="3"/>
  <c r="T86" i="3"/>
  <c r="V94" i="3"/>
  <c r="U95" i="3"/>
  <c r="Z90" i="3"/>
  <c r="V78" i="3"/>
  <c r="R85" i="3"/>
  <c r="Z80" i="3"/>
  <c r="J82" i="3"/>
  <c r="L100" i="3"/>
  <c r="T100" i="3"/>
  <c r="T94" i="3"/>
  <c r="I88" i="3"/>
  <c r="K95" i="3"/>
  <c r="I94" i="3"/>
  <c r="AD100" i="3"/>
  <c r="AF93" i="3"/>
  <c r="Z88" i="3"/>
  <c r="AF104" i="3"/>
  <c r="Y107" i="3"/>
  <c r="K90" i="3"/>
  <c r="R94" i="3"/>
  <c r="AF86" i="3"/>
  <c r="M85" i="3"/>
  <c r="I105" i="3"/>
  <c r="O101" i="3"/>
  <c r="Q84" i="3"/>
  <c r="V102" i="3"/>
  <c r="Y83" i="3"/>
  <c r="Q87" i="3"/>
  <c r="S94" i="3"/>
  <c r="X78" i="3"/>
  <c r="V85" i="3"/>
  <c r="AH81" i="3"/>
  <c r="AD106" i="3"/>
  <c r="AE83" i="3"/>
  <c r="M97" i="3"/>
  <c r="S91" i="3"/>
  <c r="I102" i="3"/>
  <c r="AA89" i="3"/>
  <c r="AG98" i="3"/>
  <c r="X104" i="3"/>
  <c r="Q81" i="3"/>
  <c r="AG96" i="3"/>
  <c r="L96" i="3"/>
  <c r="N97" i="3"/>
  <c r="X107" i="3"/>
  <c r="F80" i="3"/>
  <c r="K85" i="3"/>
  <c r="AF97" i="3"/>
  <c r="M82" i="3"/>
  <c r="O89" i="3"/>
  <c r="AF82" i="3"/>
  <c r="AB102" i="3"/>
  <c r="AG78" i="3"/>
  <c r="H83" i="3"/>
  <c r="AC86" i="3"/>
  <c r="O80" i="3"/>
  <c r="J98" i="3"/>
  <c r="R103" i="3"/>
  <c r="AC82" i="3"/>
  <c r="S100" i="3"/>
  <c r="U84" i="3"/>
  <c r="L95" i="3"/>
  <c r="P105" i="3"/>
  <c r="G92" i="3"/>
  <c r="AB98" i="3"/>
  <c r="P79" i="3"/>
  <c r="AE86" i="3"/>
  <c r="K100" i="3"/>
  <c r="G78" i="3"/>
  <c r="AI78" i="3"/>
  <c r="F95" i="3"/>
  <c r="AD95" i="3"/>
  <c r="AE82" i="3"/>
  <c r="L85" i="3"/>
  <c r="J91" i="3"/>
  <c r="V83" i="3"/>
  <c r="G95" i="3"/>
  <c r="Z100" i="3"/>
  <c r="T92" i="3"/>
  <c r="AG99" i="3"/>
  <c r="M89" i="3"/>
  <c r="W103" i="3"/>
  <c r="L86" i="3"/>
  <c r="Z99" i="3"/>
  <c r="H88" i="3"/>
  <c r="F97" i="3"/>
  <c r="AG90" i="3"/>
  <c r="AH82" i="3"/>
  <c r="AD83" i="3"/>
  <c r="AB85" i="3"/>
  <c r="I95" i="3"/>
  <c r="G79" i="3"/>
  <c r="AD104" i="3"/>
  <c r="AE91" i="3"/>
  <c r="Y81" i="3"/>
  <c r="Y100" i="3"/>
  <c r="AC94" i="3"/>
  <c r="O87" i="3"/>
  <c r="AG94" i="3"/>
  <c r="AA106" i="3"/>
  <c r="Y94" i="3"/>
  <c r="AH97" i="3"/>
  <c r="U86" i="3"/>
  <c r="J92" i="3"/>
  <c r="M101" i="3"/>
  <c r="AF102" i="3"/>
  <c r="O86" i="3"/>
  <c r="S97" i="3"/>
  <c r="AD88" i="3"/>
  <c r="AH94" i="3"/>
  <c r="R104" i="3"/>
  <c r="AC92" i="3"/>
  <c r="AF96" i="3"/>
  <c r="Z82" i="3"/>
  <c r="R105" i="3"/>
  <c r="N104" i="3"/>
  <c r="S82" i="3"/>
  <c r="K79" i="3"/>
  <c r="H82" i="3"/>
  <c r="O103" i="3"/>
  <c r="I87" i="3"/>
  <c r="V99" i="3"/>
  <c r="AI80" i="3"/>
  <c r="R91" i="3"/>
  <c r="AE89" i="3"/>
  <c r="AA100" i="3"/>
  <c r="M83" i="3"/>
  <c r="G96" i="3"/>
  <c r="AF99" i="3"/>
  <c r="T91" i="3"/>
  <c r="H101" i="3"/>
  <c r="M102" i="3"/>
  <c r="K88" i="3"/>
  <c r="N95" i="3"/>
  <c r="S107" i="3"/>
  <c r="P88" i="3"/>
  <c r="AD86" i="3"/>
  <c r="AD92" i="3"/>
  <c r="Y105" i="3"/>
  <c r="AD96" i="3"/>
  <c r="AI93" i="3"/>
  <c r="V80" i="3"/>
  <c r="S83" i="3"/>
  <c r="AC85" i="3"/>
  <c r="X83" i="3"/>
  <c r="Y82" i="3"/>
  <c r="P95" i="3"/>
  <c r="X92" i="3"/>
  <c r="W99" i="3"/>
  <c r="U105" i="3"/>
  <c r="T93" i="3"/>
  <c r="H84" i="3"/>
  <c r="AD85" i="3"/>
  <c r="Y92" i="3"/>
  <c r="Y93" i="3"/>
  <c r="J86" i="3"/>
  <c r="AH100" i="3"/>
  <c r="N78" i="3"/>
  <c r="AB104" i="3"/>
  <c r="AF100" i="3"/>
  <c r="AE103" i="3"/>
  <c r="V90" i="3"/>
  <c r="AA79" i="3"/>
  <c r="AH92" i="3"/>
  <c r="U99" i="3"/>
  <c r="AA97" i="3"/>
  <c r="J95" i="3"/>
  <c r="F89" i="3"/>
  <c r="I84" i="3"/>
  <c r="H95" i="3"/>
  <c r="T104" i="3"/>
  <c r="V104" i="3"/>
  <c r="R82" i="3"/>
  <c r="V88" i="3"/>
  <c r="AD93" i="3"/>
  <c r="Q102" i="3"/>
  <c r="T101" i="3"/>
  <c r="H107" i="3"/>
  <c r="Z91" i="3"/>
  <c r="F81" i="3"/>
  <c r="F102" i="3"/>
  <c r="I79" i="3"/>
  <c r="M98" i="3"/>
  <c r="AB101" i="3"/>
  <c r="T82" i="3"/>
  <c r="X95" i="3"/>
  <c r="H93" i="3"/>
  <c r="AI98" i="3"/>
  <c r="G84" i="3"/>
  <c r="AD79" i="3"/>
  <c r="G105" i="3"/>
  <c r="S89" i="3"/>
  <c r="I104" i="3"/>
  <c r="Z97" i="3"/>
  <c r="AG104" i="3"/>
  <c r="X99" i="3"/>
  <c r="Q104" i="3"/>
  <c r="AI107" i="3"/>
  <c r="W85" i="3"/>
  <c r="F99" i="3"/>
  <c r="Y98" i="3"/>
  <c r="S85" i="3"/>
  <c r="G93" i="3"/>
  <c r="Y78" i="3"/>
  <c r="AF94" i="3"/>
  <c r="M80" i="3"/>
  <c r="V96" i="3"/>
  <c r="Z104" i="3"/>
  <c r="N90" i="3"/>
  <c r="AH86" i="3"/>
  <c r="O88" i="3"/>
  <c r="U79" i="3"/>
  <c r="X85" i="3"/>
  <c r="F79" i="3"/>
  <c r="M95" i="3"/>
  <c r="N83" i="3"/>
  <c r="AC80" i="3"/>
  <c r="K97" i="3"/>
  <c r="AI104" i="3"/>
  <c r="AE80" i="3"/>
  <c r="U106" i="3"/>
  <c r="W87" i="3"/>
  <c r="AA81" i="3"/>
  <c r="Z98" i="3"/>
  <c r="Z84" i="3"/>
  <c r="Q97" i="3"/>
  <c r="L82" i="3"/>
  <c r="Y88" i="3"/>
  <c r="L81" i="3"/>
  <c r="Q89" i="3"/>
  <c r="AG84" i="3"/>
  <c r="O90" i="3"/>
  <c r="W104" i="3"/>
  <c r="AB86" i="3"/>
  <c r="AA101" i="3"/>
  <c r="X97" i="3"/>
  <c r="I93" i="3"/>
  <c r="O82" i="3"/>
  <c r="W91" i="3"/>
  <c r="R79" i="3"/>
  <c r="O85" i="3"/>
  <c r="L98" i="3"/>
  <c r="AG100" i="3"/>
  <c r="AG89" i="3"/>
  <c r="X94" i="3"/>
  <c r="N102" i="3"/>
  <c r="R107" i="3"/>
  <c r="Q107" i="3"/>
  <c r="AG82" i="3"/>
  <c r="S102" i="3"/>
  <c r="R106" i="3"/>
  <c r="T88" i="3"/>
  <c r="I96" i="3"/>
  <c r="T102" i="3"/>
  <c r="AA90" i="3"/>
  <c r="AA96" i="3"/>
  <c r="K107" i="3"/>
  <c r="AF92" i="3"/>
  <c r="T90" i="3"/>
  <c r="AC87" i="3"/>
  <c r="I100" i="3"/>
  <c r="R96" i="3"/>
  <c r="Z86" i="3"/>
  <c r="AE97" i="3"/>
  <c r="T97" i="3"/>
  <c r="AE81" i="3"/>
  <c r="Q91" i="3"/>
  <c r="K80" i="3"/>
  <c r="Y85" i="3"/>
  <c r="X89" i="3"/>
  <c r="M104" i="3"/>
  <c r="M91" i="3"/>
  <c r="W97" i="3"/>
  <c r="J87" i="3"/>
  <c r="V106" i="3"/>
  <c r="AB87" i="3"/>
  <c r="AC106" i="3"/>
  <c r="W79" i="3"/>
  <c r="AH79" i="3"/>
  <c r="N93" i="3"/>
  <c r="AA95" i="3"/>
  <c r="Y89" i="3"/>
  <c r="Z102" i="3"/>
  <c r="G98" i="3"/>
  <c r="F96" i="3"/>
  <c r="P83" i="3"/>
  <c r="K86" i="3"/>
  <c r="AD84" i="3"/>
  <c r="P91" i="3"/>
  <c r="X91" i="3"/>
  <c r="V92" i="3"/>
  <c r="I80" i="3"/>
  <c r="L90" i="3"/>
  <c r="AA91" i="3"/>
  <c r="Q78" i="3"/>
  <c r="V89" i="3"/>
  <c r="S99" i="3"/>
  <c r="W78" i="3"/>
  <c r="T103" i="3"/>
  <c r="AG83" i="3"/>
  <c r="AC102" i="3"/>
  <c r="AE90" i="3"/>
  <c r="X98" i="3"/>
  <c r="AE105" i="3"/>
  <c r="O96" i="3"/>
  <c r="AC81" i="3"/>
  <c r="H85" i="3"/>
  <c r="J103" i="3"/>
  <c r="I106" i="3"/>
  <c r="AE106" i="3"/>
  <c r="T85" i="3"/>
  <c r="G107" i="3"/>
  <c r="T80" i="3"/>
  <c r="N91" i="3"/>
  <c r="J81" i="3"/>
  <c r="P93" i="3"/>
  <c r="AB79" i="3"/>
  <c r="J83" i="3"/>
  <c r="Q85" i="3"/>
  <c r="AH104" i="3"/>
  <c r="U104" i="3"/>
  <c r="M93" i="3"/>
  <c r="Q99" i="3"/>
  <c r="G101" i="3"/>
  <c r="J84" i="3"/>
  <c r="S87" i="3"/>
  <c r="AG81" i="3"/>
  <c r="S95" i="3"/>
  <c r="Z207" i="3"/>
  <c r="AB218" i="3"/>
  <c r="N195" i="3"/>
  <c r="I211" i="3"/>
  <c r="Q211" i="3"/>
  <c r="AI215" i="3"/>
  <c r="Z199" i="3"/>
  <c r="R217" i="3"/>
  <c r="Y221" i="3"/>
  <c r="AB210" i="3"/>
  <c r="T212" i="3"/>
  <c r="Z203" i="3"/>
  <c r="T210" i="3"/>
  <c r="Y199" i="3"/>
  <c r="J203" i="3"/>
  <c r="Q220" i="3"/>
  <c r="X204" i="3"/>
  <c r="F194" i="3"/>
  <c r="U196" i="3"/>
  <c r="N220" i="3"/>
  <c r="AD202" i="3"/>
  <c r="AD192" i="3"/>
  <c r="AD199" i="3"/>
  <c r="K207" i="3"/>
  <c r="AD194" i="3"/>
  <c r="H205" i="3"/>
  <c r="W204" i="3"/>
  <c r="AE196" i="3"/>
  <c r="AC211" i="3"/>
  <c r="M204" i="3"/>
  <c r="L219" i="3"/>
  <c r="F203" i="3"/>
  <c r="AC195" i="3"/>
  <c r="AA212" i="3"/>
  <c r="L192" i="3"/>
  <c r="I195" i="3"/>
  <c r="Z204" i="3"/>
  <c r="T197" i="3"/>
  <c r="AG197" i="3"/>
  <c r="AB214" i="3"/>
  <c r="AG221" i="3"/>
  <c r="V196" i="3"/>
  <c r="W212" i="3"/>
  <c r="T214" i="3"/>
  <c r="L207" i="3"/>
  <c r="S221" i="3"/>
  <c r="O197" i="3"/>
  <c r="AB202" i="3"/>
  <c r="T194" i="3"/>
  <c r="H211" i="3"/>
  <c r="X219" i="3"/>
  <c r="AE216" i="3"/>
  <c r="P192" i="3"/>
  <c r="P217" i="3"/>
  <c r="R220" i="3"/>
  <c r="AF204" i="3"/>
  <c r="P216" i="3"/>
  <c r="AA215" i="3"/>
  <c r="G196" i="3"/>
  <c r="AD212" i="3"/>
  <c r="O198" i="3"/>
  <c r="AD197" i="3"/>
  <c r="AE195" i="3"/>
  <c r="AF211" i="3"/>
  <c r="K204" i="3"/>
  <c r="K205" i="3"/>
  <c r="R196" i="3"/>
  <c r="M198" i="3"/>
  <c r="F215" i="3"/>
  <c r="S206" i="3"/>
  <c r="W215" i="3"/>
  <c r="Q195" i="3"/>
  <c r="G203" i="3"/>
  <c r="U218" i="3"/>
  <c r="Q201" i="3"/>
  <c r="AE213" i="3"/>
  <c r="Q202" i="3"/>
  <c r="AF193" i="3"/>
  <c r="V193" i="3"/>
  <c r="K192" i="3"/>
  <c r="L195" i="3"/>
  <c r="N221" i="3"/>
  <c r="J214" i="3"/>
  <c r="G215" i="3"/>
  <c r="S217" i="3"/>
  <c r="K208" i="3"/>
  <c r="X221" i="3"/>
  <c r="Y206" i="3"/>
  <c r="K194" i="3"/>
  <c r="Y216" i="3"/>
  <c r="T206" i="3"/>
  <c r="Q208" i="3"/>
  <c r="Z208" i="3"/>
  <c r="V202" i="3"/>
  <c r="H207" i="3"/>
  <c r="J201" i="3"/>
  <c r="AH218" i="3"/>
  <c r="X210" i="3"/>
  <c r="AA201" i="3"/>
  <c r="AG203" i="3"/>
  <c r="V207" i="3"/>
  <c r="V216" i="3"/>
  <c r="R215" i="3"/>
  <c r="N213" i="3"/>
  <c r="U207" i="3"/>
  <c r="L206" i="3"/>
  <c r="AF194" i="3"/>
  <c r="R209" i="3"/>
  <c r="AG210" i="3"/>
  <c r="Y194" i="3"/>
  <c r="V215" i="3"/>
  <c r="V205" i="3"/>
  <c r="AH196" i="3"/>
  <c r="U203" i="3"/>
  <c r="V210" i="3"/>
  <c r="AD220" i="3"/>
  <c r="N198" i="3"/>
  <c r="G217" i="3"/>
  <c r="Q219" i="3"/>
  <c r="L193" i="3"/>
  <c r="H213" i="3"/>
  <c r="F200" i="3"/>
  <c r="U213" i="3"/>
  <c r="Y208" i="3"/>
  <c r="U193" i="3"/>
  <c r="W213" i="3"/>
  <c r="AH200" i="3"/>
  <c r="N204" i="3"/>
  <c r="AE198" i="3"/>
  <c r="Y198" i="3"/>
  <c r="T195" i="3"/>
  <c r="X207" i="3"/>
  <c r="AC200" i="3"/>
  <c r="O195" i="3"/>
  <c r="AI211" i="3"/>
  <c r="G199" i="3"/>
  <c r="M213" i="3"/>
  <c r="AF213" i="3"/>
  <c r="I218" i="3"/>
  <c r="AH203" i="3"/>
  <c r="X196" i="3"/>
  <c r="K196" i="3"/>
  <c r="AG212" i="3"/>
  <c r="AI194" i="3"/>
  <c r="AI196" i="3"/>
  <c r="AI220" i="3"/>
  <c r="S201" i="3"/>
  <c r="W205" i="3"/>
  <c r="T213" i="3"/>
  <c r="T218" i="3"/>
  <c r="AB195" i="3"/>
  <c r="J205" i="3"/>
  <c r="K215" i="3"/>
  <c r="N218" i="3"/>
  <c r="H203" i="3"/>
  <c r="P201" i="3"/>
  <c r="AA220" i="3"/>
  <c r="Y218" i="3"/>
  <c r="AG213" i="3"/>
  <c r="AB204" i="3"/>
  <c r="P214" i="3"/>
  <c r="M219" i="3"/>
  <c r="AF215" i="3"/>
  <c r="X206" i="3"/>
  <c r="Z217" i="3"/>
  <c r="U202" i="3"/>
  <c r="AB201" i="3"/>
  <c r="AB200" i="3"/>
  <c r="L218" i="3"/>
  <c r="AA206" i="3"/>
  <c r="I210" i="3"/>
  <c r="U197" i="3"/>
  <c r="P196" i="3"/>
  <c r="AA209" i="3"/>
  <c r="AC198" i="3"/>
  <c r="AH215" i="3"/>
  <c r="J197" i="3"/>
  <c r="W211" i="3"/>
  <c r="Q204" i="3"/>
  <c r="T217" i="3"/>
  <c r="N206" i="3"/>
  <c r="L196" i="3"/>
  <c r="AA208" i="3"/>
  <c r="L209" i="3"/>
  <c r="AF207" i="3"/>
  <c r="Y204" i="3"/>
  <c r="AC220" i="3"/>
  <c r="AC208" i="3"/>
  <c r="P206" i="3"/>
  <c r="J207" i="3"/>
  <c r="Z209" i="3"/>
  <c r="K212" i="3"/>
  <c r="R219" i="3"/>
  <c r="AA198" i="3"/>
  <c r="F218" i="3"/>
  <c r="Y210" i="3"/>
  <c r="Z212" i="3"/>
  <c r="AG207" i="3"/>
  <c r="N209" i="3"/>
  <c r="H195" i="3"/>
  <c r="T216" i="3"/>
  <c r="Q198" i="3"/>
  <c r="O194" i="3"/>
  <c r="AA217" i="3"/>
  <c r="AI214" i="3"/>
  <c r="AD210" i="3"/>
  <c r="G192" i="3"/>
  <c r="AE197" i="3"/>
  <c r="V209" i="3"/>
  <c r="Q200" i="3"/>
  <c r="AC201" i="3"/>
  <c r="G195" i="3"/>
  <c r="F195" i="3"/>
  <c r="F198" i="3"/>
  <c r="U219" i="3"/>
  <c r="I201" i="3"/>
  <c r="AC197" i="3"/>
  <c r="AB219" i="3"/>
  <c r="X216" i="3"/>
  <c r="V203" i="3"/>
  <c r="R204" i="3"/>
  <c r="H221" i="3"/>
  <c r="AD198" i="3"/>
  <c r="I221" i="3"/>
  <c r="AG217" i="3"/>
  <c r="L212" i="3"/>
  <c r="AE217" i="3"/>
  <c r="AB193" i="3"/>
  <c r="AA207" i="3"/>
  <c r="W206" i="3"/>
  <c r="AG192" i="3"/>
  <c r="M218" i="3"/>
  <c r="G216" i="3"/>
  <c r="AF192" i="3"/>
  <c r="AI217" i="3"/>
  <c r="AA214" i="3"/>
  <c r="S215" i="3"/>
  <c r="W193" i="3"/>
  <c r="R218" i="3"/>
  <c r="Y215" i="3"/>
  <c r="H218" i="3"/>
  <c r="M196" i="3"/>
  <c r="O192" i="3"/>
  <c r="L199" i="3"/>
  <c r="AG206" i="3"/>
  <c r="AG202" i="3"/>
  <c r="AC216" i="3"/>
  <c r="Z214" i="3"/>
  <c r="AB207" i="3"/>
  <c r="AB215" i="3"/>
  <c r="AE209" i="3"/>
  <c r="W216" i="3"/>
  <c r="Z220" i="3"/>
  <c r="F199" i="3"/>
  <c r="L214" i="3"/>
  <c r="X214" i="3"/>
  <c r="P200" i="3"/>
  <c r="O202" i="3"/>
  <c r="Q206" i="3"/>
  <c r="Y196" i="3"/>
  <c r="K219" i="3"/>
  <c r="AE200" i="3"/>
  <c r="P197" i="3"/>
  <c r="K214" i="3"/>
  <c r="S219" i="3"/>
  <c r="T209" i="3"/>
  <c r="V220" i="3"/>
  <c r="N212" i="3"/>
  <c r="U212" i="3"/>
  <c r="AI206" i="3"/>
  <c r="G205" i="3"/>
  <c r="S211" i="3"/>
  <c r="AG218" i="3"/>
  <c r="AA205" i="3"/>
  <c r="M217" i="3"/>
  <c r="F192" i="3"/>
  <c r="X215" i="3"/>
  <c r="U215" i="3"/>
  <c r="W202" i="3"/>
  <c r="AD215" i="3"/>
  <c r="G207" i="3"/>
  <c r="AH221" i="3"/>
  <c r="O206" i="3"/>
  <c r="AC205" i="3"/>
  <c r="Z210" i="3"/>
  <c r="H198" i="3"/>
  <c r="N205" i="3"/>
  <c r="P195" i="3"/>
  <c r="AI198" i="3"/>
  <c r="P219" i="3"/>
  <c r="K197" i="3"/>
  <c r="L202" i="3"/>
  <c r="N210" i="3"/>
  <c r="I200" i="3"/>
  <c r="M214" i="3"/>
  <c r="AC207" i="3"/>
  <c r="T193" i="3"/>
  <c r="K220" i="3"/>
  <c r="AD214" i="3"/>
  <c r="Q192" i="3"/>
  <c r="O205" i="3"/>
  <c r="N193" i="3"/>
  <c r="R203" i="3"/>
  <c r="O208" i="3"/>
  <c r="Z195" i="3"/>
  <c r="F209" i="3"/>
  <c r="S203" i="3"/>
  <c r="M203" i="3"/>
  <c r="X217" i="3"/>
  <c r="W200" i="3"/>
  <c r="P218" i="3"/>
  <c r="AA194" i="3"/>
  <c r="V204" i="3"/>
  <c r="AF199" i="3"/>
  <c r="AE220" i="3"/>
  <c r="L205" i="3"/>
  <c r="S209" i="3"/>
  <c r="U192" i="3"/>
  <c r="Z202" i="3"/>
  <c r="G206" i="3"/>
  <c r="L221" i="3"/>
  <c r="T207" i="3"/>
  <c r="Q217" i="3"/>
  <c r="Y197" i="3"/>
  <c r="G210" i="3"/>
  <c r="X198" i="3"/>
  <c r="U220" i="3"/>
  <c r="F212" i="3"/>
  <c r="X208" i="3"/>
  <c r="P211" i="3"/>
  <c r="S216" i="3"/>
  <c r="X194" i="3"/>
  <c r="I192" i="3"/>
  <c r="O209" i="3"/>
  <c r="R210" i="3"/>
  <c r="AB203" i="3"/>
  <c r="Y201" i="3"/>
  <c r="AH208" i="3"/>
  <c r="S213" i="3"/>
  <c r="AB211" i="3"/>
  <c r="V221" i="3"/>
  <c r="U204" i="3"/>
  <c r="AH213" i="3"/>
  <c r="Z193" i="3"/>
  <c r="W194" i="3"/>
  <c r="J216" i="3"/>
  <c r="I213" i="3"/>
  <c r="U210" i="3"/>
  <c r="T196" i="3"/>
  <c r="AD193" i="3"/>
  <c r="W199" i="3"/>
  <c r="AI221" i="3"/>
  <c r="AF216" i="3"/>
  <c r="I199" i="3"/>
  <c r="J208" i="3"/>
  <c r="AA195" i="3"/>
  <c r="G218" i="3"/>
  <c r="T211" i="3"/>
  <c r="J218" i="3"/>
  <c r="AF205" i="3"/>
  <c r="AB192" i="3"/>
  <c r="P215" i="3"/>
  <c r="V192" i="3"/>
  <c r="Q199" i="3"/>
  <c r="P194" i="3"/>
  <c r="G219" i="3"/>
  <c r="L215" i="3"/>
  <c r="N217" i="3"/>
  <c r="G198" i="3"/>
  <c r="V213" i="3"/>
  <c r="Z218" i="3"/>
  <c r="W192" i="3"/>
  <c r="AE219" i="3"/>
  <c r="AG219" i="3"/>
  <c r="K210" i="3"/>
  <c r="AF212" i="3"/>
  <c r="AB206" i="3"/>
  <c r="AF201" i="3"/>
  <c r="AA203" i="3"/>
  <c r="N211" i="3"/>
  <c r="I204" i="3"/>
  <c r="U195" i="3"/>
  <c r="AF217" i="3"/>
  <c r="T220" i="3"/>
  <c r="R212" i="3"/>
  <c r="K201" i="3"/>
  <c r="L220" i="3"/>
  <c r="AB197" i="3"/>
  <c r="AI193" i="3"/>
  <c r="H220" i="3"/>
  <c r="AE201" i="3"/>
  <c r="T215" i="3"/>
  <c r="AG214" i="3"/>
  <c r="F204" i="3"/>
  <c r="AA200" i="3"/>
  <c r="H209" i="3"/>
  <c r="O210" i="3"/>
  <c r="M209" i="3"/>
  <c r="K202" i="3"/>
  <c r="K199" i="3"/>
  <c r="AA197" i="3"/>
  <c r="AH207" i="3"/>
  <c r="AI199" i="3"/>
  <c r="W195" i="3"/>
  <c r="AG204" i="3"/>
  <c r="AD201" i="3"/>
  <c r="W203" i="3"/>
  <c r="L217" i="3"/>
  <c r="H202" i="3"/>
  <c r="G213" i="3"/>
  <c r="Y203" i="3"/>
  <c r="J195" i="3"/>
  <c r="AH192" i="3"/>
  <c r="M216" i="3"/>
  <c r="AH193" i="3"/>
  <c r="O196" i="3"/>
  <c r="O203" i="3"/>
  <c r="N214" i="3"/>
  <c r="Z216" i="3"/>
  <c r="W207" i="3"/>
  <c r="AF196" i="3"/>
  <c r="Y220" i="3"/>
  <c r="Y217" i="3"/>
  <c r="X193" i="3"/>
  <c r="P207" i="3"/>
  <c r="N216" i="3"/>
  <c r="R200" i="3"/>
  <c r="H192" i="3"/>
  <c r="S210" i="3"/>
  <c r="H196" i="3"/>
  <c r="T219" i="3"/>
  <c r="Q193" i="3"/>
  <c r="AE221" i="3"/>
  <c r="F217" i="3"/>
  <c r="AI203" i="3"/>
  <c r="O213" i="3"/>
  <c r="AA196" i="3"/>
  <c r="O218" i="3"/>
  <c r="F201" i="3"/>
  <c r="AC194" i="3"/>
  <c r="AG193" i="3"/>
  <c r="Q209" i="3"/>
  <c r="Q213" i="3"/>
  <c r="Q197" i="3"/>
  <c r="AI197" i="3"/>
  <c r="AH202" i="3"/>
  <c r="F193" i="3"/>
  <c r="F216" i="3"/>
  <c r="AC203" i="3"/>
  <c r="M211" i="3"/>
  <c r="N194" i="3"/>
  <c r="F214" i="3"/>
  <c r="AA202" i="3"/>
  <c r="AG208" i="3"/>
  <c r="K217" i="3"/>
  <c r="U194" i="3"/>
  <c r="R211" i="3"/>
  <c r="T204" i="3"/>
  <c r="K218" i="3"/>
  <c r="AH197" i="3"/>
  <c r="N202" i="3"/>
  <c r="AB213" i="3"/>
  <c r="V219" i="3"/>
  <c r="AA210" i="3"/>
  <c r="T208" i="3"/>
  <c r="G209" i="3"/>
  <c r="AI209" i="3"/>
  <c r="AF214" i="3"/>
  <c r="S207" i="3"/>
  <c r="AD200" i="3"/>
  <c r="J196" i="3"/>
  <c r="AE202" i="3"/>
  <c r="AB208" i="3"/>
  <c r="AH204" i="3"/>
  <c r="AA219" i="3"/>
  <c r="R192" i="3"/>
  <c r="K213" i="3"/>
  <c r="J206" i="3"/>
  <c r="G212" i="3"/>
  <c r="M208" i="3"/>
  <c r="AE205" i="3"/>
  <c r="AD219" i="3"/>
  <c r="AC192" i="3"/>
  <c r="J219" i="3"/>
  <c r="AE203" i="3"/>
  <c r="S218" i="3"/>
  <c r="AG205" i="3"/>
  <c r="M195" i="3"/>
  <c r="H217" i="3"/>
  <c r="AD207" i="3"/>
  <c r="AG216" i="3"/>
  <c r="Y195" i="3"/>
  <c r="Q205" i="3"/>
  <c r="AC218" i="3"/>
  <c r="AC212" i="3"/>
  <c r="AC213" i="3"/>
  <c r="M200" i="3"/>
  <c r="H215" i="3"/>
  <c r="AC199" i="3"/>
  <c r="AI213" i="3"/>
  <c r="Y211" i="3"/>
  <c r="AE192" i="3"/>
  <c r="AI210" i="3"/>
  <c r="O212" i="3"/>
  <c r="K209" i="3"/>
  <c r="W209" i="3"/>
  <c r="V217" i="3"/>
  <c r="M221" i="3"/>
  <c r="I207" i="3"/>
  <c r="H204" i="3"/>
  <c r="AF206" i="3"/>
  <c r="AE206" i="3"/>
  <c r="G197" i="3"/>
  <c r="P210" i="3"/>
  <c r="AD195" i="3"/>
  <c r="M207" i="3"/>
  <c r="AG220" i="3"/>
  <c r="AD217" i="3"/>
  <c r="O204" i="3"/>
  <c r="R208" i="3"/>
  <c r="AC215" i="3"/>
  <c r="W221" i="3"/>
  <c r="H200" i="3"/>
  <c r="L210" i="3"/>
  <c r="AD211" i="3"/>
  <c r="R214" i="3"/>
  <c r="AC214" i="3"/>
  <c r="F205" i="3"/>
  <c r="H214" i="3"/>
  <c r="O217" i="3"/>
  <c r="AA192" i="3"/>
  <c r="AG200" i="3"/>
  <c r="I202" i="3"/>
  <c r="M205" i="3"/>
  <c r="J210" i="3"/>
  <c r="R206" i="3"/>
  <c r="I209" i="3"/>
  <c r="N192" i="3"/>
  <c r="O211" i="3"/>
  <c r="R194" i="3"/>
  <c r="J215" i="3"/>
  <c r="Y207" i="3"/>
  <c r="P220" i="3"/>
  <c r="AH216" i="3"/>
  <c r="W208" i="3"/>
  <c r="M193" i="3"/>
  <c r="M194" i="3"/>
  <c r="L216" i="3"/>
  <c r="U221" i="3"/>
  <c r="AE204" i="3"/>
  <c r="X201" i="3"/>
  <c r="R221" i="3"/>
  <c r="J221" i="3"/>
  <c r="U198" i="3"/>
  <c r="AF221" i="3"/>
  <c r="N197" i="3"/>
  <c r="AB199" i="3"/>
  <c r="AF198" i="3"/>
  <c r="R213" i="3"/>
  <c r="Q203" i="3"/>
  <c r="X205" i="3"/>
  <c r="O216" i="3"/>
  <c r="H197" i="3"/>
  <c r="W218" i="3"/>
  <c r="Z201" i="3"/>
  <c r="AA216" i="3"/>
  <c r="S204" i="3"/>
  <c r="AE210" i="3"/>
  <c r="P221" i="3"/>
  <c r="J211" i="3"/>
  <c r="I205" i="3"/>
  <c r="J192" i="3"/>
  <c r="I215" i="3"/>
  <c r="L211" i="3"/>
  <c r="W219" i="3"/>
  <c r="J217" i="3"/>
  <c r="K203" i="3"/>
  <c r="X212" i="3"/>
  <c r="N219" i="3"/>
  <c r="M206" i="3"/>
  <c r="T202" i="3"/>
  <c r="M210" i="3"/>
  <c r="AC209" i="3"/>
  <c r="AC193" i="3"/>
  <c r="AD216" i="3"/>
  <c r="X209" i="3"/>
  <c r="Z221" i="3"/>
  <c r="G220" i="3"/>
  <c r="AD196" i="3"/>
  <c r="AC210" i="3"/>
  <c r="O200" i="3"/>
  <c r="I193" i="3"/>
  <c r="W217" i="3"/>
  <c r="Z197" i="3"/>
  <c r="S192" i="3"/>
  <c r="Q194" i="3"/>
  <c r="AB217" i="3"/>
  <c r="AB198" i="3"/>
  <c r="T221" i="3"/>
  <c r="P204" i="3"/>
  <c r="Q216" i="3"/>
  <c r="L208" i="3"/>
  <c r="S195" i="3"/>
  <c r="V208" i="3"/>
  <c r="AF195" i="3"/>
  <c r="V206" i="3"/>
  <c r="N207" i="3"/>
  <c r="AE218" i="3"/>
  <c r="U208" i="3"/>
  <c r="Y214" i="3"/>
  <c r="Y213" i="3"/>
  <c r="M212" i="3"/>
  <c r="K216" i="3"/>
  <c r="P205" i="3"/>
  <c r="W214" i="3"/>
  <c r="K193" i="3"/>
  <c r="U205" i="3"/>
  <c r="Y205" i="3"/>
  <c r="AI195" i="3"/>
  <c r="O219" i="3"/>
  <c r="AF220" i="3"/>
  <c r="V197" i="3"/>
  <c r="H208" i="3"/>
  <c r="AC217" i="3"/>
  <c r="AG199" i="3"/>
  <c r="Z215" i="3"/>
  <c r="W197" i="3"/>
  <c r="AD221" i="3"/>
  <c r="J204" i="3"/>
  <c r="AF202" i="3"/>
  <c r="N215" i="3"/>
  <c r="AG211" i="3"/>
  <c r="G202" i="3"/>
  <c r="S194" i="3"/>
  <c r="AE194" i="3"/>
  <c r="V218" i="3"/>
  <c r="V199" i="3"/>
  <c r="S220" i="3"/>
  <c r="N201" i="3"/>
  <c r="K221" i="3"/>
  <c r="M215" i="3"/>
  <c r="F219" i="3"/>
  <c r="N200" i="3"/>
  <c r="AH209" i="3"/>
  <c r="M202" i="3"/>
  <c r="AE215" i="3"/>
  <c r="Y193" i="3"/>
  <c r="S214" i="3"/>
  <c r="O201" i="3"/>
  <c r="U200" i="3"/>
  <c r="T201" i="3"/>
  <c r="I197" i="3"/>
  <c r="I214" i="3"/>
  <c r="T192" i="3"/>
  <c r="AG195" i="3"/>
  <c r="I198" i="3"/>
  <c r="AA199" i="3"/>
  <c r="AI205" i="3"/>
  <c r="AH194" i="3"/>
  <c r="AG209" i="3"/>
  <c r="Z194" i="3"/>
  <c r="L198" i="3"/>
  <c r="AC202" i="3"/>
  <c r="Z206" i="3"/>
  <c r="Z213" i="3"/>
  <c r="AE214" i="3"/>
  <c r="J209" i="3"/>
  <c r="I216" i="3"/>
  <c r="N199" i="3"/>
  <c r="AD205" i="3"/>
  <c r="G193" i="3"/>
  <c r="AC206" i="3"/>
  <c r="H206" i="3"/>
  <c r="Q210" i="3"/>
  <c r="T205" i="3"/>
  <c r="AH219" i="3"/>
  <c r="F207" i="3"/>
  <c r="G208" i="3"/>
  <c r="S205" i="3"/>
  <c r="AF200" i="3"/>
  <c r="K206" i="3"/>
  <c r="AG194" i="3"/>
  <c r="J200" i="3"/>
  <c r="P193" i="3"/>
  <c r="X200" i="3"/>
  <c r="AI202" i="3"/>
  <c r="AI216" i="3"/>
  <c r="J199" i="3"/>
  <c r="AE199" i="3"/>
  <c r="F213" i="3"/>
  <c r="W220" i="3"/>
  <c r="AH199" i="3"/>
  <c r="V200" i="3"/>
  <c r="AH195" i="3"/>
  <c r="I203" i="3"/>
  <c r="V201" i="3"/>
  <c r="N208" i="3"/>
  <c r="K211" i="3"/>
  <c r="R201" i="3"/>
  <c r="AB194" i="3"/>
  <c r="W198" i="3"/>
  <c r="Y192" i="3"/>
  <c r="AG201" i="3"/>
  <c r="AH198" i="3"/>
  <c r="AE212" i="3"/>
  <c r="Z198" i="3"/>
  <c r="O220" i="3"/>
  <c r="V214" i="3"/>
  <c r="R193" i="3"/>
  <c r="U214" i="3"/>
  <c r="O207" i="3"/>
  <c r="W196" i="3"/>
  <c r="AH217" i="3"/>
  <c r="V194" i="3"/>
  <c r="T200" i="3"/>
  <c r="Z192" i="3"/>
  <c r="AH201" i="3"/>
  <c r="S196" i="3"/>
  <c r="X203" i="3"/>
  <c r="Q196" i="3"/>
  <c r="AC204" i="3"/>
  <c r="AH214" i="3"/>
  <c r="AE193" i="3"/>
  <c r="I219" i="3"/>
  <c r="AD203" i="3"/>
  <c r="V212" i="3"/>
  <c r="P212" i="3"/>
  <c r="U206" i="3"/>
  <c r="J194" i="3"/>
  <c r="I208" i="3"/>
  <c r="P199" i="3"/>
  <c r="H193" i="3"/>
  <c r="AE207" i="3"/>
  <c r="F197" i="3"/>
  <c r="AF208" i="3"/>
  <c r="J202" i="3"/>
  <c r="AD209" i="3"/>
  <c r="AA211" i="3"/>
  <c r="AB216" i="3"/>
  <c r="AF40" i="2"/>
  <c r="T19" i="2"/>
  <c r="U25" i="2"/>
  <c r="AK39" i="2"/>
  <c r="V26" i="2"/>
  <c r="AG18" i="2"/>
  <c r="AP38" i="2"/>
  <c r="AL38" i="2"/>
  <c r="AF30" i="2"/>
  <c r="AM35" i="2"/>
  <c r="AO24" i="2"/>
  <c r="AL45" i="2"/>
  <c r="S25" i="2"/>
  <c r="AI42" i="2"/>
  <c r="AK41" i="2"/>
  <c r="AD46" i="2"/>
  <c r="AF27" i="2"/>
  <c r="W46" i="2"/>
  <c r="U37" i="2"/>
  <c r="AK26" i="2"/>
  <c r="AA29" i="2"/>
  <c r="Z37" i="2"/>
  <c r="X23" i="2"/>
  <c r="AQ27" i="2"/>
  <c r="AD45" i="2"/>
  <c r="W32" i="2"/>
  <c r="X41" i="2"/>
  <c r="AO42" i="2"/>
  <c r="Q29" i="2"/>
  <c r="AA36" i="2"/>
  <c r="X32" i="2"/>
  <c r="AP33" i="2"/>
  <c r="AQ19" i="2"/>
  <c r="AI37" i="2"/>
  <c r="P42" i="2"/>
  <c r="Q37" i="2"/>
  <c r="AO37" i="2"/>
  <c r="V35" i="2"/>
  <c r="AK23" i="2"/>
  <c r="N37" i="2"/>
  <c r="O41" i="2"/>
  <c r="Q44" i="2"/>
  <c r="AD22" i="2"/>
  <c r="AG43" i="2"/>
  <c r="X40" i="2"/>
  <c r="X37" i="2"/>
  <c r="R32" i="2"/>
  <c r="O18" i="2"/>
  <c r="AE45" i="2"/>
  <c r="V40" i="2"/>
  <c r="W33" i="2"/>
  <c r="Y45" i="2"/>
  <c r="AG33" i="2"/>
  <c r="AN34" i="2"/>
  <c r="AQ29" i="2"/>
  <c r="AG47" i="2"/>
  <c r="AC27" i="2"/>
  <c r="AD27" i="2"/>
  <c r="W45" i="2"/>
  <c r="P46" i="2"/>
  <c r="Q42" i="2"/>
  <c r="O37" i="2"/>
  <c r="R18" i="2"/>
  <c r="AN22" i="2"/>
  <c r="AF44" i="2"/>
  <c r="AO45" i="2"/>
  <c r="R28" i="2"/>
  <c r="AB47" i="2"/>
  <c r="AD21" i="2"/>
  <c r="U23" i="2"/>
  <c r="Q45" i="2"/>
  <c r="AJ21" i="2"/>
  <c r="AE31" i="2"/>
  <c r="Y44" i="2"/>
  <c r="AO40" i="2"/>
  <c r="AK45" i="2"/>
  <c r="AB41" i="2"/>
  <c r="AQ33" i="2"/>
  <c r="AE18" i="2"/>
  <c r="AF28" i="2"/>
  <c r="AQ18" i="2"/>
  <c r="AC28" i="2"/>
  <c r="O35" i="2"/>
  <c r="AC47" i="2"/>
  <c r="AD26" i="2"/>
  <c r="U41" i="2"/>
  <c r="U33" i="2"/>
  <c r="N19" i="2"/>
  <c r="AO21" i="2"/>
  <c r="V47" i="2"/>
  <c r="AC29" i="2"/>
  <c r="V46" i="2"/>
  <c r="Z24" i="2"/>
  <c r="Y27" i="2"/>
  <c r="V24" i="2"/>
  <c r="W29" i="2"/>
  <c r="S36" i="2"/>
  <c r="T41" i="2"/>
  <c r="AJ42" i="2"/>
  <c r="Y24" i="2"/>
  <c r="Z35" i="2"/>
  <c r="V27" i="2"/>
  <c r="AM38" i="2"/>
  <c r="AQ28" i="2"/>
  <c r="S38" i="2"/>
  <c r="T45" i="2"/>
  <c r="S43" i="2"/>
  <c r="O38" i="2"/>
  <c r="AD23" i="2"/>
  <c r="AK29" i="2"/>
  <c r="V30" i="2"/>
  <c r="AP30" i="2"/>
  <c r="N47" i="2"/>
  <c r="U45" i="2"/>
  <c r="Q47" i="2"/>
  <c r="AJ47" i="2"/>
  <c r="AL34" i="2"/>
  <c r="V29" i="2"/>
  <c r="AF20" i="2"/>
  <c r="AI19" i="2"/>
  <c r="AD20" i="2"/>
  <c r="AN32" i="2"/>
  <c r="AH24" i="2"/>
  <c r="Z27" i="2"/>
  <c r="AJ27" i="2"/>
  <c r="S18" i="2"/>
  <c r="AQ34" i="2"/>
  <c r="T37" i="2"/>
  <c r="Y34" i="2"/>
  <c r="AF18" i="2"/>
  <c r="AC35" i="2"/>
  <c r="R30" i="2"/>
  <c r="AJ32" i="2"/>
  <c r="O20" i="2"/>
  <c r="T23" i="2"/>
  <c r="AO41" i="2"/>
  <c r="AL21" i="2"/>
  <c r="X42" i="2"/>
  <c r="X39" i="2"/>
  <c r="U21" i="2"/>
  <c r="AK37" i="2"/>
  <c r="AB20" i="2"/>
  <c r="Z40" i="2"/>
  <c r="P19" i="2"/>
  <c r="AP44" i="2"/>
  <c r="AL41" i="2"/>
  <c r="N32" i="2"/>
  <c r="W36" i="2"/>
  <c r="AM24" i="2"/>
  <c r="Y38" i="2"/>
  <c r="AQ42" i="2"/>
  <c r="N18" i="2"/>
  <c r="AL23" i="2"/>
  <c r="N42" i="2"/>
  <c r="AA45" i="2"/>
  <c r="AB35" i="2"/>
  <c r="X38" i="2"/>
  <c r="AK18" i="2"/>
  <c r="AB34" i="2"/>
  <c r="AJ29" i="2"/>
  <c r="AL37" i="2"/>
  <c r="AJ45" i="2"/>
  <c r="AP27" i="2"/>
  <c r="AO25" i="2"/>
  <c r="U29" i="2"/>
  <c r="S46" i="2"/>
  <c r="T31" i="2"/>
  <c r="AH26" i="2"/>
  <c r="AN27" i="2"/>
  <c r="AA21" i="2"/>
  <c r="AM46" i="2"/>
  <c r="W20" i="2"/>
  <c r="AB18" i="2"/>
  <c r="W28" i="2"/>
  <c r="O27" i="2"/>
  <c r="AD32" i="2"/>
  <c r="N45" i="2"/>
  <c r="AQ30" i="2"/>
  <c r="Y21" i="2"/>
  <c r="AN43" i="2"/>
  <c r="AQ40" i="2"/>
  <c r="T33" i="2"/>
  <c r="AN47" i="2"/>
  <c r="P38" i="2"/>
  <c r="AH31" i="2"/>
  <c r="AH29" i="2"/>
  <c r="AJ19" i="2"/>
  <c r="P33" i="2"/>
  <c r="W24" i="2"/>
  <c r="AD36" i="2"/>
  <c r="Q19" i="2"/>
  <c r="AJ36" i="2"/>
  <c r="AL35" i="2"/>
  <c r="AH41" i="2"/>
  <c r="Q30" i="2"/>
  <c r="R20" i="2"/>
  <c r="AB44" i="2"/>
  <c r="N39" i="2"/>
  <c r="Z25" i="2"/>
  <c r="AN23" i="2"/>
  <c r="AD34" i="2"/>
  <c r="Y31" i="2"/>
  <c r="S45" i="2"/>
  <c r="AH33" i="2"/>
  <c r="AG24" i="2"/>
  <c r="AK20" i="2"/>
  <c r="AB28" i="2"/>
  <c r="AO23" i="2"/>
  <c r="Z26" i="2"/>
  <c r="Z43" i="2"/>
  <c r="AI36" i="2"/>
  <c r="AK43" i="2"/>
  <c r="T34" i="2"/>
  <c r="Z31" i="2"/>
  <c r="AH27" i="2"/>
  <c r="W22" i="2"/>
  <c r="S21" i="2"/>
  <c r="AF23" i="2"/>
  <c r="T32" i="2"/>
  <c r="O32" i="2"/>
  <c r="W47" i="2"/>
  <c r="R42" i="2"/>
  <c r="AO22" i="2"/>
  <c r="AO29" i="2"/>
  <c r="AB32" i="2"/>
  <c r="X24" i="2"/>
  <c r="AN39" i="2"/>
  <c r="T25" i="2"/>
  <c r="AO28" i="2"/>
  <c r="AI20" i="2"/>
  <c r="R38" i="2"/>
  <c r="N40" i="2"/>
  <c r="AI33" i="2"/>
  <c r="U20" i="2"/>
  <c r="AA18" i="2"/>
  <c r="AC34" i="2"/>
  <c r="AO46" i="2"/>
  <c r="AK42" i="2"/>
  <c r="S33" i="2"/>
  <c r="AH21" i="2"/>
  <c r="AC22" i="2"/>
  <c r="Z47" i="2"/>
  <c r="AF19" i="2"/>
  <c r="O28" i="2"/>
  <c r="AQ36" i="2"/>
  <c r="S27" i="2"/>
  <c r="AM42" i="2"/>
  <c r="S47" i="2"/>
  <c r="Y32" i="2"/>
  <c r="T21" i="2"/>
  <c r="AP46" i="2"/>
  <c r="AP40" i="2"/>
  <c r="AO31" i="2"/>
  <c r="AD18" i="2"/>
  <c r="AA42" i="2"/>
  <c r="AP22" i="2"/>
  <c r="N44" i="2"/>
  <c r="V28" i="2"/>
  <c r="AA22" i="2"/>
  <c r="AN38" i="2"/>
  <c r="AJ25" i="2"/>
  <c r="AE46" i="2"/>
  <c r="AP45" i="2"/>
  <c r="AH35" i="2"/>
  <c r="N38" i="2"/>
  <c r="AI23" i="2"/>
  <c r="AG39" i="2"/>
  <c r="AP37" i="2"/>
  <c r="P21" i="2"/>
  <c r="T28" i="2"/>
  <c r="N20" i="2"/>
  <c r="AF26" i="2"/>
  <c r="AI34" i="2"/>
  <c r="AE19" i="2"/>
  <c r="AK38" i="2"/>
  <c r="AK30" i="2"/>
  <c r="AK35" i="2"/>
  <c r="AQ35" i="2"/>
  <c r="N29" i="2"/>
  <c r="AM27" i="2"/>
  <c r="AN44" i="2"/>
  <c r="AG26" i="2"/>
  <c r="AH19" i="2"/>
  <c r="AN45" i="2"/>
  <c r="U30" i="2"/>
  <c r="R43" i="2"/>
  <c r="V25" i="2"/>
  <c r="W25" i="2"/>
  <c r="AB26" i="2"/>
  <c r="P47" i="2"/>
  <c r="Q34" i="2"/>
  <c r="AL46" i="2"/>
  <c r="AC33" i="2"/>
  <c r="AF46" i="2"/>
  <c r="R31" i="2"/>
  <c r="AE37" i="2"/>
  <c r="AP43" i="2"/>
  <c r="AM19" i="2"/>
  <c r="AA47" i="2"/>
  <c r="Y42" i="2"/>
  <c r="AI38" i="2"/>
  <c r="AD44" i="2"/>
  <c r="AF45" i="2"/>
  <c r="AE22" i="2"/>
  <c r="AI39" i="2"/>
  <c r="Q38" i="2"/>
  <c r="Y30" i="2"/>
  <c r="X35" i="2"/>
  <c r="T36" i="2"/>
  <c r="Q21" i="2"/>
  <c r="AG42" i="2"/>
  <c r="AJ20" i="2"/>
  <c r="AN25" i="2"/>
  <c r="AN40" i="2"/>
  <c r="Y26" i="2"/>
  <c r="AG40" i="2"/>
  <c r="T18" i="2"/>
  <c r="S42" i="2"/>
  <c r="AC19" i="2"/>
  <c r="S29" i="2"/>
  <c r="AK31" i="2"/>
  <c r="AA23" i="2"/>
  <c r="AP31" i="2"/>
  <c r="AC44" i="2"/>
  <c r="AP34" i="2"/>
  <c r="Z29" i="2"/>
  <c r="P44" i="2"/>
  <c r="AG585" i="3"/>
  <c r="S585" i="3"/>
  <c r="S591" i="3"/>
  <c r="AH579" i="3"/>
  <c r="Y580" i="3"/>
  <c r="Z598" i="3"/>
  <c r="F587" i="3"/>
  <c r="K587" i="3"/>
  <c r="G593" i="3"/>
  <c r="T575" i="3"/>
  <c r="AA581" i="3"/>
  <c r="V598" i="3"/>
  <c r="G575" i="3"/>
  <c r="I593" i="3"/>
  <c r="X580" i="3"/>
  <c r="J583" i="3"/>
  <c r="AA580" i="3"/>
  <c r="AB595" i="3"/>
  <c r="U586" i="3"/>
  <c r="T591" i="3"/>
  <c r="AE598" i="3"/>
  <c r="I588" i="3"/>
  <c r="G601" i="3"/>
  <c r="AF578" i="3"/>
  <c r="X594" i="3"/>
  <c r="AD594" i="3"/>
  <c r="X574" i="3"/>
  <c r="AF573" i="3"/>
  <c r="Q593" i="3"/>
  <c r="K597" i="3"/>
  <c r="AB599" i="3"/>
  <c r="AE597" i="3"/>
  <c r="P575" i="3"/>
  <c r="L584" i="3"/>
  <c r="F598" i="3"/>
  <c r="K583" i="3"/>
  <c r="AI601" i="3"/>
  <c r="O579" i="3"/>
  <c r="AG574" i="3"/>
  <c r="R587" i="3"/>
  <c r="P578" i="3"/>
  <c r="U590" i="3"/>
  <c r="G595" i="3"/>
  <c r="J591" i="3"/>
  <c r="AG600" i="3"/>
  <c r="V594" i="3"/>
  <c r="G580" i="3"/>
  <c r="T587" i="3"/>
  <c r="L600" i="3"/>
  <c r="AC594" i="3"/>
  <c r="AA599" i="3"/>
  <c r="W574" i="3"/>
  <c r="V579" i="3"/>
  <c r="H585" i="3"/>
  <c r="W588" i="3"/>
  <c r="AD598" i="3"/>
  <c r="T596" i="3"/>
  <c r="X584" i="3"/>
  <c r="Q575" i="3"/>
  <c r="N582" i="3"/>
  <c r="V599" i="3"/>
  <c r="X577" i="3"/>
  <c r="G585" i="3"/>
  <c r="W595" i="3"/>
  <c r="K577" i="3"/>
  <c r="X599" i="3"/>
  <c r="AF584" i="3"/>
  <c r="O599" i="3"/>
  <c r="AB574" i="3"/>
  <c r="W592" i="3"/>
  <c r="AG578" i="3"/>
  <c r="P592" i="3"/>
  <c r="S576" i="3"/>
  <c r="U595" i="3"/>
  <c r="U577" i="3"/>
  <c r="K591" i="3"/>
  <c r="T598" i="3"/>
  <c r="Z588" i="3"/>
  <c r="R573" i="3"/>
  <c r="H582" i="3"/>
  <c r="G599" i="3"/>
  <c r="Q596" i="3"/>
  <c r="R591" i="3"/>
  <c r="AB581" i="3"/>
  <c r="L599" i="3"/>
  <c r="AI572" i="3"/>
  <c r="S579" i="3"/>
  <c r="U583" i="3"/>
  <c r="AI589" i="3"/>
  <c r="S590" i="3"/>
  <c r="W600" i="3"/>
  <c r="G578" i="3"/>
  <c r="Z599" i="3"/>
  <c r="S574" i="3"/>
  <c r="L578" i="3"/>
  <c r="AE573" i="3"/>
  <c r="AF596" i="3"/>
  <c r="U580" i="3"/>
  <c r="AI595" i="3"/>
  <c r="P577" i="3"/>
  <c r="G597" i="3"/>
  <c r="I594" i="3"/>
  <c r="AC582" i="3"/>
  <c r="J573" i="3"/>
  <c r="AG591" i="3"/>
  <c r="L593" i="3"/>
  <c r="AF579" i="3"/>
  <c r="O572" i="3"/>
  <c r="V601" i="3"/>
  <c r="AF575" i="3"/>
  <c r="T576" i="3"/>
  <c r="AG575" i="3"/>
  <c r="R600" i="3"/>
  <c r="R585" i="3"/>
  <c r="AI582" i="3"/>
  <c r="W601" i="3"/>
  <c r="J588" i="3"/>
  <c r="AG594" i="3"/>
  <c r="K572" i="3"/>
  <c r="AA578" i="3"/>
  <c r="N599" i="3"/>
  <c r="G576" i="3"/>
  <c r="R578" i="3"/>
  <c r="Y590" i="3"/>
  <c r="AH592" i="3"/>
  <c r="AF577" i="3"/>
  <c r="T579" i="3"/>
  <c r="K590" i="3"/>
  <c r="H591" i="3"/>
  <c r="Q577" i="3"/>
  <c r="AF587" i="3"/>
  <c r="S575" i="3"/>
  <c r="AI584" i="3"/>
  <c r="K598" i="3"/>
  <c r="I577" i="3"/>
  <c r="H590" i="3"/>
  <c r="Y594" i="3"/>
  <c r="X582" i="3"/>
  <c r="R576" i="3"/>
  <c r="L594" i="3"/>
  <c r="O598" i="3"/>
  <c r="T593" i="3"/>
  <c r="AA576" i="3"/>
  <c r="V588" i="3"/>
  <c r="AA589" i="3"/>
  <c r="U598" i="3"/>
  <c r="AF582" i="3"/>
  <c r="Z574" i="3"/>
  <c r="O590" i="3"/>
  <c r="AG598" i="3"/>
  <c r="M588" i="3"/>
  <c r="H574" i="3"/>
  <c r="AF588" i="3"/>
  <c r="O574" i="3"/>
  <c r="K592" i="3"/>
  <c r="AD574" i="3"/>
  <c r="K584" i="3"/>
  <c r="N576" i="3"/>
  <c r="AF594" i="3"/>
  <c r="N586" i="3"/>
  <c r="J593" i="3"/>
  <c r="AC591" i="3"/>
  <c r="AE577" i="3"/>
  <c r="R579" i="3"/>
  <c r="P589" i="3"/>
  <c r="AI599" i="3"/>
  <c r="M598" i="3"/>
  <c r="AG592" i="3"/>
  <c r="AE581" i="3"/>
  <c r="I579" i="3"/>
  <c r="O581" i="3"/>
  <c r="Y593" i="3"/>
  <c r="M599" i="3"/>
  <c r="X581" i="3"/>
  <c r="N588" i="3"/>
  <c r="O576" i="3"/>
  <c r="AB601" i="3"/>
  <c r="G582" i="3"/>
  <c r="T584" i="3"/>
  <c r="V600" i="3"/>
  <c r="AD595" i="3"/>
  <c r="F585" i="3"/>
  <c r="AE574" i="3"/>
  <c r="T577" i="3"/>
  <c r="J581" i="3"/>
  <c r="AI575" i="3"/>
  <c r="V583" i="3"/>
  <c r="G589" i="3"/>
  <c r="Y581" i="3"/>
  <c r="R590" i="3"/>
  <c r="T572" i="3"/>
  <c r="AA585" i="3"/>
  <c r="AA597" i="3"/>
  <c r="L582" i="3"/>
  <c r="W572" i="3"/>
  <c r="T594" i="3"/>
  <c r="Z592" i="3"/>
  <c r="F584" i="3"/>
  <c r="AD581" i="3"/>
  <c r="AH574" i="3"/>
  <c r="P598" i="3"/>
  <c r="AG573" i="3"/>
  <c r="AF572" i="3"/>
  <c r="N577" i="3"/>
  <c r="N597" i="3"/>
  <c r="G574" i="3"/>
  <c r="F572" i="3"/>
  <c r="F575" i="3"/>
  <c r="V576" i="3"/>
  <c r="U578" i="3"/>
  <c r="P597" i="3"/>
  <c r="P590" i="3"/>
  <c r="Z589" i="3"/>
  <c r="S572" i="3"/>
  <c r="F599" i="3"/>
  <c r="AE595" i="3"/>
  <c r="AF580" i="3"/>
  <c r="S584" i="3"/>
  <c r="O580" i="3"/>
  <c r="AI576" i="3"/>
  <c r="AA590" i="3"/>
  <c r="X597" i="3"/>
  <c r="I572" i="3"/>
  <c r="P594" i="3"/>
  <c r="H583" i="3"/>
  <c r="U596" i="3"/>
  <c r="U574" i="3"/>
  <c r="U600" i="3"/>
  <c r="AB597" i="3"/>
  <c r="P596" i="3"/>
  <c r="Y591" i="3"/>
  <c r="K580" i="3"/>
  <c r="Z601" i="3"/>
  <c r="G573" i="3"/>
  <c r="AB582" i="3"/>
  <c r="Z586" i="3"/>
  <c r="M592" i="3"/>
  <c r="P599" i="3"/>
  <c r="AG599" i="3"/>
  <c r="J575" i="3"/>
  <c r="O584" i="3"/>
  <c r="S577" i="3"/>
  <c r="AC585" i="3"/>
  <c r="AA586" i="3"/>
  <c r="AH590" i="3"/>
  <c r="U599" i="3"/>
  <c r="Z575" i="3"/>
  <c r="U591" i="3"/>
  <c r="J596" i="3"/>
  <c r="H573" i="3"/>
  <c r="U579" i="3"/>
  <c r="J598" i="3"/>
  <c r="L596" i="3"/>
  <c r="AC589" i="3"/>
  <c r="Y575" i="3"/>
  <c r="V597" i="3"/>
  <c r="AD577" i="3"/>
  <c r="M574" i="3"/>
  <c r="H595" i="3"/>
  <c r="AC574" i="3"/>
  <c r="AB584" i="3"/>
  <c r="U584" i="3"/>
  <c r="C725" i="3"/>
  <c r="C155" i="3"/>
  <c r="C117" i="3"/>
  <c r="C421" i="3"/>
  <c r="C193" i="3"/>
  <c r="C649" i="3"/>
  <c r="C345" i="3"/>
  <c r="C269" i="3"/>
  <c r="K31" i="3"/>
  <c r="K16" i="3"/>
  <c r="C687" i="3"/>
  <c r="C383" i="3"/>
  <c r="C497" i="3"/>
  <c r="C307" i="3"/>
  <c r="C611" i="3"/>
  <c r="C231" i="3"/>
  <c r="C79" i="3"/>
  <c r="C535" i="3"/>
  <c r="C573" i="3"/>
  <c r="Q549" i="3"/>
  <c r="AI671" i="3"/>
  <c r="AA670" i="3"/>
  <c r="Z661" i="3"/>
  <c r="H663" i="3"/>
  <c r="W675" i="3"/>
  <c r="AD677" i="3"/>
  <c r="L654" i="3"/>
  <c r="S676" i="3"/>
  <c r="N673" i="3"/>
  <c r="AF662" i="3"/>
  <c r="F670" i="3"/>
  <c r="J652" i="3"/>
  <c r="AB670" i="3"/>
  <c r="N664" i="3"/>
  <c r="X656" i="3"/>
  <c r="AG649" i="3"/>
  <c r="P659" i="3"/>
  <c r="X677" i="3"/>
  <c r="J664" i="3"/>
  <c r="Z657" i="3"/>
  <c r="AI669" i="3"/>
  <c r="AA665" i="3"/>
  <c r="H660" i="3"/>
  <c r="AA671" i="3"/>
  <c r="X675" i="3"/>
  <c r="O670" i="3"/>
  <c r="R656" i="3"/>
  <c r="K676" i="3"/>
  <c r="AF676" i="3"/>
  <c r="X659" i="3"/>
  <c r="P654" i="3"/>
  <c r="AE656" i="3"/>
  <c r="P649" i="3"/>
  <c r="F671" i="3"/>
  <c r="AF649" i="3"/>
  <c r="AB675" i="3"/>
  <c r="G648" i="3"/>
  <c r="Z656" i="3"/>
  <c r="V131" i="3"/>
  <c r="AH549" i="3"/>
  <c r="R654" i="3"/>
  <c r="AC670" i="3"/>
  <c r="AE677" i="3"/>
  <c r="M669" i="3"/>
  <c r="V668" i="3"/>
  <c r="AI670" i="3"/>
  <c r="P668" i="3"/>
  <c r="S663" i="3"/>
  <c r="F664" i="3"/>
  <c r="T674" i="3"/>
  <c r="S665" i="3"/>
  <c r="AD663" i="3"/>
  <c r="O665" i="3"/>
  <c r="AF669" i="3"/>
  <c r="AB652" i="3"/>
  <c r="AC650" i="3"/>
  <c r="Y661" i="3"/>
  <c r="K674" i="3"/>
  <c r="AH670" i="3"/>
  <c r="AA657" i="3"/>
  <c r="AC676" i="3"/>
  <c r="R664" i="3"/>
  <c r="K667" i="3"/>
  <c r="R658" i="3"/>
  <c r="V652" i="3"/>
  <c r="I664" i="3"/>
  <c r="AF664" i="3"/>
  <c r="N666" i="3"/>
  <c r="I667" i="3"/>
  <c r="N651" i="3"/>
  <c r="I650" i="3"/>
  <c r="AA673" i="3"/>
  <c r="AI660" i="3"/>
  <c r="K677" i="3"/>
  <c r="U673" i="3"/>
  <c r="R652" i="3"/>
  <c r="G670" i="3"/>
  <c r="AI651" i="3"/>
  <c r="H650" i="3"/>
  <c r="N668" i="3"/>
  <c r="V665" i="3"/>
  <c r="P663" i="3"/>
  <c r="AB672" i="3"/>
  <c r="W676" i="3"/>
  <c r="AB669" i="3"/>
  <c r="T652" i="3"/>
  <c r="J673" i="3"/>
  <c r="U653" i="3"/>
  <c r="J649" i="3"/>
  <c r="M674" i="3"/>
  <c r="Z672" i="3"/>
  <c r="AG677" i="3"/>
  <c r="S652" i="3"/>
  <c r="G660" i="3"/>
  <c r="H652" i="3"/>
  <c r="AA676" i="3"/>
  <c r="AI667" i="3"/>
  <c r="AI675" i="3"/>
  <c r="L658" i="3"/>
  <c r="W654" i="3"/>
  <c r="M659" i="3"/>
  <c r="I671" i="3"/>
  <c r="M666" i="3"/>
  <c r="AE651" i="3"/>
  <c r="P664" i="3"/>
  <c r="Q655" i="3"/>
  <c r="W664" i="3"/>
  <c r="T660" i="3"/>
  <c r="H653" i="3"/>
  <c r="I657" i="3"/>
  <c r="S657" i="3"/>
  <c r="AG666" i="3"/>
  <c r="N654" i="3"/>
  <c r="M658" i="3"/>
  <c r="AG668" i="3"/>
  <c r="Q663" i="3"/>
  <c r="V142" i="3"/>
  <c r="Y542" i="3"/>
  <c r="AB535" i="3"/>
  <c r="M559" i="3"/>
  <c r="N636" i="3"/>
  <c r="AC121" i="3"/>
  <c r="O120" i="3"/>
  <c r="T545" i="3"/>
  <c r="M560" i="3"/>
  <c r="G537" i="3"/>
  <c r="M540" i="3"/>
  <c r="P562" i="3"/>
  <c r="T669" i="3"/>
  <c r="AF660" i="3"/>
  <c r="AC659" i="3"/>
  <c r="P661" i="3"/>
  <c r="Z668" i="3"/>
  <c r="O668" i="3"/>
  <c r="R666" i="3"/>
  <c r="S650" i="3"/>
  <c r="L665" i="3"/>
  <c r="S649" i="3"/>
  <c r="Z676" i="3"/>
  <c r="AB658" i="3"/>
  <c r="J672" i="3"/>
  <c r="X668" i="3"/>
  <c r="N655" i="3"/>
  <c r="T654" i="3"/>
  <c r="Y665" i="3"/>
  <c r="O653" i="3"/>
  <c r="M662" i="3"/>
  <c r="AF654" i="3"/>
  <c r="Q658" i="3"/>
  <c r="F675" i="3"/>
  <c r="AG658" i="3"/>
  <c r="G672" i="3"/>
  <c r="AI661" i="3"/>
  <c r="Q670" i="3"/>
  <c r="Y670" i="3"/>
  <c r="P658" i="3"/>
  <c r="AI663" i="3"/>
  <c r="K661" i="3"/>
  <c r="AD659" i="3"/>
  <c r="Z660" i="3"/>
  <c r="S653" i="3"/>
  <c r="N665" i="3"/>
  <c r="X662" i="3"/>
  <c r="AC674" i="3"/>
  <c r="X650" i="3"/>
  <c r="P673" i="3"/>
  <c r="AH657" i="3"/>
  <c r="H667" i="3"/>
  <c r="O662" i="3"/>
  <c r="F666" i="3"/>
  <c r="P674" i="3"/>
  <c r="J671" i="3"/>
  <c r="K651" i="3"/>
  <c r="AD676" i="3"/>
  <c r="F658" i="3"/>
  <c r="T655" i="3"/>
  <c r="T672" i="3"/>
  <c r="AA656" i="3"/>
  <c r="F655" i="3"/>
  <c r="F654" i="3"/>
  <c r="J655" i="3"/>
  <c r="W659" i="3"/>
  <c r="T656" i="3"/>
  <c r="H672" i="3"/>
  <c r="AB656" i="3"/>
  <c r="M675" i="3"/>
  <c r="Q677" i="3"/>
  <c r="Y657" i="3"/>
  <c r="T659" i="3"/>
  <c r="T649" i="3"/>
  <c r="AH648" i="3"/>
  <c r="G656" i="3"/>
  <c r="I674" i="3"/>
  <c r="T658" i="3"/>
  <c r="N658" i="3"/>
  <c r="I652" i="3"/>
  <c r="R661" i="3"/>
  <c r="AA675" i="3"/>
  <c r="AA660" i="3"/>
  <c r="T661" i="3"/>
  <c r="M648" i="3"/>
  <c r="AH653" i="3"/>
  <c r="Q649" i="3"/>
  <c r="F667" i="3"/>
  <c r="K655" i="3"/>
  <c r="H668" i="3"/>
  <c r="Y649" i="3"/>
  <c r="AD662" i="3"/>
  <c r="AE667" i="3"/>
  <c r="O660" i="3"/>
  <c r="P670" i="3"/>
  <c r="G653" i="3"/>
  <c r="X667" i="3"/>
  <c r="I670" i="3"/>
  <c r="AE672" i="3"/>
  <c r="X664" i="3"/>
  <c r="U654" i="3"/>
  <c r="R670" i="3"/>
  <c r="Q659" i="3"/>
  <c r="R676" i="3"/>
  <c r="U649" i="3"/>
  <c r="P666" i="3"/>
  <c r="AF658" i="3"/>
  <c r="O673" i="3"/>
  <c r="Y675" i="3"/>
  <c r="J663" i="3"/>
  <c r="AH663" i="3"/>
  <c r="I648" i="3"/>
  <c r="AD654" i="3"/>
  <c r="V674" i="3"/>
  <c r="H654" i="3"/>
  <c r="N648" i="3"/>
  <c r="V658" i="3"/>
  <c r="X660" i="3"/>
  <c r="AI666" i="3"/>
  <c r="AG651" i="3"/>
  <c r="R662" i="3"/>
  <c r="O664" i="3"/>
  <c r="L664" i="3"/>
  <c r="Y676" i="3"/>
  <c r="F663" i="3"/>
  <c r="S666" i="3"/>
  <c r="AE649" i="3"/>
  <c r="Y666" i="3"/>
  <c r="Z653" i="3"/>
  <c r="AG672" i="3"/>
  <c r="AF672" i="3"/>
  <c r="AC668" i="3"/>
  <c r="O651" i="3"/>
  <c r="Y656" i="3"/>
  <c r="P669" i="3"/>
  <c r="Y662" i="3"/>
  <c r="H669" i="3"/>
  <c r="AD653" i="3"/>
  <c r="AB657" i="3"/>
  <c r="AA668" i="3"/>
  <c r="S675" i="3"/>
  <c r="Z654" i="3"/>
  <c r="V650" i="3"/>
  <c r="AH672" i="3"/>
  <c r="AB677" i="3"/>
  <c r="L668" i="3"/>
  <c r="N675" i="3"/>
  <c r="AC652" i="3"/>
  <c r="U676" i="3"/>
  <c r="AC660" i="3"/>
  <c r="AD658" i="3"/>
  <c r="AF650" i="3"/>
  <c r="S656" i="3"/>
  <c r="L650" i="3"/>
  <c r="U650" i="3"/>
  <c r="R675" i="3"/>
  <c r="G665" i="3"/>
  <c r="AA667" i="3"/>
  <c r="U664" i="3"/>
  <c r="M672" i="3"/>
  <c r="V649" i="3"/>
  <c r="AG652" i="3"/>
  <c r="AE664" i="3"/>
  <c r="AG656" i="3"/>
  <c r="N672" i="3"/>
  <c r="T651" i="3"/>
  <c r="AB648" i="3"/>
  <c r="I655" i="3"/>
  <c r="V654" i="3"/>
  <c r="P677" i="3"/>
  <c r="Q654" i="3"/>
  <c r="V664" i="3"/>
  <c r="L670" i="3"/>
  <c r="M650" i="3"/>
  <c r="V675" i="3"/>
  <c r="P672" i="3"/>
  <c r="S664" i="3"/>
  <c r="S648" i="3"/>
  <c r="Z651" i="3"/>
  <c r="Q671" i="3"/>
  <c r="K664" i="3"/>
  <c r="Z675" i="3"/>
  <c r="F662" i="3"/>
  <c r="AH665" i="3"/>
  <c r="M651" i="3"/>
  <c r="Q662" i="3"/>
  <c r="AC671" i="3"/>
  <c r="T653" i="3"/>
  <c r="AE660" i="3"/>
  <c r="Y664" i="3"/>
  <c r="V673" i="3"/>
  <c r="AF667" i="3"/>
  <c r="AE670" i="3"/>
  <c r="R660" i="3"/>
  <c r="AG675" i="3"/>
  <c r="AB662" i="3"/>
  <c r="O663" i="3"/>
  <c r="AF673" i="3"/>
  <c r="M660" i="3"/>
  <c r="L652" i="3"/>
  <c r="H648" i="3"/>
  <c r="J659" i="3"/>
  <c r="F673" i="3"/>
  <c r="Z663" i="3"/>
  <c r="AB663" i="3"/>
  <c r="AE666" i="3"/>
  <c r="I660" i="3"/>
  <c r="AD648" i="3"/>
  <c r="I654" i="3"/>
  <c r="AF677" i="3"/>
  <c r="G651" i="3"/>
  <c r="H670" i="3"/>
  <c r="AE650" i="3"/>
  <c r="G655" i="3"/>
  <c r="J662" i="3"/>
  <c r="AH673" i="3"/>
  <c r="AB671" i="3"/>
  <c r="Y672" i="3"/>
  <c r="O674" i="3"/>
  <c r="O657" i="3"/>
  <c r="P648" i="3"/>
  <c r="Y669" i="3"/>
  <c r="V677" i="3"/>
  <c r="AB651" i="3"/>
  <c r="AA654" i="3"/>
  <c r="I665" i="3"/>
  <c r="G674" i="3"/>
  <c r="Q674" i="3"/>
  <c r="AA655" i="3"/>
  <c r="W672" i="3"/>
  <c r="W662" i="3"/>
  <c r="J667" i="3"/>
  <c r="V670" i="3"/>
  <c r="Q656" i="3"/>
  <c r="X657" i="3"/>
  <c r="N674" i="3"/>
  <c r="AC665" i="3"/>
  <c r="AF675" i="3"/>
  <c r="O648" i="3"/>
  <c r="V660" i="3"/>
  <c r="AH666" i="3"/>
  <c r="L653" i="3"/>
  <c r="AD670" i="3"/>
  <c r="K652" i="3"/>
  <c r="S660" i="3"/>
  <c r="K660" i="3"/>
  <c r="J668" i="3"/>
  <c r="G671" i="3"/>
  <c r="W677" i="3"/>
  <c r="T670" i="3"/>
  <c r="M613" i="3"/>
  <c r="W139" i="3"/>
  <c r="AH133" i="3"/>
  <c r="H134" i="3"/>
  <c r="O141" i="3"/>
  <c r="G126" i="3"/>
  <c r="P534" i="3"/>
  <c r="AB538" i="3"/>
  <c r="H561" i="3"/>
  <c r="O553" i="3"/>
  <c r="P553" i="3"/>
  <c r="X558" i="3"/>
  <c r="AC537" i="3"/>
  <c r="AB542" i="3"/>
  <c r="AF544" i="3"/>
  <c r="M534" i="3"/>
  <c r="T671" i="3"/>
  <c r="W648" i="3"/>
  <c r="AG655" i="3"/>
  <c r="AI656" i="3"/>
  <c r="J674" i="3"/>
  <c r="S677" i="3"/>
  <c r="N653" i="3"/>
  <c r="Y671" i="3"/>
  <c r="AD669" i="3"/>
  <c r="X649" i="3"/>
  <c r="AA677" i="3"/>
  <c r="G649" i="3"/>
  <c r="N667" i="3"/>
  <c r="W660" i="3"/>
  <c r="AC648" i="3"/>
  <c r="T666" i="3"/>
  <c r="M649" i="3"/>
  <c r="AD668" i="3"/>
  <c r="L661" i="3"/>
  <c r="G668" i="3"/>
  <c r="I651" i="3"/>
  <c r="U656" i="3"/>
  <c r="Y652" i="3"/>
  <c r="M654" i="3"/>
  <c r="Y654" i="3"/>
  <c r="AF671" i="3"/>
  <c r="AD655" i="3"/>
  <c r="N661" i="3"/>
  <c r="F668" i="3"/>
  <c r="U671" i="3"/>
  <c r="J656" i="3"/>
  <c r="T648" i="3"/>
  <c r="AA662" i="3"/>
  <c r="Q666" i="3"/>
  <c r="N659" i="3"/>
  <c r="K649" i="3"/>
  <c r="AI657" i="3"/>
  <c r="U662" i="3"/>
  <c r="AG660" i="3"/>
  <c r="AD666" i="3"/>
  <c r="R665" i="3"/>
  <c r="L663" i="3"/>
  <c r="AB674" i="3"/>
  <c r="I677" i="3"/>
  <c r="Z666" i="3"/>
  <c r="U667" i="3"/>
  <c r="F677" i="3"/>
  <c r="AC656" i="3"/>
  <c r="G676" i="3"/>
  <c r="AG670" i="3"/>
  <c r="J670" i="3"/>
  <c r="AC677" i="3"/>
  <c r="T675" i="3"/>
  <c r="AC651" i="3"/>
  <c r="G661" i="3"/>
  <c r="V672" i="3"/>
  <c r="O666" i="3"/>
  <c r="AB661" i="3"/>
  <c r="K671" i="3"/>
  <c r="AG673" i="3"/>
  <c r="J669" i="3"/>
  <c r="AI674" i="3"/>
  <c r="AB666" i="3"/>
  <c r="X672" i="3"/>
  <c r="AH669" i="3"/>
  <c r="AB667" i="3"/>
  <c r="W650" i="3"/>
  <c r="V651" i="3"/>
  <c r="AA650" i="3"/>
  <c r="AE671" i="3"/>
  <c r="X655" i="3"/>
  <c r="K672" i="3"/>
  <c r="G666" i="3"/>
  <c r="G675" i="3"/>
  <c r="N669" i="3"/>
  <c r="W668" i="3"/>
  <c r="AI672" i="3"/>
  <c r="AI662" i="3"/>
  <c r="J658" i="3"/>
  <c r="M657" i="3"/>
  <c r="P671" i="3"/>
  <c r="M676" i="3"/>
  <c r="AG667" i="3"/>
  <c r="AF661" i="3"/>
  <c r="F661" i="3"/>
  <c r="I250" i="3"/>
  <c r="L624" i="3"/>
  <c r="O123" i="3"/>
  <c r="W133" i="3"/>
  <c r="R125" i="3"/>
  <c r="AI128" i="3"/>
  <c r="Y125" i="3"/>
  <c r="G122" i="3"/>
  <c r="X131" i="3"/>
  <c r="AA127" i="3"/>
  <c r="G541" i="3"/>
  <c r="X556" i="3"/>
  <c r="X561" i="3"/>
  <c r="AC549" i="3"/>
  <c r="AF539" i="3"/>
  <c r="Q539" i="3"/>
  <c r="S556" i="3"/>
  <c r="F552" i="3"/>
  <c r="V538" i="3"/>
  <c r="K546" i="3"/>
  <c r="R555" i="3"/>
  <c r="X544" i="3"/>
  <c r="Q550" i="3"/>
  <c r="X553" i="3"/>
  <c r="AI545" i="3"/>
  <c r="I545" i="3"/>
  <c r="AI542" i="3"/>
  <c r="AC557" i="3"/>
  <c r="AC559" i="3"/>
  <c r="M541" i="3"/>
  <c r="F653" i="3"/>
  <c r="AF666" i="3"/>
  <c r="S661" i="3"/>
  <c r="AE662" i="3"/>
  <c r="J676" i="3"/>
  <c r="P651" i="3"/>
  <c r="AI650" i="3"/>
  <c r="H655" i="3"/>
  <c r="I666" i="3"/>
  <c r="I662" i="3"/>
  <c r="M664" i="3"/>
  <c r="F674" i="3"/>
  <c r="R651" i="3"/>
  <c r="N660" i="3"/>
  <c r="P655" i="3"/>
  <c r="W674" i="3"/>
  <c r="X663" i="3"/>
  <c r="P652" i="3"/>
  <c r="V676" i="3"/>
  <c r="X671" i="3"/>
  <c r="K675" i="3"/>
  <c r="L676" i="3"/>
  <c r="AE673" i="3"/>
  <c r="Q668" i="3"/>
  <c r="AE676" i="3"/>
  <c r="X666" i="3"/>
  <c r="Z677" i="3"/>
  <c r="V669" i="3"/>
  <c r="AH649" i="3"/>
  <c r="V653" i="3"/>
  <c r="AG653" i="3"/>
  <c r="AH660" i="3"/>
  <c r="Q657" i="3"/>
  <c r="W658" i="3"/>
  <c r="H665" i="3"/>
  <c r="L659" i="3"/>
  <c r="H671" i="3"/>
  <c r="Y663" i="3"/>
  <c r="I673" i="3"/>
  <c r="AC675" i="3"/>
  <c r="L672" i="3"/>
  <c r="M663" i="3"/>
  <c r="AG654" i="3"/>
  <c r="AC654" i="3"/>
  <c r="H659" i="3"/>
  <c r="Q653" i="3"/>
  <c r="AH658" i="3"/>
  <c r="F669" i="3"/>
  <c r="L651" i="3"/>
  <c r="K656" i="3"/>
  <c r="O649" i="3"/>
  <c r="T663" i="3"/>
  <c r="AE674" i="3"/>
  <c r="R671" i="3"/>
  <c r="AG662" i="3"/>
  <c r="AA648" i="3"/>
  <c r="AE654" i="3"/>
  <c r="R673" i="3"/>
  <c r="O654" i="3"/>
  <c r="U652" i="3"/>
  <c r="O655" i="3"/>
  <c r="W652" i="3"/>
  <c r="AC649" i="3"/>
  <c r="Y660" i="3"/>
  <c r="AC672" i="3"/>
  <c r="AG665" i="3"/>
  <c r="J654" i="3"/>
  <c r="AC662" i="3"/>
  <c r="N656" i="3"/>
  <c r="V648" i="3"/>
  <c r="L662" i="3"/>
  <c r="O658" i="3"/>
  <c r="Y677" i="3"/>
  <c r="AD656" i="3"/>
  <c r="T664" i="3"/>
  <c r="N652" i="3"/>
  <c r="N649" i="3"/>
  <c r="X674" i="3"/>
  <c r="G662" i="3"/>
  <c r="Q664" i="3"/>
  <c r="AH671" i="3"/>
  <c r="I653" i="3"/>
  <c r="H676" i="3"/>
  <c r="Q667" i="3"/>
  <c r="U660" i="3"/>
  <c r="R258" i="3"/>
  <c r="Y634" i="3"/>
  <c r="L622" i="3"/>
  <c r="I635" i="3"/>
  <c r="K145" i="3"/>
  <c r="U130" i="3"/>
  <c r="Y122" i="3"/>
  <c r="K134" i="3"/>
  <c r="AG142" i="3"/>
  <c r="AF123" i="3"/>
  <c r="AA143" i="3"/>
  <c r="AE133" i="3"/>
  <c r="L118" i="3"/>
  <c r="I145" i="3"/>
  <c r="AA138" i="3"/>
  <c r="AD136" i="3"/>
  <c r="H140" i="3"/>
  <c r="AF116" i="3"/>
  <c r="AF132" i="3"/>
  <c r="Y116" i="3"/>
  <c r="V542" i="3"/>
  <c r="I538" i="3"/>
  <c r="N551" i="3"/>
  <c r="AF558" i="3"/>
  <c r="V552" i="3"/>
  <c r="AE542" i="3"/>
  <c r="W534" i="3"/>
  <c r="AF541" i="3"/>
  <c r="Q560" i="3"/>
  <c r="M538" i="3"/>
  <c r="N562" i="3"/>
  <c r="M543" i="3"/>
  <c r="O543" i="3"/>
  <c r="J550" i="3"/>
  <c r="AD544" i="3"/>
  <c r="H537" i="3"/>
  <c r="X540" i="3"/>
  <c r="I535" i="3"/>
  <c r="J545" i="3"/>
  <c r="Y551" i="3"/>
  <c r="S551" i="3"/>
  <c r="N561" i="3"/>
  <c r="Z552" i="3"/>
  <c r="G545" i="3"/>
  <c r="O549" i="3"/>
  <c r="R548" i="3"/>
  <c r="R538" i="3"/>
  <c r="AG551" i="3"/>
  <c r="R553" i="3"/>
  <c r="F537" i="3"/>
  <c r="Z536" i="3"/>
  <c r="AB561" i="3"/>
  <c r="U549" i="3"/>
  <c r="AC550" i="3"/>
  <c r="AI548" i="3"/>
  <c r="U559" i="3"/>
  <c r="AA547" i="3"/>
  <c r="AE560" i="3"/>
  <c r="U558" i="3"/>
  <c r="I548" i="3"/>
  <c r="V544" i="3"/>
  <c r="AA234" i="3"/>
  <c r="AH628" i="3"/>
  <c r="M627" i="3"/>
  <c r="AF639" i="3"/>
  <c r="AH629" i="3"/>
  <c r="AI635" i="3"/>
  <c r="N611" i="3"/>
  <c r="O629" i="3"/>
  <c r="T137" i="3"/>
  <c r="AI133" i="3"/>
  <c r="R124" i="3"/>
  <c r="AH144" i="3"/>
  <c r="J120" i="3"/>
  <c r="X137" i="3"/>
  <c r="AC122" i="3"/>
  <c r="N141" i="3"/>
  <c r="L142" i="3"/>
  <c r="H118" i="3"/>
  <c r="Z142" i="3"/>
  <c r="S127" i="3"/>
  <c r="K139" i="3"/>
  <c r="L125" i="3"/>
  <c r="M128" i="3"/>
  <c r="M126" i="3"/>
  <c r="X123" i="3"/>
  <c r="AE145" i="3"/>
  <c r="J117" i="3"/>
  <c r="Q121" i="3"/>
  <c r="M125" i="3"/>
  <c r="F125" i="3"/>
  <c r="AE137" i="3"/>
  <c r="J144" i="3"/>
  <c r="K131" i="3"/>
  <c r="AE126" i="3"/>
  <c r="AG116" i="3"/>
  <c r="X135" i="3"/>
  <c r="U116" i="3"/>
  <c r="F133" i="3"/>
  <c r="P130" i="3"/>
  <c r="K143" i="3"/>
  <c r="P125" i="3"/>
  <c r="V545" i="3"/>
  <c r="O539" i="3"/>
  <c r="F547" i="3"/>
  <c r="AG545" i="3"/>
  <c r="AE536" i="3"/>
  <c r="Y553" i="3"/>
  <c r="G539" i="3"/>
  <c r="Z543" i="3"/>
  <c r="O558" i="3"/>
  <c r="G563" i="3"/>
  <c r="AG553" i="3"/>
  <c r="AF547" i="3"/>
  <c r="J555" i="3"/>
  <c r="M557" i="3"/>
  <c r="N537" i="3"/>
  <c r="W549" i="3"/>
  <c r="I553" i="3"/>
  <c r="AH546" i="3"/>
  <c r="U540" i="3"/>
  <c r="AE534" i="3"/>
  <c r="W544" i="3"/>
  <c r="AA557" i="3"/>
  <c r="P556" i="3"/>
  <c r="AG561" i="3"/>
  <c r="R552" i="3"/>
  <c r="G552" i="3"/>
  <c r="L543" i="3"/>
  <c r="AF553" i="3"/>
  <c r="AD559" i="3"/>
  <c r="Z559" i="3"/>
  <c r="V553" i="3"/>
  <c r="H542" i="3"/>
  <c r="L560" i="3"/>
  <c r="AA549" i="3"/>
  <c r="R535" i="3"/>
  <c r="H556" i="3"/>
  <c r="Y560" i="3"/>
  <c r="K534" i="3"/>
  <c r="AC542" i="3"/>
  <c r="AB559" i="3"/>
  <c r="V551" i="3"/>
  <c r="AI537" i="3"/>
  <c r="AA553" i="3"/>
  <c r="AD555" i="3"/>
  <c r="M536" i="3"/>
  <c r="T538" i="3"/>
  <c r="I563" i="3"/>
  <c r="AC553" i="3"/>
  <c r="S560" i="3"/>
  <c r="AD542" i="3"/>
  <c r="O545" i="3"/>
  <c r="P555" i="3"/>
  <c r="AI534" i="3"/>
  <c r="J541" i="3"/>
  <c r="N534" i="3"/>
  <c r="M549" i="3"/>
  <c r="M535" i="3"/>
  <c r="Z560" i="3"/>
  <c r="AF546" i="3"/>
  <c r="R560" i="3"/>
  <c r="J558" i="3"/>
  <c r="W542" i="3"/>
  <c r="H550" i="3"/>
  <c r="AD535" i="3"/>
  <c r="I559" i="3"/>
  <c r="F538" i="3"/>
  <c r="F541" i="3"/>
  <c r="AF542" i="3"/>
  <c r="O556" i="3"/>
  <c r="S561" i="3"/>
  <c r="I541" i="3"/>
  <c r="Z541" i="3"/>
  <c r="Q543" i="3"/>
  <c r="Z556" i="3"/>
  <c r="Z542" i="3"/>
  <c r="AB545" i="3"/>
  <c r="F551" i="3"/>
  <c r="Y557" i="3"/>
  <c r="AB547" i="3"/>
  <c r="J538" i="3"/>
  <c r="AE551" i="3"/>
  <c r="W661" i="3"/>
  <c r="AD667" i="3"/>
  <c r="H677" i="3"/>
  <c r="G652" i="3"/>
  <c r="AC655" i="3"/>
  <c r="N671" i="3"/>
  <c r="AI654" i="3"/>
  <c r="AA651" i="3"/>
  <c r="AB654" i="3"/>
  <c r="K673" i="3"/>
  <c r="AG648" i="3"/>
  <c r="AC653" i="3"/>
  <c r="X651" i="3"/>
  <c r="Q669" i="3"/>
  <c r="H649" i="3"/>
  <c r="O669" i="3"/>
  <c r="M661" i="3"/>
  <c r="K658" i="3"/>
  <c r="Z665" i="3"/>
  <c r="H662" i="3"/>
  <c r="AB668" i="3"/>
  <c r="AA664" i="3"/>
  <c r="T665" i="3"/>
  <c r="AC658" i="3"/>
  <c r="W665" i="3"/>
  <c r="Q648" i="3"/>
  <c r="W656" i="3"/>
  <c r="AF648" i="3"/>
  <c r="G650" i="3"/>
  <c r="R649" i="3"/>
  <c r="G669" i="3"/>
  <c r="K648" i="3"/>
  <c r="I675" i="3"/>
  <c r="U659" i="3"/>
  <c r="AH656" i="3"/>
  <c r="AD665" i="3"/>
  <c r="AH659" i="3"/>
  <c r="Q660" i="3"/>
  <c r="K669" i="3"/>
  <c r="S667" i="3"/>
  <c r="R655" i="3"/>
  <c r="K662" i="3"/>
  <c r="W673" i="3"/>
  <c r="I668" i="3"/>
  <c r="F657" i="3"/>
  <c r="K654" i="3"/>
  <c r="F665" i="3"/>
  <c r="V662" i="3"/>
  <c r="R663" i="3"/>
  <c r="S669" i="3"/>
  <c r="AA663" i="3"/>
  <c r="AE655" i="3"/>
  <c r="O676" i="3"/>
  <c r="Z649" i="3"/>
  <c r="F651" i="3"/>
  <c r="M665" i="3"/>
  <c r="AC673" i="3"/>
  <c r="O672" i="3"/>
  <c r="Y650" i="3"/>
  <c r="P675" i="3"/>
  <c r="T668" i="3"/>
  <c r="AI668" i="3"/>
  <c r="P660" i="3"/>
  <c r="L666" i="3"/>
  <c r="R657" i="3"/>
  <c r="R667" i="3"/>
  <c r="Z652" i="3"/>
  <c r="H675" i="3"/>
  <c r="V661" i="3"/>
  <c r="V656" i="3"/>
  <c r="L667" i="3"/>
  <c r="AI676" i="3"/>
  <c r="K666" i="3"/>
  <c r="H651" i="3"/>
  <c r="AH654" i="3"/>
  <c r="M670" i="3"/>
  <c r="O650" i="3"/>
  <c r="P676" i="3"/>
  <c r="L673" i="3"/>
  <c r="AD649" i="3"/>
  <c r="P656" i="3"/>
  <c r="AB673" i="3"/>
  <c r="AE659" i="3"/>
  <c r="J651" i="3"/>
  <c r="AA658" i="3"/>
  <c r="L136" i="3"/>
  <c r="U122" i="3"/>
  <c r="N131" i="3"/>
  <c r="Q127" i="3"/>
  <c r="M136" i="3"/>
  <c r="K125" i="3"/>
  <c r="AG129" i="3"/>
  <c r="G120" i="3"/>
  <c r="AH145" i="3"/>
  <c r="F143" i="3"/>
  <c r="Z116" i="3"/>
  <c r="AH131" i="3"/>
  <c r="K136" i="3"/>
  <c r="AG145" i="3"/>
  <c r="R117" i="3"/>
  <c r="T136" i="3"/>
  <c r="AI124" i="3"/>
  <c r="K130" i="3"/>
  <c r="AA140" i="3"/>
  <c r="J138" i="3"/>
  <c r="S236" i="3"/>
  <c r="F237" i="3"/>
  <c r="Y611" i="3"/>
  <c r="N623" i="3"/>
  <c r="AI621" i="3"/>
  <c r="AF618" i="3"/>
  <c r="AA635" i="3"/>
  <c r="T614" i="3"/>
  <c r="K626" i="3"/>
  <c r="AA611" i="3"/>
  <c r="K630" i="3"/>
  <c r="F625" i="3"/>
  <c r="AE629" i="3"/>
  <c r="AI616" i="3"/>
  <c r="S610" i="3"/>
  <c r="J143" i="3"/>
  <c r="Q126" i="3"/>
  <c r="AF135" i="3"/>
  <c r="H116" i="3"/>
  <c r="I119" i="3"/>
  <c r="T132" i="3"/>
  <c r="K116" i="3"/>
  <c r="AB136" i="3"/>
  <c r="K133" i="3"/>
  <c r="R135" i="3"/>
  <c r="AB140" i="3"/>
  <c r="L123" i="3"/>
  <c r="R132" i="3"/>
  <c r="AD128" i="3"/>
  <c r="Y144" i="3"/>
  <c r="AA125" i="3"/>
  <c r="J131" i="3"/>
  <c r="T145" i="3"/>
  <c r="AE119" i="3"/>
  <c r="T122" i="3"/>
  <c r="AG130" i="3"/>
  <c r="K127" i="3"/>
  <c r="T133" i="3"/>
  <c r="AI116" i="3"/>
  <c r="V134" i="3"/>
  <c r="AF144" i="3"/>
  <c r="Z118" i="3"/>
  <c r="AD119" i="3"/>
  <c r="I124" i="3"/>
  <c r="O138" i="3"/>
  <c r="P141" i="3"/>
  <c r="AC131" i="3"/>
  <c r="G131" i="3"/>
  <c r="S122" i="3"/>
  <c r="AB118" i="3"/>
  <c r="AE136" i="3"/>
  <c r="W128" i="3"/>
  <c r="O139" i="3"/>
  <c r="AE120" i="3"/>
  <c r="Q120" i="3"/>
  <c r="M138" i="3"/>
  <c r="V128" i="3"/>
  <c r="AF124" i="3"/>
  <c r="AA144" i="3"/>
  <c r="AA136" i="3"/>
  <c r="H122" i="3"/>
  <c r="G135" i="3"/>
  <c r="Z124" i="3"/>
  <c r="G134" i="3"/>
  <c r="AC117" i="3"/>
  <c r="N121" i="3"/>
  <c r="T126" i="3"/>
  <c r="U134" i="3"/>
  <c r="AG132" i="3"/>
  <c r="AB145" i="3"/>
  <c r="N119" i="3"/>
  <c r="AI131" i="3"/>
  <c r="AI136" i="3"/>
  <c r="I133" i="3"/>
  <c r="U124" i="3"/>
  <c r="AF117" i="3"/>
  <c r="H144" i="3"/>
  <c r="AF118" i="3"/>
  <c r="L122" i="3"/>
  <c r="AB128" i="3"/>
  <c r="K119" i="3"/>
  <c r="AA122" i="3"/>
  <c r="AD561" i="3"/>
  <c r="AF562" i="3"/>
  <c r="K541" i="3"/>
  <c r="L544" i="3"/>
  <c r="V561" i="3"/>
  <c r="O535" i="3"/>
  <c r="AG542" i="3"/>
  <c r="AE545" i="3"/>
  <c r="S550" i="3"/>
  <c r="P539" i="3"/>
  <c r="AC560" i="3"/>
  <c r="J543" i="3"/>
  <c r="L553" i="3"/>
  <c r="Z553" i="3"/>
  <c r="Z546" i="3"/>
  <c r="AG547" i="3"/>
  <c r="S535" i="3"/>
  <c r="Q547" i="3"/>
  <c r="X542" i="3"/>
  <c r="W536" i="3"/>
  <c r="AA555" i="3"/>
  <c r="Z563" i="3"/>
  <c r="AE535" i="3"/>
  <c r="V534" i="3"/>
  <c r="R561" i="3"/>
  <c r="K554" i="3"/>
  <c r="AD547" i="3"/>
  <c r="AH552" i="3"/>
  <c r="AH563" i="3"/>
  <c r="F554" i="3"/>
  <c r="AD546" i="3"/>
  <c r="J556" i="3"/>
  <c r="P537" i="3"/>
  <c r="AE554" i="3"/>
  <c r="AB548" i="3"/>
  <c r="AA535" i="3"/>
  <c r="X552" i="3"/>
  <c r="G555" i="3"/>
  <c r="M551" i="3"/>
  <c r="U550" i="3"/>
  <c r="U557" i="3"/>
  <c r="S539" i="3"/>
  <c r="AI536" i="3"/>
  <c r="J544" i="3"/>
  <c r="Q559" i="3"/>
  <c r="V559" i="3"/>
  <c r="AA539" i="3"/>
  <c r="AF545" i="3"/>
  <c r="P560" i="3"/>
  <c r="S562" i="3"/>
  <c r="S537" i="3"/>
  <c r="Z558" i="3"/>
  <c r="G553" i="3"/>
  <c r="J561" i="3"/>
  <c r="T550" i="3"/>
  <c r="AF554" i="3"/>
  <c r="O537" i="3"/>
  <c r="P551" i="3"/>
  <c r="Q554" i="3"/>
  <c r="F550" i="3"/>
  <c r="K543" i="3"/>
  <c r="AA542" i="3"/>
  <c r="Z538" i="3"/>
  <c r="F556" i="3"/>
  <c r="L534" i="3"/>
  <c r="K535" i="3"/>
  <c r="AB544" i="3"/>
  <c r="L555" i="3"/>
  <c r="AH559" i="3"/>
  <c r="Q544" i="3"/>
  <c r="R562" i="3"/>
  <c r="G542" i="3"/>
  <c r="AB537" i="3"/>
  <c r="L542" i="3"/>
  <c r="G550" i="3"/>
  <c r="N546" i="3"/>
  <c r="N541" i="3"/>
  <c r="N538" i="3"/>
  <c r="R558" i="3"/>
  <c r="AC535" i="3"/>
  <c r="AH551" i="3"/>
  <c r="AD537" i="3"/>
  <c r="N544" i="3"/>
  <c r="M537" i="3"/>
  <c r="P546" i="3"/>
  <c r="P550" i="3"/>
  <c r="H545" i="3"/>
  <c r="AE553" i="3"/>
  <c r="F563" i="3"/>
  <c r="U537" i="3"/>
  <c r="F540" i="3"/>
  <c r="H560" i="3"/>
  <c r="AI549" i="3"/>
  <c r="P547" i="3"/>
  <c r="X555" i="3"/>
  <c r="F536" i="3"/>
  <c r="AF534" i="3"/>
  <c r="L546" i="3"/>
  <c r="S541" i="3"/>
  <c r="N545" i="3"/>
  <c r="F542" i="3"/>
  <c r="AE547" i="3"/>
  <c r="X559" i="3"/>
  <c r="Q553" i="3"/>
  <c r="F559" i="3"/>
  <c r="Y550" i="3"/>
  <c r="S540" i="3"/>
  <c r="U555" i="3"/>
  <c r="G557" i="3"/>
  <c r="V535" i="3"/>
  <c r="U560" i="3"/>
  <c r="AD543" i="3"/>
  <c r="O538" i="3"/>
  <c r="L551" i="3"/>
  <c r="V549" i="3"/>
  <c r="H562" i="3"/>
  <c r="K558" i="3"/>
  <c r="T555" i="3"/>
  <c r="N558" i="3"/>
  <c r="P540" i="3"/>
  <c r="AF552" i="3"/>
  <c r="AB558" i="3"/>
  <c r="H552" i="3"/>
  <c r="AG546" i="3"/>
  <c r="J562" i="3"/>
  <c r="J537" i="3"/>
  <c r="M552" i="3"/>
  <c r="AH550" i="3"/>
  <c r="S553" i="3"/>
  <c r="M558" i="3"/>
  <c r="AA560" i="3"/>
  <c r="K536" i="3"/>
  <c r="AC534" i="3"/>
  <c r="AH538" i="3"/>
  <c r="AA556" i="3"/>
  <c r="AI540" i="3"/>
  <c r="K555" i="3"/>
  <c r="P558" i="3"/>
  <c r="I552" i="3"/>
  <c r="P543" i="3"/>
  <c r="V548" i="3"/>
  <c r="U539" i="3"/>
  <c r="Q552" i="3"/>
  <c r="AI554" i="3"/>
  <c r="K552" i="3"/>
  <c r="K545" i="3"/>
  <c r="G554" i="3"/>
  <c r="H544" i="3"/>
  <c r="AD551" i="3"/>
  <c r="P535" i="3"/>
  <c r="U542" i="3"/>
  <c r="P563" i="3"/>
  <c r="AE538" i="3"/>
  <c r="AF563" i="3"/>
  <c r="J553" i="3"/>
  <c r="R546" i="3"/>
  <c r="J535" i="3"/>
  <c r="O557" i="3"/>
  <c r="U538" i="3"/>
  <c r="Y554" i="3"/>
  <c r="Q542" i="3"/>
  <c r="AC547" i="3"/>
  <c r="J534" i="3"/>
  <c r="AB550" i="3"/>
  <c r="K551" i="3"/>
  <c r="M554" i="3"/>
  <c r="AG540" i="3"/>
  <c r="I539" i="3"/>
  <c r="G535" i="3"/>
  <c r="F545" i="3"/>
  <c r="AC558" i="3"/>
  <c r="V550" i="3"/>
  <c r="Y558" i="3"/>
  <c r="F562" i="3"/>
  <c r="G551" i="3"/>
  <c r="AA550" i="3"/>
  <c r="L541" i="3"/>
  <c r="AC545" i="3"/>
  <c r="AG537" i="3"/>
  <c r="R544" i="3"/>
  <c r="AH548" i="3"/>
  <c r="O536" i="3"/>
  <c r="AF537" i="3"/>
  <c r="L537" i="3"/>
  <c r="M539" i="3"/>
  <c r="H536" i="3"/>
  <c r="I544" i="3"/>
  <c r="AD560" i="3"/>
  <c r="I536" i="3"/>
  <c r="W560" i="3"/>
  <c r="K563" i="3"/>
  <c r="M562" i="3"/>
  <c r="AH536" i="3"/>
  <c r="AF557" i="3"/>
  <c r="W545" i="3"/>
  <c r="Q535" i="3"/>
  <c r="Q541" i="3"/>
  <c r="O534" i="3"/>
  <c r="I537" i="3"/>
  <c r="AC541" i="3"/>
  <c r="F561" i="3"/>
  <c r="AA561" i="3"/>
  <c r="M547" i="3"/>
  <c r="S545" i="3"/>
  <c r="I561" i="3"/>
  <c r="L536" i="3"/>
  <c r="O562" i="3"/>
  <c r="I543" i="3"/>
  <c r="U536" i="3"/>
  <c r="X539" i="3"/>
  <c r="M556" i="3"/>
  <c r="Z539" i="3"/>
  <c r="K553" i="3"/>
  <c r="AD553" i="3"/>
  <c r="W537" i="3"/>
  <c r="AG560" i="3"/>
  <c r="Y535" i="3"/>
  <c r="S552" i="3"/>
  <c r="AE539" i="3"/>
  <c r="AB553" i="3"/>
  <c r="R557" i="3"/>
  <c r="AC556" i="3"/>
  <c r="N540" i="3"/>
  <c r="Y544" i="3"/>
  <c r="N555" i="3"/>
  <c r="AE544" i="3"/>
  <c r="Y546" i="3"/>
  <c r="H551" i="3"/>
  <c r="M548" i="3"/>
  <c r="U553" i="3"/>
  <c r="N543" i="3"/>
  <c r="AD557" i="3"/>
  <c r="AC551" i="3"/>
  <c r="O559" i="3"/>
  <c r="W551" i="3"/>
  <c r="O542" i="3"/>
  <c r="AF536" i="3"/>
  <c r="U546" i="3"/>
  <c r="N542" i="3"/>
  <c r="Y543" i="3"/>
  <c r="I557" i="3"/>
  <c r="Y555" i="3"/>
  <c r="G561" i="3"/>
  <c r="AH541" i="3"/>
  <c r="O540" i="3"/>
  <c r="AE550" i="3"/>
  <c r="H557" i="3"/>
  <c r="AG541" i="3"/>
  <c r="AH561" i="3"/>
  <c r="T557" i="3"/>
  <c r="Q558" i="3"/>
  <c r="AD562" i="3"/>
  <c r="Y549" i="3"/>
  <c r="R549" i="3"/>
  <c r="L549" i="3"/>
  <c r="Y537" i="3"/>
  <c r="AG535" i="3"/>
  <c r="V539" i="3"/>
  <c r="AG555" i="3"/>
  <c r="G540" i="3"/>
  <c r="V563" i="3"/>
  <c r="S547" i="3"/>
  <c r="R559" i="3"/>
  <c r="AA562" i="3"/>
  <c r="AC555" i="3"/>
  <c r="AA559" i="3"/>
  <c r="I547" i="3"/>
  <c r="AH540" i="3"/>
  <c r="AG534" i="3"/>
  <c r="AH556" i="3"/>
  <c r="P548" i="3"/>
  <c r="AG559" i="3"/>
  <c r="S543" i="3"/>
  <c r="M545" i="3"/>
  <c r="Z540" i="3"/>
  <c r="G546" i="3"/>
  <c r="AA540" i="3"/>
  <c r="K549" i="3"/>
  <c r="AE562" i="3"/>
  <c r="X562" i="3"/>
  <c r="S536" i="3"/>
  <c r="V543" i="3"/>
  <c r="X547" i="3"/>
  <c r="W548" i="3"/>
  <c r="W562" i="3"/>
  <c r="V555" i="3"/>
  <c r="AA554" i="3"/>
  <c r="N549" i="3"/>
  <c r="T554" i="3"/>
  <c r="Y556" i="3"/>
  <c r="Z550" i="3"/>
  <c r="R536" i="3"/>
  <c r="K547" i="3"/>
  <c r="AG550" i="3"/>
  <c r="U563" i="3"/>
  <c r="G544" i="3"/>
  <c r="AB546" i="3"/>
  <c r="L563" i="3"/>
  <c r="T543" i="3"/>
  <c r="F546" i="3"/>
  <c r="K560" i="3"/>
  <c r="AB552" i="3"/>
  <c r="AC538" i="3"/>
  <c r="Y534" i="3"/>
  <c r="AB534" i="3"/>
  <c r="G559" i="3"/>
  <c r="W541" i="3"/>
  <c r="S546" i="3"/>
  <c r="AF560" i="3"/>
  <c r="X548" i="3"/>
  <c r="O552" i="3"/>
  <c r="G558" i="3"/>
  <c r="Y536" i="3"/>
  <c r="O548" i="3"/>
  <c r="I562" i="3"/>
  <c r="AD558" i="3"/>
  <c r="U535" i="3"/>
  <c r="X563" i="3"/>
  <c r="AE540" i="3"/>
  <c r="I534" i="3"/>
  <c r="X551" i="3"/>
  <c r="H534" i="3"/>
  <c r="Z535" i="3"/>
  <c r="P545" i="3"/>
  <c r="AD549" i="3"/>
  <c r="G536" i="3"/>
  <c r="AI561" i="3"/>
  <c r="H541" i="3"/>
  <c r="R539" i="3"/>
  <c r="Z549" i="3"/>
  <c r="AH543" i="3"/>
  <c r="AA548" i="3"/>
  <c r="Q545" i="3"/>
  <c r="AA541" i="3"/>
  <c r="J563" i="3"/>
  <c r="U548" i="3"/>
  <c r="AC543" i="3"/>
  <c r="O541" i="3"/>
  <c r="AB549" i="3"/>
  <c r="I546" i="3"/>
  <c r="R563" i="3"/>
  <c r="K550" i="3"/>
  <c r="X557" i="3"/>
  <c r="T537" i="3"/>
  <c r="W559" i="3"/>
  <c r="AI538" i="3"/>
  <c r="T560" i="3"/>
  <c r="AA543" i="3"/>
  <c r="AB551" i="3"/>
  <c r="R551" i="3"/>
  <c r="X541" i="3"/>
  <c r="F557" i="3"/>
  <c r="W555" i="3"/>
  <c r="J559" i="3"/>
  <c r="J548" i="3"/>
  <c r="AB557" i="3"/>
  <c r="AD554" i="3"/>
  <c r="L559" i="3"/>
  <c r="V557" i="3"/>
  <c r="J540" i="3"/>
  <c r="AI541" i="3"/>
  <c r="M544" i="3"/>
  <c r="AI546" i="3"/>
  <c r="K540" i="3"/>
  <c r="AE549" i="3"/>
  <c r="Z562" i="3"/>
  <c r="AE559" i="3"/>
  <c r="U552" i="3"/>
  <c r="H558" i="3"/>
  <c r="P544" i="3"/>
  <c r="H538" i="3"/>
  <c r="AB541" i="3"/>
  <c r="AC552" i="3"/>
  <c r="X534" i="3"/>
  <c r="AH544" i="3"/>
  <c r="G538" i="3"/>
  <c r="K562" i="3"/>
  <c r="AC540" i="3"/>
  <c r="Y559" i="3"/>
  <c r="M546" i="3"/>
  <c r="M563" i="3"/>
  <c r="K561" i="3"/>
  <c r="T552" i="3"/>
  <c r="S555" i="3"/>
  <c r="AC548" i="3"/>
  <c r="AF540" i="3"/>
  <c r="V537" i="3"/>
  <c r="AB554" i="3"/>
  <c r="J557" i="3"/>
  <c r="H535" i="3"/>
  <c r="O554" i="3"/>
  <c r="S549" i="3"/>
  <c r="Z551" i="3"/>
  <c r="Y540" i="3"/>
  <c r="AI559" i="3"/>
  <c r="AB555" i="3"/>
  <c r="T558" i="3"/>
  <c r="F549" i="3"/>
  <c r="T553" i="3"/>
  <c r="L558" i="3"/>
  <c r="X536" i="3"/>
  <c r="AG536" i="3"/>
  <c r="M550" i="3"/>
  <c r="AH560" i="3"/>
  <c r="U556" i="3"/>
  <c r="H559" i="3"/>
  <c r="S563" i="3"/>
  <c r="T551" i="3"/>
  <c r="W557" i="3"/>
  <c r="G548" i="3"/>
  <c r="U547" i="3"/>
  <c r="W553" i="3"/>
  <c r="AB543" i="3"/>
  <c r="J554" i="3"/>
  <c r="AI543" i="3"/>
  <c r="AE543" i="3"/>
  <c r="AB536" i="3"/>
  <c r="W563" i="3"/>
  <c r="V560" i="3"/>
  <c r="P542" i="3"/>
  <c r="AF550" i="3"/>
  <c r="Y562" i="3"/>
  <c r="AH555" i="3"/>
  <c r="O547" i="3"/>
  <c r="AF549" i="3"/>
  <c r="N535" i="3"/>
  <c r="W552" i="3"/>
  <c r="F544" i="3"/>
  <c r="K559" i="3"/>
  <c r="W550" i="3"/>
  <c r="M561" i="3"/>
  <c r="AC554" i="3"/>
  <c r="N536" i="3"/>
  <c r="G562" i="3"/>
  <c r="AG539" i="3"/>
  <c r="L561" i="3"/>
  <c r="Z537" i="3"/>
  <c r="S542" i="3"/>
  <c r="P561" i="3"/>
  <c r="L554" i="3"/>
  <c r="AA558" i="3"/>
  <c r="W538" i="3"/>
  <c r="AG549" i="3"/>
  <c r="AB563" i="3"/>
  <c r="I551" i="3"/>
  <c r="L547" i="3"/>
  <c r="R556" i="3"/>
  <c r="I542" i="3"/>
  <c r="Q540" i="3"/>
  <c r="AH557" i="3"/>
  <c r="T535" i="3"/>
  <c r="AA538" i="3"/>
  <c r="T540" i="3"/>
  <c r="AD548" i="3"/>
  <c r="AD536" i="3"/>
  <c r="AI555" i="3"/>
  <c r="T556" i="3"/>
  <c r="F553" i="3"/>
  <c r="S557" i="3"/>
  <c r="W535" i="3"/>
  <c r="Y538" i="3"/>
  <c r="J547" i="3"/>
  <c r="H540" i="3"/>
  <c r="Y561" i="3"/>
  <c r="T561" i="3"/>
  <c r="O546" i="3"/>
  <c r="L550" i="3"/>
  <c r="L545" i="3"/>
  <c r="AF556" i="3"/>
  <c r="AA544" i="3"/>
  <c r="W539" i="3"/>
  <c r="AI556" i="3"/>
  <c r="K548" i="3"/>
  <c r="M553" i="3"/>
  <c r="Y539" i="3"/>
  <c r="U534" i="3"/>
  <c r="Q556" i="3"/>
  <c r="AD552" i="3"/>
  <c r="AG563" i="3"/>
  <c r="AG552" i="3"/>
  <c r="O555" i="3"/>
  <c r="N560" i="3"/>
  <c r="AI659" i="3"/>
  <c r="Y674" i="3"/>
  <c r="AA669" i="3"/>
  <c r="AB650" i="3"/>
  <c r="M652" i="3"/>
  <c r="K659" i="3"/>
  <c r="F650" i="3"/>
  <c r="F659" i="3"/>
  <c r="P650" i="3"/>
  <c r="V663" i="3"/>
  <c r="G673" i="3"/>
  <c r="V659" i="3"/>
  <c r="V657" i="3"/>
  <c r="N670" i="3"/>
  <c r="AH674" i="3"/>
  <c r="AH668" i="3"/>
  <c r="K657" i="3"/>
  <c r="J661" i="3"/>
  <c r="F652" i="3"/>
  <c r="AI658" i="3"/>
  <c r="AF663" i="3"/>
  <c r="S654" i="3"/>
  <c r="Z670" i="3"/>
  <c r="T676" i="3"/>
  <c r="Y667" i="3"/>
  <c r="I659" i="3"/>
  <c r="AE657" i="3"/>
  <c r="M656" i="3"/>
  <c r="AF665" i="3"/>
  <c r="AA649" i="3"/>
  <c r="X670" i="3"/>
  <c r="AD664" i="3"/>
  <c r="R653" i="3"/>
  <c r="Y653" i="3"/>
  <c r="R677" i="3"/>
  <c r="S674" i="3"/>
  <c r="H666" i="3"/>
  <c r="AD650" i="3"/>
  <c r="G657" i="3"/>
  <c r="AA672" i="3"/>
  <c r="AD673" i="3"/>
  <c r="I661" i="3"/>
  <c r="X653" i="3"/>
  <c r="AG674" i="3"/>
  <c r="Z664" i="3"/>
  <c r="AD661" i="3"/>
  <c r="AI665" i="3"/>
  <c r="O652" i="3"/>
  <c r="Z659" i="3"/>
  <c r="AB665" i="3"/>
  <c r="P662" i="3"/>
  <c r="Y651" i="3"/>
  <c r="Z662" i="3"/>
  <c r="W666" i="3"/>
  <c r="J675" i="3"/>
  <c r="AH655" i="3"/>
  <c r="K650" i="3"/>
  <c r="AI664" i="3"/>
  <c r="X669" i="3"/>
  <c r="L660" i="3"/>
  <c r="AC666" i="3"/>
  <c r="AI652" i="3"/>
  <c r="Z673" i="3"/>
  <c r="N676" i="3"/>
  <c r="I656" i="3"/>
  <c r="N677" i="3"/>
  <c r="O677" i="3"/>
  <c r="Y658" i="3"/>
  <c r="W671" i="3"/>
  <c r="G667" i="3"/>
  <c r="AF659" i="3"/>
  <c r="J677" i="3"/>
  <c r="AC663" i="3"/>
  <c r="AF652" i="3"/>
  <c r="F660" i="3"/>
  <c r="F649" i="3"/>
  <c r="AE668" i="3"/>
  <c r="V655" i="3"/>
  <c r="AG659" i="3"/>
  <c r="W655" i="3"/>
  <c r="R674" i="3"/>
  <c r="AH676" i="3"/>
  <c r="AE669" i="3"/>
  <c r="AF668" i="3"/>
  <c r="L657" i="3"/>
  <c r="I658" i="3"/>
  <c r="Q672" i="3"/>
  <c r="N663" i="3"/>
  <c r="I672" i="3"/>
  <c r="U657" i="3"/>
  <c r="AI655" i="3"/>
  <c r="S673" i="3"/>
  <c r="AC664" i="3"/>
  <c r="Z671" i="3"/>
  <c r="V671" i="3"/>
  <c r="H658" i="3"/>
  <c r="AE658" i="3"/>
  <c r="L656" i="3"/>
  <c r="P665" i="3"/>
  <c r="K670" i="3"/>
  <c r="P653" i="3"/>
  <c r="AE648" i="3"/>
  <c r="G664" i="3"/>
  <c r="AB676" i="3"/>
  <c r="J660" i="3"/>
  <c r="AG663" i="3"/>
  <c r="Q652" i="3"/>
  <c r="I649" i="3"/>
  <c r="J665" i="3"/>
  <c r="M655" i="3"/>
  <c r="N657" i="3"/>
  <c r="X661" i="3"/>
  <c r="U672" i="3"/>
  <c r="U677" i="3"/>
  <c r="AF656" i="3"/>
  <c r="AD672" i="3"/>
  <c r="X676" i="3"/>
  <c r="S668" i="3"/>
  <c r="AD660" i="3"/>
  <c r="M653" i="3"/>
  <c r="O667" i="3"/>
  <c r="AA674" i="3"/>
  <c r="AI649" i="3"/>
  <c r="R648" i="3"/>
  <c r="AH664" i="3"/>
  <c r="H673" i="3"/>
  <c r="W649" i="3"/>
  <c r="L674" i="3"/>
  <c r="U675" i="3"/>
  <c r="W667" i="3"/>
  <c r="U648" i="3"/>
  <c r="AE661" i="3"/>
  <c r="X652" i="3"/>
  <c r="AF653" i="3"/>
  <c r="U665" i="3"/>
  <c r="Q676" i="3"/>
  <c r="AB655" i="3"/>
  <c r="N662" i="3"/>
  <c r="AB653" i="3"/>
  <c r="M671" i="3"/>
  <c r="AD671" i="3"/>
  <c r="AB649" i="3"/>
  <c r="H657" i="3"/>
  <c r="R672" i="3"/>
  <c r="AF670" i="3"/>
  <c r="K663" i="3"/>
  <c r="Z650" i="3"/>
  <c r="T667" i="3"/>
  <c r="H661" i="3"/>
  <c r="U666" i="3"/>
  <c r="Y648" i="3"/>
  <c r="Z674" i="3"/>
  <c r="S670" i="3"/>
  <c r="T657" i="3"/>
  <c r="AE663" i="3"/>
  <c r="M668" i="3"/>
  <c r="U661" i="3"/>
  <c r="O661" i="3"/>
  <c r="AB664" i="3"/>
  <c r="L677" i="3"/>
  <c r="AD652" i="3"/>
  <c r="Z669" i="3"/>
  <c r="Q661" i="3"/>
  <c r="R668" i="3"/>
  <c r="W663" i="3"/>
  <c r="U651" i="3"/>
  <c r="Z648" i="3"/>
  <c r="N650" i="3"/>
  <c r="R659" i="3"/>
  <c r="Q650" i="3"/>
  <c r="S659" i="3"/>
  <c r="AD657" i="3"/>
  <c r="X654" i="3"/>
  <c r="J657" i="3"/>
  <c r="I663" i="3"/>
  <c r="AH652" i="3"/>
  <c r="U674" i="3"/>
  <c r="I669" i="3"/>
  <c r="Y659" i="3"/>
  <c r="AE653" i="3"/>
  <c r="AF657" i="3"/>
  <c r="AH677" i="3"/>
  <c r="AC669" i="3"/>
  <c r="AD651" i="3"/>
  <c r="AF674" i="3"/>
  <c r="X658" i="3"/>
  <c r="AH667" i="3"/>
  <c r="G658" i="3"/>
  <c r="AA661" i="3"/>
  <c r="T662" i="3"/>
  <c r="Q673" i="3"/>
  <c r="U663" i="3"/>
  <c r="G654" i="3"/>
  <c r="K668" i="3"/>
  <c r="U670" i="3"/>
  <c r="AC667" i="3"/>
  <c r="X648" i="3"/>
  <c r="L675" i="3"/>
  <c r="AH651" i="3"/>
  <c r="AH661" i="3"/>
  <c r="O671" i="3"/>
  <c r="G677" i="3"/>
  <c r="J648" i="3"/>
  <c r="J653" i="3"/>
  <c r="R650" i="3"/>
  <c r="H674" i="3"/>
  <c r="Q665" i="3"/>
  <c r="AG676" i="3"/>
  <c r="G659" i="3"/>
  <c r="Q651" i="3"/>
  <c r="Z658" i="3"/>
  <c r="AI677" i="3"/>
  <c r="S655" i="3"/>
  <c r="V666" i="3"/>
  <c r="X665" i="3"/>
  <c r="W651" i="3"/>
  <c r="AA653" i="3"/>
  <c r="AF651" i="3"/>
  <c r="AI653" i="3"/>
  <c r="K653" i="3"/>
  <c r="S662" i="3"/>
  <c r="F672" i="3"/>
  <c r="O656" i="3"/>
  <c r="I676" i="3"/>
  <c r="W653" i="3"/>
  <c r="U655" i="3"/>
  <c r="H656" i="3"/>
  <c r="L649" i="3"/>
  <c r="AA652" i="3"/>
  <c r="J666" i="3"/>
  <c r="P657" i="3"/>
  <c r="Y668" i="3"/>
  <c r="L669" i="3"/>
  <c r="AA666" i="3"/>
  <c r="T677" i="3"/>
  <c r="Z655" i="3"/>
  <c r="T673" i="3"/>
  <c r="M673" i="3"/>
  <c r="Z667" i="3"/>
  <c r="Y673" i="3"/>
  <c r="V667" i="3"/>
  <c r="L655" i="3"/>
  <c r="H664" i="3"/>
  <c r="AB659" i="3"/>
  <c r="AB660" i="3"/>
  <c r="K665" i="3"/>
  <c r="T650" i="3"/>
  <c r="G663" i="3"/>
  <c r="AC657" i="3"/>
  <c r="AG657" i="3"/>
  <c r="L671" i="3"/>
  <c r="AD674" i="3"/>
  <c r="J650" i="3"/>
  <c r="W669" i="3"/>
  <c r="H237" i="3"/>
  <c r="N244" i="3"/>
  <c r="AA235" i="3"/>
  <c r="Q232" i="3"/>
  <c r="AF627" i="3"/>
  <c r="Z626" i="3"/>
  <c r="V616" i="3"/>
  <c r="AA631" i="3"/>
  <c r="Y621" i="3"/>
  <c r="G629" i="3"/>
  <c r="I630" i="3"/>
  <c r="V618" i="3"/>
  <c r="Y613" i="3"/>
  <c r="AC634" i="3"/>
  <c r="Y630" i="3"/>
  <c r="AG624" i="3"/>
  <c r="V629" i="3"/>
  <c r="P621" i="3"/>
  <c r="K615" i="3"/>
  <c r="T616" i="3"/>
  <c r="F631" i="3"/>
  <c r="AD610" i="3"/>
  <c r="O637" i="3"/>
  <c r="AD639" i="3"/>
  <c r="T615" i="3"/>
  <c r="S617" i="3"/>
  <c r="G619" i="3"/>
  <c r="F633" i="3"/>
  <c r="I627" i="3"/>
  <c r="AA610" i="3"/>
  <c r="F621" i="3"/>
  <c r="I633" i="3"/>
  <c r="V610" i="3"/>
  <c r="X613" i="3"/>
  <c r="Y623" i="3"/>
  <c r="R626" i="3"/>
  <c r="Q635" i="3"/>
  <c r="P629" i="3"/>
  <c r="H632" i="3"/>
  <c r="X625" i="3"/>
  <c r="AE613" i="3"/>
  <c r="Z638" i="3"/>
  <c r="Y631" i="3"/>
  <c r="I625" i="3"/>
  <c r="I638" i="3"/>
  <c r="AH625" i="3"/>
  <c r="J614" i="3"/>
  <c r="O617" i="3"/>
  <c r="I122" i="3"/>
  <c r="W141" i="3"/>
  <c r="S142" i="3"/>
  <c r="P116" i="3"/>
  <c r="I120" i="3"/>
  <c r="T139" i="3"/>
  <c r="H136" i="3"/>
  <c r="V123" i="3"/>
  <c r="AC116" i="3"/>
  <c r="I132" i="3"/>
  <c r="AC134" i="3"/>
  <c r="G136" i="3"/>
  <c r="Q119" i="3"/>
  <c r="N124" i="3"/>
  <c r="U125" i="3"/>
  <c r="F123" i="3"/>
  <c r="O126" i="3"/>
  <c r="S117" i="3"/>
  <c r="AD129" i="3"/>
  <c r="R129" i="3"/>
  <c r="AI129" i="3"/>
  <c r="AB138" i="3"/>
  <c r="L129" i="3"/>
  <c r="R123" i="3"/>
  <c r="AD135" i="3"/>
  <c r="Q125" i="3"/>
  <c r="Q132" i="3"/>
  <c r="Y135" i="3"/>
  <c r="O132" i="3"/>
  <c r="AI122" i="3"/>
  <c r="T124" i="3"/>
  <c r="P142" i="3"/>
  <c r="AC125" i="3"/>
  <c r="G132" i="3"/>
  <c r="T141" i="3"/>
  <c r="AC126" i="3"/>
  <c r="L137" i="3"/>
  <c r="M134" i="3"/>
  <c r="Z117" i="3"/>
  <c r="L134" i="3"/>
  <c r="O142" i="3"/>
  <c r="AI140" i="3"/>
  <c r="M144" i="3"/>
  <c r="AF133" i="3"/>
  <c r="S116" i="3"/>
  <c r="AI127" i="3"/>
  <c r="R142" i="3"/>
  <c r="F120" i="3"/>
  <c r="T142" i="3"/>
  <c r="V122" i="3"/>
  <c r="N145" i="3"/>
  <c r="Y130" i="3"/>
  <c r="U131" i="3"/>
  <c r="I131" i="3"/>
  <c r="K141" i="3"/>
  <c r="M127" i="3"/>
  <c r="AF140" i="3"/>
  <c r="U117" i="3"/>
  <c r="G121" i="3"/>
  <c r="V143" i="3"/>
  <c r="F135" i="3"/>
  <c r="AC142" i="3"/>
  <c r="F116" i="3"/>
  <c r="I144" i="3"/>
  <c r="L131" i="3"/>
  <c r="X125" i="3"/>
  <c r="O127" i="3"/>
  <c r="M116" i="3"/>
  <c r="AD143" i="3"/>
  <c r="AC143" i="3"/>
  <c r="Z143" i="3"/>
  <c r="G119" i="3"/>
  <c r="H124" i="3"/>
  <c r="Q133" i="3"/>
  <c r="AB130" i="3"/>
  <c r="AB122" i="3"/>
  <c r="AA133" i="3"/>
  <c r="G116" i="3"/>
  <c r="Z120" i="3"/>
  <c r="G141" i="3"/>
  <c r="Z119" i="3"/>
  <c r="R144" i="3"/>
  <c r="AF129" i="3"/>
  <c r="X120" i="3"/>
  <c r="AG134" i="3"/>
  <c r="J133" i="3"/>
  <c r="F134" i="3"/>
  <c r="S135" i="3"/>
  <c r="Y124" i="3"/>
  <c r="AH137" i="3"/>
  <c r="H123" i="3"/>
  <c r="T144" i="3"/>
  <c r="O119" i="3"/>
  <c r="Z127" i="3"/>
  <c r="J124" i="3"/>
  <c r="AI119" i="3"/>
  <c r="N123" i="3"/>
  <c r="AG138" i="3"/>
  <c r="M133" i="3"/>
  <c r="Y134" i="3"/>
  <c r="AF131" i="3"/>
  <c r="Z136" i="3"/>
  <c r="H128" i="3"/>
  <c r="AG123" i="3"/>
  <c r="AC136" i="3"/>
  <c r="AB143" i="3"/>
  <c r="N137" i="3"/>
  <c r="T128" i="3"/>
  <c r="U118" i="3"/>
  <c r="AC128" i="3"/>
  <c r="W140" i="3"/>
  <c r="Y138" i="3"/>
  <c r="K121" i="3"/>
  <c r="AB125" i="3"/>
  <c r="U120" i="3"/>
  <c r="R126" i="3"/>
  <c r="AD144" i="3"/>
  <c r="S123" i="3"/>
  <c r="AC140" i="3"/>
  <c r="AH140" i="3"/>
  <c r="S139" i="3"/>
  <c r="P121" i="3"/>
  <c r="AG135" i="3"/>
  <c r="M117" i="3"/>
  <c r="Z133" i="3"/>
  <c r="AF139" i="3"/>
  <c r="K128" i="3"/>
  <c r="M123" i="3"/>
  <c r="AB141" i="3"/>
  <c r="N136" i="3"/>
  <c r="AI130" i="3"/>
  <c r="AB124" i="3"/>
  <c r="Z121" i="3"/>
  <c r="H117" i="3"/>
  <c r="Y139" i="3"/>
  <c r="N138" i="3"/>
  <c r="S138" i="3"/>
  <c r="AD120" i="3"/>
  <c r="K144" i="3"/>
  <c r="J128" i="3"/>
  <c r="N135" i="3"/>
  <c r="Z122" i="3"/>
  <c r="U126" i="3"/>
  <c r="U121" i="3"/>
  <c r="X139" i="3"/>
  <c r="AH135" i="3"/>
  <c r="S145" i="3"/>
  <c r="G142" i="3"/>
  <c r="AC127" i="3"/>
  <c r="S133" i="3"/>
  <c r="Q139" i="3"/>
  <c r="G118" i="3"/>
  <c r="N126" i="3"/>
  <c r="V138" i="3"/>
  <c r="J130" i="3"/>
  <c r="AI143" i="3"/>
  <c r="J142" i="3"/>
  <c r="N116" i="3"/>
  <c r="H120" i="3"/>
  <c r="Q142" i="3"/>
  <c r="N127" i="3"/>
  <c r="I121" i="3"/>
  <c r="AG144" i="3"/>
  <c r="M122" i="3"/>
  <c r="AD137" i="3"/>
  <c r="AB134" i="3"/>
  <c r="P135" i="3"/>
  <c r="P120" i="3"/>
  <c r="I118" i="3"/>
  <c r="AF126" i="3"/>
  <c r="AI144" i="3"/>
  <c r="S141" i="3"/>
  <c r="F145" i="3"/>
  <c r="X133" i="3"/>
  <c r="AG121" i="3"/>
  <c r="X121" i="3"/>
  <c r="F128" i="3"/>
  <c r="T120" i="3"/>
  <c r="V141" i="3"/>
  <c r="X126" i="3"/>
  <c r="Z126" i="3"/>
  <c r="H141" i="3"/>
  <c r="AF141" i="3"/>
  <c r="J119" i="3"/>
  <c r="X130" i="3"/>
  <c r="V119" i="3"/>
  <c r="F136" i="3"/>
  <c r="AH124" i="3"/>
  <c r="F142" i="3"/>
  <c r="AC120" i="3"/>
  <c r="X145" i="3"/>
  <c r="I128" i="3"/>
  <c r="AH132" i="3"/>
  <c r="AA117" i="3"/>
  <c r="AI132" i="3"/>
  <c r="AA128" i="3"/>
  <c r="N120" i="3"/>
  <c r="AI141" i="3"/>
  <c r="X118" i="3"/>
  <c r="AC145" i="3"/>
  <c r="AF121" i="3"/>
  <c r="L139" i="3"/>
  <c r="AB129" i="3"/>
  <c r="W127" i="3"/>
  <c r="G145" i="3"/>
  <c r="AH122" i="3"/>
  <c r="J121" i="3"/>
  <c r="R143" i="3"/>
  <c r="S124" i="3"/>
  <c r="I142" i="3"/>
  <c r="J136" i="3"/>
  <c r="Q144" i="3"/>
  <c r="N140" i="3"/>
  <c r="X138" i="3"/>
  <c r="R145" i="3"/>
  <c r="I116" i="3"/>
  <c r="AD134" i="3"/>
  <c r="AE138" i="3"/>
  <c r="T138" i="3"/>
  <c r="K120" i="3"/>
  <c r="P123" i="3"/>
  <c r="W142" i="3"/>
  <c r="AB121" i="3"/>
  <c r="S126" i="3"/>
  <c r="AC139" i="3"/>
  <c r="U140" i="3"/>
  <c r="AA119" i="3"/>
  <c r="V139" i="3"/>
  <c r="P124" i="3"/>
  <c r="U144" i="3"/>
  <c r="U136" i="3"/>
  <c r="X129" i="3"/>
  <c r="R139" i="3"/>
  <c r="O128" i="3"/>
  <c r="J122" i="3"/>
  <c r="Q141" i="3"/>
  <c r="AI138" i="3"/>
  <c r="V233" i="3"/>
  <c r="Q240" i="3"/>
  <c r="AE242" i="3"/>
  <c r="AG255" i="3"/>
  <c r="P236" i="3"/>
  <c r="V254" i="3"/>
  <c r="W248" i="3"/>
  <c r="K243" i="3"/>
  <c r="H249" i="3"/>
  <c r="AG257" i="3"/>
  <c r="I623" i="3"/>
  <c r="U626" i="3"/>
  <c r="P632" i="3"/>
  <c r="U630" i="3"/>
  <c r="V625" i="3"/>
  <c r="X619" i="3"/>
  <c r="Y638" i="3"/>
  <c r="J630" i="3"/>
  <c r="W617" i="3"/>
  <c r="H617" i="3"/>
  <c r="AA616" i="3"/>
  <c r="J617" i="3"/>
  <c r="Q621" i="3"/>
  <c r="L616" i="3"/>
  <c r="AE615" i="3"/>
  <c r="N632" i="3"/>
  <c r="W629" i="3"/>
  <c r="Z614" i="3"/>
  <c r="R627" i="3"/>
  <c r="L632" i="3"/>
  <c r="L623" i="3"/>
  <c r="S633" i="3"/>
  <c r="W628" i="3"/>
  <c r="AE636" i="3"/>
  <c r="H624" i="3"/>
  <c r="AD622" i="3"/>
  <c r="P628" i="3"/>
  <c r="W637" i="3"/>
  <c r="AE611" i="3"/>
  <c r="I617" i="3"/>
  <c r="X633" i="3"/>
  <c r="AC618" i="3"/>
  <c r="AI632" i="3"/>
  <c r="AG620" i="3"/>
  <c r="M626" i="3"/>
  <c r="K632" i="3"/>
  <c r="AD614" i="3"/>
  <c r="AA637" i="3"/>
  <c r="G634" i="3"/>
  <c r="AF634" i="3"/>
  <c r="U620" i="3"/>
  <c r="AA636" i="3"/>
  <c r="AE623" i="3"/>
  <c r="Q626" i="3"/>
  <c r="O631" i="3"/>
  <c r="X612" i="3"/>
  <c r="AF637" i="3"/>
  <c r="K610" i="3"/>
  <c r="N612" i="3"/>
  <c r="Y622" i="3"/>
  <c r="N635" i="3"/>
  <c r="J616" i="3"/>
  <c r="W612" i="3"/>
  <c r="AD613" i="3"/>
  <c r="L618" i="3"/>
  <c r="U625" i="3"/>
  <c r="H616" i="3"/>
  <c r="O620" i="3"/>
  <c r="P615" i="3"/>
  <c r="I628" i="3"/>
  <c r="T620" i="3"/>
  <c r="T639" i="3"/>
  <c r="AC620" i="3"/>
  <c r="N627" i="3"/>
  <c r="S630" i="3"/>
  <c r="AF626" i="3"/>
  <c r="AF620" i="3"/>
  <c r="AD617" i="3"/>
  <c r="S623" i="3"/>
  <c r="K619" i="3"/>
  <c r="M231" i="3"/>
  <c r="X232" i="3"/>
  <c r="AE239" i="3"/>
  <c r="V247" i="3"/>
  <c r="L257" i="3"/>
  <c r="AF258" i="3"/>
  <c r="K257" i="3"/>
  <c r="AF244" i="3"/>
  <c r="N231" i="3"/>
  <c r="L239" i="3"/>
  <c r="V255" i="3"/>
  <c r="AB231" i="3"/>
  <c r="S235" i="3"/>
  <c r="S237" i="3"/>
  <c r="AH236" i="3"/>
  <c r="V252" i="3"/>
  <c r="Z255" i="3"/>
  <c r="T242" i="3"/>
  <c r="P232" i="3"/>
  <c r="Z616" i="3"/>
  <c r="AE616" i="3"/>
  <c r="G638" i="3"/>
  <c r="AB610" i="3"/>
  <c r="L634" i="3"/>
  <c r="W614" i="3"/>
  <c r="Z617" i="3"/>
  <c r="H610" i="3"/>
  <c r="K628" i="3"/>
  <c r="AA638" i="3"/>
  <c r="W632" i="3"/>
  <c r="O621" i="3"/>
  <c r="R617" i="3"/>
  <c r="M623" i="3"/>
  <c r="N613" i="3"/>
  <c r="K635" i="3"/>
  <c r="AI639" i="3"/>
  <c r="AE638" i="3"/>
  <c r="Q627" i="3"/>
  <c r="O626" i="3"/>
  <c r="AC611" i="3"/>
  <c r="F611" i="3"/>
  <c r="X615" i="3"/>
  <c r="Y625" i="3"/>
  <c r="H635" i="3"/>
  <c r="K612" i="3"/>
  <c r="P612" i="3"/>
  <c r="S629" i="3"/>
  <c r="AE626" i="3"/>
  <c r="J633" i="3"/>
  <c r="T637" i="3"/>
  <c r="G628" i="3"/>
  <c r="X611" i="3"/>
  <c r="AE618" i="3"/>
  <c r="AE621" i="3"/>
  <c r="AF638" i="3"/>
  <c r="S616" i="3"/>
  <c r="J638" i="3"/>
  <c r="X614" i="3"/>
  <c r="J637" i="3"/>
  <c r="AD631" i="3"/>
  <c r="O638" i="3"/>
  <c r="F623" i="3"/>
  <c r="Z629" i="3"/>
  <c r="S614" i="3"/>
  <c r="F629" i="3"/>
  <c r="AB628" i="3"/>
  <c r="V632" i="3"/>
  <c r="G625" i="3"/>
  <c r="Q634" i="3"/>
  <c r="H612" i="3"/>
  <c r="W633" i="3"/>
  <c r="P626" i="3"/>
  <c r="M612" i="3"/>
  <c r="Z610" i="3"/>
  <c r="Y615" i="3"/>
  <c r="AD611" i="3"/>
  <c r="L633" i="3"/>
  <c r="L627" i="3"/>
  <c r="AG635" i="3"/>
  <c r="G615" i="3"/>
  <c r="U622" i="3"/>
  <c r="AA613" i="3"/>
  <c r="O610" i="3"/>
  <c r="X629" i="3"/>
  <c r="R629" i="3"/>
  <c r="G622" i="3"/>
  <c r="K633" i="3"/>
  <c r="K617" i="3"/>
  <c r="AB626" i="3"/>
  <c r="P618" i="3"/>
  <c r="AH627" i="3"/>
  <c r="M618" i="3"/>
  <c r="J634" i="3"/>
  <c r="K639" i="3"/>
  <c r="AA617" i="3"/>
  <c r="T624" i="3"/>
  <c r="AD633" i="3"/>
  <c r="V611" i="3"/>
  <c r="V628" i="3"/>
  <c r="I631" i="3"/>
  <c r="U623" i="3"/>
  <c r="U633" i="3"/>
  <c r="G617" i="3"/>
  <c r="S618" i="3"/>
  <c r="Y612" i="3"/>
  <c r="AG621" i="3"/>
  <c r="AC624" i="3"/>
  <c r="AG629" i="3"/>
  <c r="W630" i="3"/>
  <c r="AF616" i="3"/>
  <c r="P627" i="3"/>
  <c r="AF614" i="3"/>
  <c r="AC617" i="3"/>
  <c r="Z611" i="3"/>
  <c r="M629" i="3"/>
  <c r="X636" i="3"/>
  <c r="Z624" i="3"/>
  <c r="M621" i="3"/>
  <c r="X621" i="3"/>
  <c r="AG638" i="3"/>
  <c r="O622" i="3"/>
  <c r="H618" i="3"/>
  <c r="AC613" i="3"/>
  <c r="G637" i="3"/>
  <c r="U614" i="3"/>
  <c r="V635" i="3"/>
  <c r="R637" i="3"/>
  <c r="J610" i="3"/>
  <c r="O630" i="3"/>
  <c r="AD616" i="3"/>
  <c r="O612" i="3"/>
  <c r="AB617" i="3"/>
  <c r="Y637" i="3"/>
  <c r="AG627" i="3"/>
  <c r="AA628" i="3"/>
  <c r="L613" i="3"/>
  <c r="I632" i="3"/>
  <c r="AD627" i="3"/>
  <c r="R639" i="3"/>
  <c r="O619" i="3"/>
  <c r="V621" i="3"/>
  <c r="H631" i="3"/>
  <c r="O615" i="3"/>
  <c r="L626" i="3"/>
  <c r="H615" i="3"/>
  <c r="U629" i="3"/>
  <c r="T627" i="3"/>
  <c r="S636" i="3"/>
  <c r="AD623" i="3"/>
  <c r="AA632" i="3"/>
  <c r="F636" i="3"/>
  <c r="AI613" i="3"/>
  <c r="M638" i="3"/>
  <c r="AE627" i="3"/>
  <c r="S611" i="3"/>
  <c r="AA614" i="3"/>
  <c r="L625" i="3"/>
  <c r="W625" i="3"/>
  <c r="R624" i="3"/>
  <c r="AG117" i="3"/>
  <c r="U129" i="3"/>
  <c r="Q130" i="3"/>
  <c r="P127" i="3"/>
  <c r="K140" i="3"/>
  <c r="F129" i="3"/>
  <c r="S132" i="3"/>
  <c r="AE132" i="3"/>
  <c r="AB139" i="3"/>
  <c r="AD139" i="3"/>
  <c r="L132" i="3"/>
  <c r="W132" i="3"/>
  <c r="S140" i="3"/>
  <c r="AA134" i="3"/>
  <c r="U135" i="3"/>
  <c r="AH125" i="3"/>
  <c r="O124" i="3"/>
  <c r="O117" i="3"/>
  <c r="P122" i="3"/>
  <c r="Y145" i="3"/>
  <c r="H135" i="3"/>
  <c r="P144" i="3"/>
  <c r="Q129" i="3"/>
  <c r="V117" i="3"/>
  <c r="W131" i="3"/>
  <c r="AB116" i="3"/>
  <c r="Z137" i="3"/>
  <c r="AB133" i="3"/>
  <c r="Y141" i="3"/>
  <c r="Q116" i="3"/>
  <c r="AH139" i="3"/>
  <c r="I139" i="3"/>
  <c r="AB126" i="3"/>
  <c r="L119" i="3"/>
  <c r="S121" i="3"/>
  <c r="S120" i="3"/>
  <c r="K135" i="3"/>
  <c r="S118" i="3"/>
  <c r="Q138" i="3"/>
  <c r="Z131" i="3"/>
  <c r="AB120" i="3"/>
  <c r="AG119" i="3"/>
  <c r="F137" i="3"/>
  <c r="W137" i="3"/>
  <c r="T116" i="3"/>
  <c r="AF128" i="3"/>
  <c r="AG139" i="3"/>
  <c r="I141" i="3"/>
  <c r="R136" i="3"/>
  <c r="V129" i="3"/>
  <c r="U123" i="3"/>
  <c r="AH123" i="3"/>
  <c r="AA131" i="3"/>
  <c r="AE144" i="3"/>
  <c r="K124" i="3"/>
  <c r="P118" i="3"/>
  <c r="AE134" i="3"/>
  <c r="R137" i="3"/>
  <c r="T121" i="3"/>
  <c r="L133" i="3"/>
  <c r="AF143" i="3"/>
  <c r="AD116" i="3"/>
  <c r="AE143" i="3"/>
  <c r="AB131" i="3"/>
  <c r="Z144" i="3"/>
  <c r="AC123" i="3"/>
  <c r="I136" i="3"/>
  <c r="Y128" i="3"/>
  <c r="Q122" i="3"/>
  <c r="N118" i="3"/>
  <c r="I143" i="3"/>
  <c r="AE116" i="3"/>
  <c r="Z132" i="3"/>
  <c r="AD131" i="3"/>
  <c r="L117" i="3"/>
  <c r="AA118" i="3"/>
  <c r="J141" i="3"/>
  <c r="S137" i="3"/>
  <c r="AA126" i="3"/>
  <c r="R127" i="3"/>
  <c r="Q123" i="3"/>
  <c r="X134" i="3"/>
  <c r="AH126" i="3"/>
  <c r="U141" i="3"/>
  <c r="AG125" i="3"/>
  <c r="Z123" i="3"/>
  <c r="AA120" i="3"/>
  <c r="H131" i="3"/>
  <c r="J116" i="3"/>
  <c r="U133" i="3"/>
  <c r="V124" i="3"/>
  <c r="W134" i="3"/>
  <c r="H121" i="3"/>
  <c r="AG128" i="3"/>
  <c r="X124" i="3"/>
  <c r="AI142" i="3"/>
  <c r="AE122" i="3"/>
  <c r="AH127" i="3"/>
  <c r="S136" i="3"/>
  <c r="AH138" i="3"/>
  <c r="AD145" i="3"/>
  <c r="J135" i="3"/>
  <c r="AE140" i="3"/>
  <c r="M119" i="3"/>
  <c r="Q145" i="3"/>
  <c r="H130" i="3"/>
  <c r="P136" i="3"/>
  <c r="L120" i="3"/>
  <c r="W120" i="3"/>
  <c r="AD133" i="3"/>
  <c r="X117" i="3"/>
  <c r="AE135" i="3"/>
  <c r="M143" i="3"/>
  <c r="AA129" i="3"/>
  <c r="AC135" i="3"/>
  <c r="Q118" i="3"/>
  <c r="N125" i="3"/>
  <c r="V135" i="3"/>
  <c r="Q124" i="3"/>
  <c r="W117" i="3"/>
  <c r="AF130" i="3"/>
  <c r="M118" i="3"/>
  <c r="Y143" i="3"/>
  <c r="AG131" i="3"/>
  <c r="Y133" i="3"/>
  <c r="F119" i="3"/>
  <c r="U143" i="3"/>
  <c r="H143" i="3"/>
  <c r="AH143" i="3"/>
  <c r="O118" i="3"/>
  <c r="AA121" i="3"/>
  <c r="X132" i="3"/>
  <c r="J134" i="3"/>
  <c r="U128" i="3"/>
  <c r="P139" i="3"/>
  <c r="N130" i="3"/>
  <c r="AC137" i="3"/>
  <c r="AA139" i="3"/>
  <c r="M137" i="3"/>
  <c r="I138" i="3"/>
  <c r="AI123" i="3"/>
  <c r="W135" i="3"/>
  <c r="AF127" i="3"/>
  <c r="F141" i="3"/>
  <c r="G130" i="3"/>
  <c r="L124" i="3"/>
  <c r="M139" i="3"/>
  <c r="AE123" i="3"/>
  <c r="V137" i="3"/>
  <c r="J127" i="3"/>
  <c r="R116" i="3"/>
  <c r="AD142" i="3"/>
  <c r="I125" i="3"/>
  <c r="Y136" i="3"/>
  <c r="AE129" i="3"/>
  <c r="M132" i="3"/>
  <c r="W123" i="3"/>
  <c r="X141" i="3"/>
  <c r="AH141" i="3"/>
  <c r="AD122" i="3"/>
  <c r="Z128" i="3"/>
  <c r="U145" i="3"/>
  <c r="T140" i="3"/>
  <c r="Y120" i="3"/>
  <c r="I117" i="3"/>
  <c r="Q140" i="3"/>
  <c r="X143" i="3"/>
  <c r="W125" i="3"/>
  <c r="L141" i="3"/>
  <c r="AA145" i="3"/>
  <c r="R130" i="3"/>
  <c r="AA130" i="3"/>
  <c r="O130" i="3"/>
  <c r="AC118" i="3"/>
  <c r="P129" i="3"/>
  <c r="R134" i="3"/>
  <c r="V121" i="3"/>
  <c r="P133" i="3"/>
  <c r="S131" i="3"/>
  <c r="W121" i="3"/>
  <c r="N132" i="3"/>
  <c r="H126" i="3"/>
  <c r="H132" i="3"/>
  <c r="K137" i="3"/>
  <c r="K122" i="3"/>
  <c r="Z138" i="3"/>
  <c r="X144" i="3"/>
  <c r="R118" i="3"/>
  <c r="G144" i="3"/>
  <c r="X140" i="3"/>
  <c r="F126" i="3"/>
  <c r="M129" i="3"/>
  <c r="AG140" i="3"/>
  <c r="P131" i="3"/>
  <c r="M130" i="3"/>
  <c r="R141" i="3"/>
  <c r="AA116" i="3"/>
  <c r="AH142" i="3"/>
  <c r="L138" i="3"/>
  <c r="Q143" i="3"/>
  <c r="AI117" i="3"/>
  <c r="Z139" i="3"/>
  <c r="V130" i="3"/>
  <c r="AE117" i="3"/>
  <c r="Y117" i="3"/>
  <c r="W129" i="3"/>
  <c r="N142" i="3"/>
  <c r="Y140" i="3"/>
  <c r="T118" i="3"/>
  <c r="L140" i="3"/>
  <c r="P132" i="3"/>
  <c r="G123" i="3"/>
  <c r="AB123" i="3"/>
  <c r="G139" i="3"/>
  <c r="M121" i="3"/>
  <c r="S128" i="3"/>
  <c r="T134" i="3"/>
  <c r="O133" i="3"/>
  <c r="R140" i="3"/>
  <c r="AI139" i="3"/>
  <c r="G143" i="3"/>
  <c r="J129" i="3"/>
  <c r="J123" i="3"/>
  <c r="J118" i="3"/>
  <c r="F131" i="3"/>
  <c r="R120" i="3"/>
  <c r="AD123" i="3"/>
  <c r="T127" i="3"/>
  <c r="K142" i="3"/>
  <c r="T117" i="3"/>
  <c r="V145" i="3"/>
  <c r="R128" i="3"/>
  <c r="G128" i="3"/>
  <c r="P140" i="3"/>
  <c r="AI121" i="3"/>
  <c r="R121" i="3"/>
  <c r="Q137" i="3"/>
  <c r="F138" i="3"/>
  <c r="AE125" i="3"/>
  <c r="AD132" i="3"/>
  <c r="U127" i="3"/>
  <c r="AG133" i="3"/>
  <c r="P117" i="3"/>
  <c r="N117" i="3"/>
  <c r="AC129" i="3"/>
  <c r="S129" i="3"/>
  <c r="H137" i="3"/>
  <c r="J125" i="3"/>
  <c r="L116" i="3"/>
  <c r="AG122" i="3"/>
  <c r="AA123" i="3"/>
  <c r="AG137" i="3"/>
  <c r="P143" i="3"/>
  <c r="AE124" i="3"/>
  <c r="AH118" i="3"/>
  <c r="AC232" i="3"/>
  <c r="AF241" i="3"/>
  <c r="AB259" i="3"/>
  <c r="AH238" i="3"/>
  <c r="R231" i="3"/>
  <c r="AD257" i="3"/>
  <c r="AC245" i="3"/>
  <c r="Y252" i="3"/>
  <c r="K239" i="3"/>
  <c r="K245" i="3"/>
  <c r="L247" i="3"/>
  <c r="O234" i="3"/>
  <c r="M246" i="3"/>
  <c r="R246" i="3"/>
  <c r="G232" i="3"/>
  <c r="AI244" i="3"/>
  <c r="N230" i="3"/>
  <c r="W255" i="3"/>
  <c r="T231" i="3"/>
  <c r="M239" i="3"/>
  <c r="X253" i="3"/>
  <c r="AB256" i="3"/>
  <c r="X247" i="3"/>
  <c r="AG230" i="3"/>
  <c r="AD246" i="3"/>
  <c r="AG252" i="3"/>
  <c r="G252" i="3"/>
  <c r="X254" i="3"/>
  <c r="G239" i="3"/>
  <c r="AF236" i="3"/>
  <c r="F239" i="3"/>
  <c r="V242" i="3"/>
  <c r="M247" i="3"/>
  <c r="K244" i="3"/>
  <c r="AB232" i="3"/>
  <c r="AA250" i="3"/>
  <c r="AG240" i="3"/>
  <c r="O258" i="3"/>
  <c r="AG254" i="3"/>
  <c r="X626" i="3"/>
  <c r="K623" i="3"/>
  <c r="Y618" i="3"/>
  <c r="R616" i="3"/>
  <c r="L614" i="3"/>
  <c r="J639" i="3"/>
  <c r="AB622" i="3"/>
  <c r="AA630" i="3"/>
  <c r="W610" i="3"/>
  <c r="L638" i="3"/>
  <c r="L629" i="3"/>
  <c r="P625" i="3"/>
  <c r="F612" i="3"/>
  <c r="H614" i="3"/>
  <c r="AB612" i="3"/>
  <c r="Q628" i="3"/>
  <c r="AF615" i="3"/>
  <c r="AE637" i="3"/>
  <c r="AI630" i="3"/>
  <c r="K624" i="3"/>
  <c r="J621" i="3"/>
  <c r="M637" i="3"/>
  <c r="AB611" i="3"/>
  <c r="J612" i="3"/>
  <c r="X610" i="3"/>
  <c r="U612" i="3"/>
  <c r="M628" i="3"/>
  <c r="AF613" i="3"/>
  <c r="AI628" i="3"/>
  <c r="P639" i="3"/>
  <c r="H619" i="3"/>
  <c r="R630" i="3"/>
  <c r="T631" i="3"/>
  <c r="P624" i="3"/>
  <c r="W621" i="3"/>
  <c r="AI619" i="3"/>
  <c r="AI617" i="3"/>
  <c r="AC637" i="3"/>
  <c r="Q616" i="3"/>
  <c r="Y620" i="3"/>
  <c r="AF633" i="3"/>
  <c r="S634" i="3"/>
  <c r="G614" i="3"/>
  <c r="K636" i="3"/>
  <c r="L620" i="3"/>
  <c r="M635" i="3"/>
  <c r="J627" i="3"/>
  <c r="AA623" i="3"/>
  <c r="AB624" i="3"/>
  <c r="P616" i="3"/>
  <c r="U619" i="3"/>
  <c r="AB619" i="3"/>
  <c r="Q624" i="3"/>
  <c r="W635" i="3"/>
  <c r="Q617" i="3"/>
  <c r="Y614" i="3"/>
  <c r="Y628" i="3"/>
  <c r="V619" i="3"/>
  <c r="Q631" i="3"/>
  <c r="M625" i="3"/>
  <c r="J613" i="3"/>
  <c r="X623" i="3"/>
  <c r="AA620" i="3"/>
  <c r="X635" i="3"/>
  <c r="W619" i="3"/>
  <c r="Z619" i="3"/>
  <c r="Y627" i="3"/>
  <c r="I621" i="3"/>
  <c r="AI618" i="3"/>
  <c r="X628" i="3"/>
  <c r="AI615" i="3"/>
  <c r="J636" i="3"/>
  <c r="J623" i="3"/>
  <c r="H626" i="3"/>
  <c r="S639" i="3"/>
  <c r="Z625" i="3"/>
  <c r="O623" i="3"/>
  <c r="AG616" i="3"/>
  <c r="N625" i="3"/>
  <c r="AA624" i="3"/>
  <c r="F635" i="3"/>
  <c r="AI636" i="3"/>
  <c r="R614" i="3"/>
  <c r="O632" i="3"/>
  <c r="AG630" i="3"/>
  <c r="AB631" i="3"/>
  <c r="X637" i="3"/>
  <c r="P623" i="3"/>
  <c r="O611" i="3"/>
  <c r="Y617" i="3"/>
  <c r="Z613" i="3"/>
  <c r="M610" i="3"/>
  <c r="N637" i="3"/>
  <c r="N638" i="3"/>
  <c r="W627" i="3"/>
  <c r="Q632" i="3"/>
  <c r="P614" i="3"/>
  <c r="S612" i="3"/>
  <c r="AD618" i="3"/>
  <c r="Y633" i="3"/>
  <c r="K625" i="3"/>
  <c r="AH616" i="3"/>
  <c r="M620" i="3"/>
  <c r="O636" i="3"/>
  <c r="F618" i="3"/>
  <c r="AB615" i="3"/>
  <c r="H636" i="3"/>
  <c r="X639" i="3"/>
  <c r="AH610" i="3"/>
  <c r="O628" i="3"/>
  <c r="N626" i="3"/>
  <c r="AG631" i="3"/>
  <c r="R635" i="3"/>
  <c r="F637" i="3"/>
  <c r="V637" i="3"/>
  <c r="Z637" i="3"/>
  <c r="AB638" i="3"/>
  <c r="AC612" i="3"/>
  <c r="AB618" i="3"/>
  <c r="H628" i="3"/>
  <c r="AD629" i="3"/>
  <c r="T618" i="3"/>
  <c r="G616" i="3"/>
  <c r="O634" i="3"/>
  <c r="G620" i="3"/>
  <c r="O633" i="3"/>
  <c r="AC621" i="3"/>
  <c r="F624" i="3"/>
  <c r="S619" i="3"/>
  <c r="N631" i="3"/>
  <c r="Z633" i="3"/>
  <c r="Z615" i="3"/>
  <c r="F610" i="3"/>
  <c r="R628" i="3"/>
  <c r="Q614" i="3"/>
  <c r="AF623" i="3"/>
  <c r="M622" i="3"/>
  <c r="AB623" i="3"/>
  <c r="AA639" i="3"/>
  <c r="U611" i="3"/>
  <c r="G626" i="3"/>
  <c r="R622" i="3"/>
  <c r="N621" i="3"/>
  <c r="AD632" i="3"/>
  <c r="AG622" i="3"/>
  <c r="I613" i="3"/>
  <c r="AE620" i="3"/>
  <c r="L636" i="3"/>
  <c r="T626" i="3"/>
  <c r="AD619" i="3"/>
  <c r="AF630" i="3"/>
  <c r="X638" i="3"/>
  <c r="I619" i="3"/>
  <c r="AG610" i="3"/>
  <c r="AG613" i="3"/>
  <c r="U616" i="3"/>
  <c r="AD636" i="3"/>
  <c r="AC615" i="3"/>
  <c r="U624" i="3"/>
  <c r="AA615" i="3"/>
  <c r="V620" i="3"/>
  <c r="Z639" i="3"/>
  <c r="M617" i="3"/>
  <c r="I639" i="3"/>
  <c r="K618" i="3"/>
  <c r="H633" i="3"/>
  <c r="M633" i="3"/>
  <c r="G627" i="3"/>
  <c r="F619" i="3"/>
  <c r="W631" i="3"/>
  <c r="G623" i="3"/>
  <c r="M614" i="3"/>
  <c r="N610" i="3"/>
  <c r="AC626" i="3"/>
  <c r="AC627" i="3"/>
  <c r="AH622" i="3"/>
  <c r="AI620" i="3"/>
  <c r="K613" i="3"/>
  <c r="AH638" i="3"/>
  <c r="AI638" i="3"/>
  <c r="P619" i="3"/>
  <c r="AA619" i="3"/>
  <c r="G611" i="3"/>
  <c r="T619" i="3"/>
  <c r="R633" i="3"/>
  <c r="AH631" i="3"/>
  <c r="F615" i="3"/>
  <c r="G635" i="3"/>
  <c r="H623" i="3"/>
  <c r="W638" i="3"/>
  <c r="H639" i="3"/>
  <c r="O618" i="3"/>
  <c r="J629" i="3"/>
  <c r="T629" i="3"/>
  <c r="Q610" i="3"/>
  <c r="U627" i="3"/>
  <c r="AF610" i="3"/>
  <c r="V614" i="3"/>
  <c r="AI637" i="3"/>
  <c r="I637" i="3"/>
  <c r="F613" i="3"/>
  <c r="P630" i="3"/>
  <c r="Z634" i="3"/>
  <c r="P631" i="3"/>
  <c r="AD621" i="3"/>
  <c r="T628" i="3"/>
  <c r="R610" i="3"/>
  <c r="Y639" i="3"/>
  <c r="R615" i="3"/>
  <c r="S632" i="3"/>
  <c r="V613" i="3"/>
  <c r="S621" i="3"/>
  <c r="AI622" i="3"/>
  <c r="O639" i="3"/>
  <c r="AF625" i="3"/>
  <c r="F628" i="3"/>
  <c r="K620" i="3"/>
  <c r="AI614" i="3"/>
  <c r="K616" i="3"/>
  <c r="H613" i="3"/>
  <c r="N639" i="3"/>
  <c r="L612" i="3"/>
  <c r="F622" i="3"/>
  <c r="M616" i="3"/>
  <c r="AI610" i="3"/>
  <c r="AB633" i="3"/>
  <c r="AI624" i="3"/>
  <c r="P637" i="3"/>
  <c r="AC614" i="3"/>
  <c r="W626" i="3"/>
  <c r="S627" i="3"/>
  <c r="R613" i="3"/>
  <c r="AE625" i="3"/>
  <c r="R619" i="3"/>
  <c r="AA625" i="3"/>
  <c r="AC638" i="3"/>
  <c r="F634" i="3"/>
  <c r="AE631" i="3"/>
  <c r="AC639" i="3"/>
  <c r="L615" i="3"/>
  <c r="I614" i="3"/>
  <c r="X627" i="3"/>
  <c r="P633" i="3"/>
  <c r="AG611" i="3"/>
  <c r="Y624" i="3"/>
  <c r="L639" i="3"/>
  <c r="S615" i="3"/>
  <c r="J619" i="3"/>
  <c r="AD637" i="3"/>
  <c r="G612" i="3"/>
  <c r="AH611" i="3"/>
  <c r="Q638" i="3"/>
  <c r="V630" i="3"/>
  <c r="AG617" i="3"/>
  <c r="Y636" i="3"/>
  <c r="AH612" i="3"/>
  <c r="T612" i="3"/>
  <c r="H627" i="3"/>
  <c r="Q639" i="3"/>
  <c r="AB632" i="3"/>
  <c r="AD612" i="3"/>
  <c r="P617" i="3"/>
  <c r="AB620" i="3"/>
  <c r="R621" i="3"/>
  <c r="AG618" i="3"/>
  <c r="T617" i="3"/>
  <c r="AG634" i="3"/>
  <c r="J615" i="3"/>
  <c r="AC616" i="3"/>
  <c r="Q633" i="3"/>
  <c r="X634" i="3"/>
  <c r="AF612" i="3"/>
  <c r="J628" i="3"/>
  <c r="P635" i="3"/>
  <c r="J625" i="3"/>
  <c r="AG612" i="3"/>
  <c r="Q636" i="3"/>
  <c r="I622" i="3"/>
  <c r="Q629" i="3"/>
  <c r="AB613" i="3"/>
  <c r="N615" i="3"/>
  <c r="Q613" i="3"/>
  <c r="AB630" i="3"/>
  <c r="AG625" i="3"/>
  <c r="S613" i="3"/>
  <c r="L619" i="3"/>
  <c r="V638" i="3"/>
  <c r="X631" i="3"/>
  <c r="P611" i="3"/>
  <c r="V626" i="3"/>
  <c r="S622" i="3"/>
  <c r="T630" i="3"/>
  <c r="AG639" i="3"/>
  <c r="P636" i="3"/>
  <c r="K629" i="3"/>
  <c r="S620" i="3"/>
  <c r="L628" i="3"/>
  <c r="O627" i="3"/>
  <c r="L621" i="3"/>
  <c r="G624" i="3"/>
  <c r="Z622" i="3"/>
  <c r="AB625" i="3"/>
  <c r="AI627" i="3"/>
  <c r="Z612" i="3"/>
  <c r="P634" i="3"/>
  <c r="T621" i="3"/>
  <c r="F627" i="3"/>
  <c r="H625" i="3"/>
  <c r="K622" i="3"/>
  <c r="AI629" i="3"/>
  <c r="U636" i="3"/>
  <c r="F638" i="3"/>
  <c r="I636" i="3"/>
  <c r="AB636" i="3"/>
  <c r="AC623" i="3"/>
  <c r="AA621" i="3"/>
  <c r="V633" i="3"/>
  <c r="AA627" i="3"/>
  <c r="O614" i="3"/>
  <c r="AG614" i="3"/>
  <c r="AB639" i="3"/>
  <c r="AE628" i="3"/>
  <c r="M632" i="3"/>
  <c r="AG628" i="3"/>
  <c r="M639" i="3"/>
  <c r="S637" i="3"/>
  <c r="W611" i="3"/>
  <c r="G636" i="3"/>
  <c r="AH633" i="3"/>
  <c r="W623" i="3"/>
  <c r="P620" i="3"/>
  <c r="AG633" i="3"/>
  <c r="K637" i="3"/>
  <c r="AF622" i="3"/>
  <c r="R618" i="3"/>
  <c r="V615" i="3"/>
  <c r="F617" i="3"/>
  <c r="AH637" i="3"/>
  <c r="AD634" i="3"/>
  <c r="AF617" i="3"/>
  <c r="I616" i="3"/>
  <c r="M624" i="3"/>
  <c r="Z621" i="3"/>
  <c r="X632" i="3"/>
  <c r="Q618" i="3"/>
  <c r="AE617" i="3"/>
  <c r="T634" i="3"/>
  <c r="I620" i="3"/>
  <c r="K614" i="3"/>
  <c r="Q623" i="3"/>
  <c r="AF636" i="3"/>
  <c r="AE635" i="3"/>
  <c r="H629" i="3"/>
  <c r="L631" i="3"/>
  <c r="H621" i="3"/>
  <c r="Z636" i="3"/>
  <c r="Y629" i="3"/>
  <c r="P610" i="3"/>
  <c r="AE630" i="3"/>
  <c r="AC629" i="3"/>
  <c r="Z623" i="3"/>
  <c r="Q622" i="3"/>
  <c r="Q615" i="3"/>
  <c r="AF621" i="3"/>
  <c r="O625" i="3"/>
  <c r="AH626" i="3"/>
  <c r="O635" i="3"/>
  <c r="R634" i="3"/>
  <c r="U637" i="3"/>
  <c r="N624" i="3"/>
  <c r="V636" i="3"/>
  <c r="U634" i="3"/>
  <c r="N618" i="3"/>
  <c r="AH635" i="3"/>
  <c r="AI625" i="3"/>
  <c r="G631" i="3"/>
  <c r="AH618" i="3"/>
  <c r="W634" i="3"/>
  <c r="M631" i="3"/>
  <c r="W618" i="3"/>
  <c r="AI623" i="3"/>
  <c r="AB621" i="3"/>
  <c r="N622" i="3"/>
  <c r="K638" i="3"/>
  <c r="AA626" i="3"/>
  <c r="U618" i="3"/>
  <c r="AE632" i="3"/>
  <c r="AH632" i="3"/>
  <c r="T625" i="3"/>
  <c r="AC628" i="3"/>
  <c r="R638" i="3"/>
  <c r="AH624" i="3"/>
  <c r="AH620" i="3"/>
  <c r="AH636" i="3"/>
  <c r="U638" i="3"/>
  <c r="G630" i="3"/>
  <c r="I615" i="3"/>
  <c r="AC625" i="3"/>
  <c r="T638" i="3"/>
  <c r="U628" i="3"/>
  <c r="N633" i="3"/>
  <c r="AI634" i="3"/>
  <c r="T622" i="3"/>
  <c r="W616" i="3"/>
  <c r="AC633" i="3"/>
  <c r="AC635" i="3"/>
  <c r="AH615" i="3"/>
  <c r="U617" i="3"/>
  <c r="W622" i="3"/>
  <c r="I611" i="3"/>
  <c r="N629" i="3"/>
  <c r="AG637" i="3"/>
  <c r="W620" i="3"/>
  <c r="V623" i="3"/>
  <c r="S626" i="3"/>
  <c r="AG623" i="3"/>
  <c r="X620" i="3"/>
  <c r="U621" i="3"/>
  <c r="U613" i="3"/>
  <c r="M634" i="3"/>
  <c r="H634" i="3"/>
  <c r="AH639" i="3"/>
  <c r="AE622" i="3"/>
  <c r="AG626" i="3"/>
  <c r="H630" i="3"/>
  <c r="X617" i="3"/>
  <c r="AI612" i="3"/>
  <c r="X630" i="3"/>
  <c r="R631" i="3"/>
  <c r="X616" i="3"/>
  <c r="Z635" i="3"/>
  <c r="AE633" i="3"/>
  <c r="AD624" i="3"/>
  <c r="Q612" i="3"/>
  <c r="AE610" i="3"/>
  <c r="I610" i="3"/>
  <c r="AD638" i="3"/>
  <c r="Y632" i="3"/>
  <c r="AD626" i="3"/>
  <c r="AF624" i="3"/>
  <c r="R636" i="3"/>
  <c r="K621" i="3"/>
  <c r="AA618" i="3"/>
  <c r="F632" i="3"/>
  <c r="L635" i="3"/>
  <c r="AD628" i="3"/>
  <c r="Y610" i="3"/>
  <c r="P638" i="3"/>
  <c r="AB629" i="3"/>
  <c r="N634" i="3"/>
  <c r="T623" i="3"/>
  <c r="AI626" i="3"/>
  <c r="AH630" i="3"/>
  <c r="Q637" i="3"/>
  <c r="O624" i="3"/>
  <c r="AB627" i="3"/>
  <c r="V622" i="3"/>
  <c r="AG615" i="3"/>
  <c r="R632" i="3"/>
  <c r="O616" i="3"/>
  <c r="Q630" i="3"/>
  <c r="J632" i="3"/>
  <c r="I634" i="3"/>
  <c r="AI611" i="3"/>
  <c r="T610" i="3"/>
  <c r="AB634" i="3"/>
  <c r="AE612" i="3"/>
  <c r="T633" i="3"/>
  <c r="J631" i="3"/>
  <c r="L630" i="3"/>
  <c r="G632" i="3"/>
  <c r="T611" i="3"/>
  <c r="V627" i="3"/>
  <c r="J618" i="3"/>
  <c r="U610" i="3"/>
  <c r="F620" i="3"/>
  <c r="AC632" i="3"/>
  <c r="AC636" i="3"/>
  <c r="J620" i="3"/>
  <c r="AE619" i="3"/>
  <c r="T635" i="3"/>
  <c r="AH619" i="3"/>
  <c r="I618" i="3"/>
  <c r="AG619" i="3"/>
  <c r="Z618" i="3"/>
  <c r="AD620" i="3"/>
  <c r="M615" i="3"/>
  <c r="AI633" i="3"/>
  <c r="F639" i="3"/>
  <c r="AA629" i="3"/>
  <c r="V631" i="3"/>
  <c r="U639" i="3"/>
  <c r="Z620" i="3"/>
  <c r="F614" i="3"/>
  <c r="AF619" i="3"/>
  <c r="T636" i="3"/>
  <c r="L617" i="3"/>
  <c r="M636" i="3"/>
  <c r="AG632" i="3"/>
  <c r="T613" i="3"/>
  <c r="F630" i="3"/>
  <c r="AD615" i="3"/>
  <c r="H638" i="3"/>
  <c r="AF635" i="3"/>
  <c r="N614" i="3"/>
  <c r="W636" i="3"/>
  <c r="S624" i="3"/>
  <c r="AB637" i="3"/>
  <c r="AB616" i="3"/>
  <c r="AG636" i="3"/>
  <c r="Z632" i="3"/>
  <c r="W613" i="3"/>
  <c r="S635" i="3"/>
  <c r="N630" i="3"/>
  <c r="O613" i="3"/>
  <c r="S631" i="3"/>
  <c r="U631" i="3"/>
  <c r="R612" i="3"/>
  <c r="J611" i="3"/>
  <c r="AE614" i="3"/>
  <c r="Y635" i="3"/>
  <c r="AA634" i="3"/>
  <c r="AH623" i="3"/>
  <c r="V612" i="3"/>
  <c r="S625" i="3"/>
  <c r="I629" i="3"/>
  <c r="AF629" i="3"/>
  <c r="R623" i="3"/>
  <c r="J624" i="3"/>
  <c r="T632" i="3"/>
  <c r="Q620" i="3"/>
  <c r="L637" i="3"/>
  <c r="AE624" i="3"/>
  <c r="M619" i="3"/>
  <c r="AD630" i="3"/>
  <c r="AI631" i="3"/>
  <c r="J626" i="3"/>
  <c r="K611" i="3"/>
  <c r="H637" i="3"/>
  <c r="S628" i="3"/>
  <c r="AD635" i="3"/>
  <c r="N617" i="3"/>
  <c r="H620" i="3"/>
  <c r="U615" i="3"/>
  <c r="I626" i="3"/>
  <c r="J635" i="3"/>
  <c r="G618" i="3"/>
  <c r="AF611" i="3"/>
  <c r="I612" i="3"/>
  <c r="P622" i="3"/>
  <c r="X624" i="3"/>
  <c r="V624" i="3"/>
  <c r="U632" i="3"/>
  <c r="Z628" i="3"/>
  <c r="G621" i="3"/>
  <c r="S638" i="3"/>
  <c r="Q611" i="3"/>
  <c r="U635" i="3"/>
  <c r="AF631" i="3"/>
  <c r="AC610" i="3"/>
  <c r="AH621" i="3"/>
  <c r="N628" i="3"/>
  <c r="H622" i="3"/>
  <c r="AA622" i="3"/>
  <c r="AA633" i="3"/>
  <c r="N619" i="3"/>
  <c r="W615" i="3"/>
  <c r="Y626" i="3"/>
  <c r="P613" i="3"/>
  <c r="AH634" i="3"/>
  <c r="X622" i="3"/>
  <c r="Q619" i="3"/>
  <c r="W624" i="3"/>
  <c r="W639" i="3"/>
  <c r="AC619" i="3"/>
  <c r="M611" i="3"/>
  <c r="F616" i="3"/>
  <c r="AE634" i="3"/>
  <c r="Y619" i="3"/>
  <c r="AH613" i="3"/>
  <c r="V639" i="3"/>
  <c r="J622" i="3"/>
  <c r="Z631" i="3"/>
  <c r="AE639" i="3"/>
  <c r="N620" i="3"/>
  <c r="R620" i="3"/>
  <c r="R611" i="3"/>
  <c r="K631" i="3"/>
  <c r="K627" i="3"/>
  <c r="AD625" i="3"/>
  <c r="AF628" i="3"/>
  <c r="AA612" i="3"/>
  <c r="G633" i="3"/>
  <c r="V617" i="3"/>
  <c r="AH614" i="3"/>
  <c r="N616" i="3"/>
  <c r="AC622" i="3"/>
  <c r="AF632" i="3"/>
  <c r="R625" i="3"/>
  <c r="X618" i="3"/>
  <c r="M630" i="3"/>
  <c r="Z630" i="3"/>
  <c r="Y616" i="3"/>
  <c r="H611" i="3"/>
  <c r="G639" i="3"/>
  <c r="AB635" i="3"/>
  <c r="G613" i="3"/>
  <c r="G610" i="3"/>
  <c r="AB614" i="3"/>
  <c r="AC630" i="3"/>
  <c r="L610" i="3"/>
  <c r="Z627" i="3"/>
  <c r="F626" i="3"/>
  <c r="AC631" i="3"/>
  <c r="Q625" i="3"/>
  <c r="L611" i="3"/>
  <c r="I624" i="3"/>
  <c r="AH617" i="3"/>
  <c r="K634" i="3"/>
  <c r="F144" i="3"/>
  <c r="Y123" i="3"/>
  <c r="F140" i="3"/>
  <c r="AH129" i="3"/>
  <c r="AE131" i="3"/>
  <c r="W138" i="3"/>
  <c r="K118" i="3"/>
  <c r="Y119" i="3"/>
  <c r="W145" i="3"/>
  <c r="H125" i="3"/>
  <c r="P126" i="3"/>
  <c r="O143" i="3"/>
  <c r="U142" i="3"/>
  <c r="X127" i="3"/>
  <c r="O145" i="3"/>
  <c r="H133" i="3"/>
  <c r="I126" i="3"/>
  <c r="AC138" i="3"/>
  <c r="AE141" i="3"/>
  <c r="AG124" i="3"/>
  <c r="H119" i="3"/>
  <c r="X128" i="3"/>
  <c r="AI125" i="3"/>
  <c r="J145" i="3"/>
  <c r="P145" i="3"/>
  <c r="AF134" i="3"/>
  <c r="AA142" i="3"/>
  <c r="V120" i="3"/>
  <c r="Z129" i="3"/>
  <c r="I130" i="3"/>
  <c r="Y131" i="3"/>
  <c r="AF136" i="3"/>
  <c r="M135" i="3"/>
  <c r="F139" i="3"/>
  <c r="Y137" i="3"/>
  <c r="O137" i="3"/>
  <c r="L128" i="3"/>
  <c r="N129" i="3"/>
  <c r="W119" i="3"/>
  <c r="F122" i="3"/>
  <c r="N122" i="3"/>
  <c r="G138" i="3"/>
  <c r="AF142" i="3"/>
  <c r="U119" i="3"/>
  <c r="K132" i="3"/>
  <c r="V125" i="3"/>
  <c r="O131" i="3"/>
  <c r="N143" i="3"/>
  <c r="AB144" i="3"/>
  <c r="P128" i="3"/>
  <c r="AC144" i="3"/>
  <c r="L143" i="3"/>
  <c r="Z140" i="3"/>
  <c r="O135" i="3"/>
  <c r="AI126" i="3"/>
  <c r="AA141" i="3"/>
  <c r="Y121" i="3"/>
  <c r="AB135" i="3"/>
  <c r="S130" i="3"/>
  <c r="AB127" i="3"/>
  <c r="F124" i="3"/>
  <c r="T131" i="3"/>
  <c r="G127" i="3"/>
  <c r="S134" i="3"/>
  <c r="U138" i="3"/>
  <c r="H139" i="3"/>
  <c r="AH121" i="3"/>
  <c r="O125" i="3"/>
  <c r="AD130" i="3"/>
  <c r="AA135" i="3"/>
  <c r="G124" i="3"/>
  <c r="T119" i="3"/>
  <c r="AA132" i="3"/>
  <c r="AD118" i="3"/>
  <c r="AF138" i="3"/>
  <c r="AG120" i="3"/>
  <c r="AF125" i="3"/>
  <c r="W118" i="3"/>
  <c r="AG126" i="3"/>
  <c r="AE118" i="3"/>
  <c r="AH136" i="3"/>
  <c r="I135" i="3"/>
  <c r="G125" i="3"/>
  <c r="AD138" i="3"/>
  <c r="M141" i="3"/>
  <c r="H127" i="3"/>
  <c r="R122" i="3"/>
  <c r="AC130" i="3"/>
  <c r="T143" i="3"/>
  <c r="F127" i="3"/>
  <c r="Y142" i="3"/>
  <c r="AA137" i="3"/>
  <c r="F130" i="3"/>
  <c r="AG118" i="3"/>
  <c r="I129" i="3"/>
  <c r="AF137" i="3"/>
  <c r="J140" i="3"/>
  <c r="Q128" i="3"/>
  <c r="T125" i="3"/>
  <c r="K138" i="3"/>
  <c r="AH130" i="3"/>
  <c r="AB132" i="3"/>
  <c r="V140" i="3"/>
  <c r="AE128" i="3"/>
  <c r="Y127" i="3"/>
  <c r="O122" i="3"/>
  <c r="Z125" i="3"/>
  <c r="M142" i="3"/>
  <c r="U132" i="3"/>
  <c r="L135" i="3"/>
  <c r="Q134" i="3"/>
  <c r="F132" i="3"/>
  <c r="AH134" i="3"/>
  <c r="I127" i="3"/>
  <c r="N139" i="3"/>
  <c r="AD121" i="3"/>
  <c r="Z145" i="3"/>
  <c r="K117" i="3"/>
  <c r="J137" i="3"/>
  <c r="Y129" i="3"/>
  <c r="AE130" i="3"/>
  <c r="AF119" i="3"/>
  <c r="AB137" i="3"/>
  <c r="O136" i="3"/>
  <c r="F118" i="3"/>
  <c r="L145" i="3"/>
  <c r="W116" i="3"/>
  <c r="AD140" i="3"/>
  <c r="AD141" i="3"/>
  <c r="AD124" i="3"/>
  <c r="F117" i="3"/>
  <c r="O134" i="3"/>
  <c r="L144" i="3"/>
  <c r="AC124" i="3"/>
  <c r="G140" i="3"/>
  <c r="AI134" i="3"/>
  <c r="AG143" i="3"/>
  <c r="T130" i="3"/>
  <c r="V133" i="3"/>
  <c r="X142" i="3"/>
  <c r="AH128" i="3"/>
  <c r="AI145" i="3"/>
  <c r="AI137" i="3"/>
  <c r="X119" i="3"/>
  <c r="U139" i="3"/>
  <c r="T123" i="3"/>
  <c r="AC141" i="3"/>
  <c r="N134" i="3"/>
  <c r="Q136" i="3"/>
  <c r="W136" i="3"/>
  <c r="R131" i="3"/>
  <c r="S143" i="3"/>
  <c r="O116" i="3"/>
  <c r="Z141" i="3"/>
  <c r="I137" i="3"/>
  <c r="AH119" i="3"/>
  <c r="V118" i="3"/>
  <c r="AC119" i="3"/>
  <c r="Z134" i="3"/>
  <c r="AG141" i="3"/>
  <c r="Q131" i="3"/>
  <c r="F121" i="3"/>
  <c r="L127" i="3"/>
  <c r="S125" i="3"/>
  <c r="AB117" i="3"/>
  <c r="AD127" i="3"/>
  <c r="J132" i="3"/>
  <c r="R138" i="3"/>
  <c r="M124" i="3"/>
  <c r="N144" i="3"/>
  <c r="O140" i="3"/>
  <c r="V136" i="3"/>
  <c r="X122" i="3"/>
  <c r="AG127" i="3"/>
  <c r="P137" i="3"/>
  <c r="X116" i="3"/>
  <c r="AF120" i="3"/>
  <c r="AB142" i="3"/>
  <c r="AE127" i="3"/>
  <c r="AD117" i="3"/>
  <c r="G137" i="3"/>
  <c r="K126" i="3"/>
  <c r="L121" i="3"/>
  <c r="Y126" i="3"/>
  <c r="R133" i="3"/>
  <c r="K123" i="3"/>
  <c r="J126" i="3"/>
  <c r="K129" i="3"/>
  <c r="AC133" i="3"/>
  <c r="W124" i="3"/>
  <c r="I140" i="3"/>
  <c r="R119" i="3"/>
  <c r="W126" i="3"/>
  <c r="N133" i="3"/>
  <c r="Q135" i="3"/>
  <c r="W130" i="3"/>
  <c r="V116" i="3"/>
  <c r="Z135" i="3"/>
  <c r="S119" i="3"/>
  <c r="V127" i="3"/>
  <c r="AE121" i="3"/>
  <c r="AG136" i="3"/>
  <c r="J139" i="3"/>
  <c r="AI118" i="3"/>
  <c r="G133" i="3"/>
  <c r="L126" i="3"/>
  <c r="H142" i="3"/>
  <c r="V126" i="3"/>
  <c r="O129" i="3"/>
  <c r="I123" i="3"/>
  <c r="AD126" i="3"/>
  <c r="W144" i="3"/>
  <c r="W143" i="3"/>
  <c r="Z130" i="3"/>
  <c r="AH117" i="3"/>
  <c r="L130" i="3"/>
  <c r="I134" i="3"/>
  <c r="AD125" i="3"/>
  <c r="AB119" i="3"/>
  <c r="AC132" i="3"/>
  <c r="N128" i="3"/>
  <c r="P138" i="3"/>
  <c r="H138" i="3"/>
  <c r="AE142" i="3"/>
  <c r="U137" i="3"/>
  <c r="O121" i="3"/>
  <c r="AA124" i="3"/>
  <c r="M145" i="3"/>
  <c r="O144" i="3"/>
  <c r="T135" i="3"/>
  <c r="V144" i="3"/>
  <c r="AF145" i="3"/>
  <c r="AE139" i="3"/>
  <c r="AF122" i="3"/>
  <c r="Y132" i="3"/>
  <c r="V132" i="3"/>
  <c r="AI135" i="3"/>
  <c r="P134" i="3"/>
  <c r="AH120" i="3"/>
  <c r="Q117" i="3"/>
  <c r="G117" i="3"/>
  <c r="X136" i="3"/>
  <c r="T129" i="3"/>
  <c r="M120" i="3"/>
  <c r="AI120" i="3"/>
  <c r="H129" i="3"/>
  <c r="S144" i="3"/>
  <c r="M131" i="3"/>
  <c r="H145" i="3"/>
  <c r="W122" i="3"/>
  <c r="P119" i="3"/>
  <c r="AH116" i="3"/>
  <c r="M140" i="3"/>
  <c r="G129" i="3"/>
  <c r="P541" i="3"/>
  <c r="AH535" i="3"/>
  <c r="V554" i="3"/>
  <c r="P554" i="3"/>
  <c r="AG558" i="3"/>
  <c r="I540" i="3"/>
  <c r="AI562" i="3"/>
  <c r="R547" i="3"/>
  <c r="AC544" i="3"/>
  <c r="AE537" i="3"/>
  <c r="AI558" i="3"/>
  <c r="F548" i="3"/>
  <c r="AH537" i="3"/>
  <c r="AE546" i="3"/>
  <c r="X537" i="3"/>
  <c r="J552" i="3"/>
  <c r="Z557" i="3"/>
  <c r="N554" i="3"/>
  <c r="P559" i="3"/>
  <c r="AD534" i="3"/>
  <c r="AF548" i="3"/>
  <c r="AE563" i="3"/>
  <c r="AH547" i="3"/>
  <c r="AE552" i="3"/>
  <c r="M542" i="3"/>
  <c r="U551" i="3"/>
  <c r="Y541" i="3"/>
  <c r="I555" i="3"/>
  <c r="AC539" i="3"/>
  <c r="Z544" i="3"/>
  <c r="J536" i="3"/>
  <c r="T548" i="3"/>
  <c r="J551" i="3"/>
  <c r="V546" i="3"/>
  <c r="Q548" i="3"/>
  <c r="AG543" i="3"/>
  <c r="P536" i="3"/>
  <c r="S558" i="3"/>
  <c r="T546" i="3"/>
  <c r="R540" i="3"/>
  <c r="AH542" i="3"/>
  <c r="X543" i="3"/>
  <c r="AA552" i="3"/>
  <c r="O560" i="3"/>
  <c r="X549" i="3"/>
  <c r="AD540" i="3"/>
  <c r="Y548" i="3"/>
  <c r="O550" i="3"/>
  <c r="AB539" i="3"/>
  <c r="S548" i="3"/>
  <c r="AF555" i="3"/>
  <c r="AD563" i="3"/>
  <c r="G556" i="3"/>
  <c r="V541" i="3"/>
  <c r="AC562" i="3"/>
  <c r="X560" i="3"/>
  <c r="R554" i="3"/>
  <c r="N553" i="3"/>
  <c r="G560" i="3"/>
  <c r="R537" i="3"/>
  <c r="AD556" i="3"/>
  <c r="AI551" i="3"/>
  <c r="R542" i="3"/>
  <c r="J542" i="3"/>
  <c r="AA537" i="3"/>
  <c r="X545" i="3"/>
  <c r="W543" i="3"/>
  <c r="X550" i="3"/>
  <c r="S544" i="3"/>
  <c r="AF559" i="3"/>
  <c r="AD545" i="3"/>
  <c r="AG562" i="3"/>
  <c r="F535" i="3"/>
  <c r="Q534" i="3"/>
  <c r="Q546" i="3"/>
  <c r="S554" i="3"/>
  <c r="I560" i="3"/>
  <c r="I550" i="3"/>
  <c r="U544" i="3"/>
  <c r="F555" i="3"/>
  <c r="AA563" i="3"/>
  <c r="Z545" i="3"/>
  <c r="Q555" i="3"/>
  <c r="X546" i="3"/>
  <c r="Z547" i="3"/>
  <c r="AI550" i="3"/>
  <c r="AA534" i="3"/>
  <c r="AA536" i="3"/>
  <c r="N539" i="3"/>
  <c r="Y552" i="3"/>
  <c r="S559" i="3"/>
  <c r="AI552" i="3"/>
  <c r="AF551" i="3"/>
  <c r="AA546" i="3"/>
  <c r="L539" i="3"/>
  <c r="AC561" i="3"/>
  <c r="U561" i="3"/>
  <c r="N552" i="3"/>
  <c r="AH558" i="3"/>
  <c r="L548" i="3"/>
  <c r="T563" i="3"/>
  <c r="W554" i="3"/>
  <c r="AD541" i="3"/>
  <c r="Q537" i="3"/>
  <c r="Q557" i="3"/>
  <c r="G547" i="3"/>
  <c r="Z555" i="3"/>
  <c r="W561" i="3"/>
  <c r="P549" i="3"/>
  <c r="Y547" i="3"/>
  <c r="L552" i="3"/>
  <c r="K537" i="3"/>
  <c r="H555" i="3"/>
  <c r="G543" i="3"/>
  <c r="Q561" i="3"/>
  <c r="U543" i="3"/>
  <c r="H549" i="3"/>
  <c r="L540" i="3"/>
  <c r="N563" i="3"/>
  <c r="AH554" i="3"/>
  <c r="Z554" i="3"/>
  <c r="O544" i="3"/>
  <c r="T539" i="3"/>
  <c r="H548" i="3"/>
  <c r="T542" i="3"/>
  <c r="AA551" i="3"/>
  <c r="G549" i="3"/>
  <c r="K544" i="3"/>
  <c r="R545" i="3"/>
  <c r="AH539" i="3"/>
  <c r="Q562" i="3"/>
  <c r="V540" i="3"/>
  <c r="AG548" i="3"/>
  <c r="AG556" i="3"/>
  <c r="AE558" i="3"/>
  <c r="W558" i="3"/>
  <c r="W547" i="3"/>
  <c r="U541" i="3"/>
  <c r="P538" i="3"/>
  <c r="AE548" i="3"/>
  <c r="T559" i="3"/>
  <c r="U562" i="3"/>
  <c r="R550" i="3"/>
  <c r="W540" i="3"/>
  <c r="AB560" i="3"/>
  <c r="L538" i="3"/>
  <c r="T541" i="3"/>
  <c r="AI544" i="3"/>
  <c r="H539" i="3"/>
  <c r="AI547" i="3"/>
  <c r="G534" i="3"/>
  <c r="L557" i="3"/>
  <c r="M555" i="3"/>
  <c r="AD539" i="3"/>
  <c r="R543" i="3"/>
  <c r="AF543" i="3"/>
  <c r="AH562" i="3"/>
  <c r="Q538" i="3"/>
  <c r="N548" i="3"/>
  <c r="W556" i="3"/>
  <c r="AD538" i="3"/>
  <c r="AI539" i="3"/>
  <c r="V556" i="3"/>
  <c r="AG554" i="3"/>
  <c r="H547" i="3"/>
  <c r="J549" i="3"/>
  <c r="F560" i="3"/>
  <c r="T549" i="3"/>
  <c r="V558" i="3"/>
  <c r="AE556" i="3"/>
  <c r="AD550" i="3"/>
  <c r="N557" i="3"/>
  <c r="I554" i="3"/>
  <c r="U545" i="3"/>
  <c r="AA545" i="3"/>
  <c r="AE561" i="3"/>
  <c r="AH534" i="3"/>
  <c r="V536" i="3"/>
  <c r="N550" i="3"/>
  <c r="AG557" i="3"/>
  <c r="AB562" i="3"/>
  <c r="AG538" i="3"/>
  <c r="AF561" i="3"/>
  <c r="S534" i="3"/>
  <c r="U554" i="3"/>
  <c r="AC546" i="3"/>
  <c r="J560" i="3"/>
  <c r="T536" i="3"/>
  <c r="L562" i="3"/>
  <c r="AF538" i="3"/>
  <c r="AE555" i="3"/>
  <c r="N556" i="3"/>
  <c r="J546" i="3"/>
  <c r="I558" i="3"/>
  <c r="N547" i="3"/>
  <c r="Z548" i="3"/>
  <c r="F539" i="3"/>
  <c r="Q536" i="3"/>
  <c r="K538" i="3"/>
  <c r="L535" i="3"/>
  <c r="X535" i="3"/>
  <c r="Q551" i="3"/>
  <c r="Y563" i="3"/>
  <c r="H543" i="3"/>
  <c r="K557" i="3"/>
  <c r="P552" i="3"/>
  <c r="R541" i="3"/>
  <c r="V547" i="3"/>
  <c r="Y545" i="3"/>
  <c r="AH545" i="3"/>
  <c r="AI563" i="3"/>
  <c r="O563" i="3"/>
  <c r="P557" i="3"/>
  <c r="T544" i="3"/>
  <c r="AC536" i="3"/>
  <c r="T547" i="3"/>
  <c r="T562" i="3"/>
  <c r="AE557" i="3"/>
  <c r="AI557" i="3"/>
  <c r="H554" i="3"/>
  <c r="J539" i="3"/>
  <c r="I549" i="3"/>
  <c r="X538" i="3"/>
  <c r="K556" i="3"/>
  <c r="AF535" i="3"/>
  <c r="F558" i="3"/>
  <c r="H546" i="3"/>
  <c r="H563" i="3"/>
  <c r="S538" i="3"/>
  <c r="Z534" i="3"/>
  <c r="AI553" i="3"/>
  <c r="N559" i="3"/>
  <c r="AB556" i="3"/>
  <c r="L556" i="3"/>
  <c r="AB540" i="3"/>
  <c r="AG544" i="3"/>
  <c r="AI535" i="3"/>
  <c r="I556" i="3"/>
  <c r="O551" i="3"/>
  <c r="H553" i="3"/>
  <c r="X554" i="3"/>
  <c r="K542" i="3"/>
  <c r="F543" i="3"/>
  <c r="F534" i="3"/>
  <c r="R534" i="3"/>
  <c r="Z561" i="3"/>
  <c r="V562" i="3"/>
  <c r="AC563" i="3"/>
  <c r="Q563" i="3"/>
  <c r="K539" i="3"/>
  <c r="T534" i="3"/>
  <c r="O561" i="3"/>
  <c r="W546" i="3"/>
  <c r="AI560" i="3"/>
  <c r="AE541" i="3"/>
  <c r="F707" i="3"/>
  <c r="H699" i="3"/>
  <c r="G714" i="3"/>
  <c r="F705" i="3"/>
  <c r="AA687" i="3"/>
  <c r="Q700" i="3"/>
  <c r="U693" i="3"/>
  <c r="I703" i="3"/>
  <c r="P698" i="3"/>
  <c r="AD688" i="3"/>
  <c r="K703" i="3"/>
  <c r="AH704" i="3"/>
  <c r="N702" i="3"/>
  <c r="N715" i="3"/>
  <c r="Q692" i="3"/>
  <c r="AG696" i="3"/>
  <c r="S703" i="3"/>
  <c r="J692" i="3"/>
  <c r="R689" i="3"/>
  <c r="AG714" i="3"/>
  <c r="P692" i="3"/>
  <c r="J701" i="3"/>
  <c r="S710" i="3"/>
  <c r="J690" i="3"/>
  <c r="P690" i="3"/>
  <c r="I705" i="3"/>
  <c r="AA710" i="3"/>
  <c r="AC688" i="3"/>
  <c r="T713" i="3"/>
  <c r="V701" i="3"/>
  <c r="AC701" i="3"/>
  <c r="AB706" i="3"/>
  <c r="Z689" i="3"/>
  <c r="H706" i="3"/>
  <c r="W700" i="3"/>
  <c r="AF706" i="3"/>
  <c r="T715" i="3"/>
  <c r="V687" i="3"/>
  <c r="L698" i="3"/>
  <c r="Y690" i="3"/>
  <c r="F695" i="3"/>
  <c r="AB696" i="3"/>
  <c r="AG701" i="3"/>
  <c r="AE691" i="3"/>
  <c r="T698" i="3"/>
  <c r="AH713" i="3"/>
  <c r="I713" i="3"/>
  <c r="AB699" i="3"/>
  <c r="H687" i="3"/>
  <c r="AD690" i="3"/>
  <c r="V689" i="3"/>
  <c r="Y688" i="3"/>
  <c r="N700" i="3"/>
  <c r="Z714" i="3"/>
  <c r="W699" i="3"/>
  <c r="V714" i="3"/>
  <c r="Z701" i="3"/>
  <c r="H709" i="3"/>
  <c r="Z690" i="3"/>
  <c r="O713" i="3"/>
  <c r="S704" i="3"/>
  <c r="J713" i="3"/>
  <c r="T692" i="3"/>
  <c r="Q708" i="3"/>
  <c r="F710" i="3"/>
  <c r="N708" i="3"/>
  <c r="AI701" i="3"/>
  <c r="AH701" i="3"/>
  <c r="R703" i="3"/>
  <c r="AF695" i="3"/>
  <c r="AA709" i="3"/>
  <c r="X702" i="3"/>
  <c r="X698" i="3"/>
  <c r="Q706" i="3"/>
  <c r="Q694" i="3"/>
  <c r="F687" i="3"/>
  <c r="K699" i="3"/>
  <c r="J711" i="3"/>
  <c r="S691" i="3"/>
  <c r="N698" i="3"/>
  <c r="W693" i="3"/>
  <c r="AE699" i="3"/>
  <c r="I704" i="3"/>
  <c r="AA708" i="3"/>
  <c r="H244" i="3"/>
  <c r="AA238" i="3"/>
  <c r="T239" i="3"/>
  <c r="Z254" i="3"/>
  <c r="Y258" i="3"/>
  <c r="L237" i="3"/>
  <c r="I237" i="3"/>
  <c r="S233" i="3"/>
  <c r="AH252" i="3"/>
  <c r="F256" i="3"/>
  <c r="AF245" i="3"/>
  <c r="AH248" i="3"/>
  <c r="AD245" i="3"/>
  <c r="R249" i="3"/>
  <c r="T230" i="3"/>
  <c r="G234" i="3"/>
  <c r="U250" i="3"/>
  <c r="S234" i="3"/>
  <c r="AD252" i="3"/>
  <c r="G233" i="3"/>
  <c r="W246" i="3"/>
  <c r="AH244" i="3"/>
  <c r="AC239" i="3"/>
  <c r="X239" i="3"/>
  <c r="AC256" i="3"/>
  <c r="AC257" i="3"/>
  <c r="Z232" i="3"/>
  <c r="M259" i="3"/>
  <c r="J232" i="3"/>
  <c r="AB251" i="3"/>
  <c r="K250" i="3"/>
  <c r="R245" i="3"/>
  <c r="G250" i="3"/>
  <c r="AD231" i="3"/>
  <c r="AA251" i="3"/>
  <c r="Z251" i="3"/>
  <c r="Y238" i="3"/>
  <c r="L242" i="3"/>
  <c r="W235" i="3"/>
  <c r="I236" i="3"/>
  <c r="S259" i="3"/>
  <c r="AI253" i="3"/>
  <c r="AB242" i="3"/>
  <c r="S231" i="3"/>
  <c r="W254" i="3"/>
  <c r="AE238" i="3"/>
  <c r="AG256" i="3"/>
  <c r="K253" i="3"/>
  <c r="U245" i="3"/>
  <c r="AG253" i="3"/>
  <c r="AF253" i="3"/>
  <c r="F246" i="3"/>
  <c r="R237" i="3"/>
  <c r="AI248" i="3"/>
  <c r="I241" i="3"/>
  <c r="T245" i="3"/>
  <c r="Y231" i="3"/>
  <c r="U240" i="3"/>
  <c r="AH232" i="3"/>
  <c r="N240" i="3"/>
  <c r="AI230" i="3"/>
  <c r="AA237" i="3"/>
  <c r="L258" i="3"/>
  <c r="O252" i="3"/>
  <c r="V244" i="3"/>
  <c r="W247" i="3"/>
  <c r="AA243" i="3"/>
  <c r="AD230" i="3"/>
  <c r="T243" i="3"/>
  <c r="Q244" i="3"/>
  <c r="F234" i="3"/>
  <c r="T247" i="3"/>
  <c r="P255" i="3"/>
  <c r="X243" i="3"/>
  <c r="N259" i="3"/>
  <c r="O253" i="3"/>
  <c r="X435" i="3"/>
  <c r="P420" i="3"/>
  <c r="X423" i="3"/>
  <c r="G442" i="3"/>
  <c r="R421" i="3"/>
  <c r="Q443" i="3"/>
  <c r="AA449" i="3"/>
  <c r="AB427" i="3"/>
  <c r="H433" i="3"/>
  <c r="I425" i="3"/>
  <c r="W441" i="3"/>
  <c r="AC430" i="3"/>
  <c r="G420" i="3"/>
  <c r="AC443" i="3"/>
  <c r="Y446" i="3"/>
  <c r="X421" i="3"/>
  <c r="AF440" i="3"/>
  <c r="K435" i="3"/>
  <c r="Q436" i="3"/>
  <c r="I444" i="3"/>
  <c r="F430" i="3"/>
  <c r="G441" i="3"/>
  <c r="F421" i="3"/>
  <c r="AG422" i="3"/>
  <c r="Y445" i="3"/>
  <c r="AB436" i="3"/>
  <c r="AC428" i="3"/>
  <c r="Y429" i="3"/>
  <c r="I430" i="3"/>
  <c r="AD433" i="3"/>
  <c r="V441" i="3"/>
  <c r="Q430" i="3"/>
  <c r="AH425" i="3"/>
  <c r="X437" i="3"/>
  <c r="M446" i="3"/>
  <c r="V430" i="3"/>
  <c r="L435" i="3"/>
  <c r="Y420" i="3"/>
  <c r="W445" i="3"/>
  <c r="X438" i="3"/>
  <c r="AD437" i="3"/>
  <c r="O447" i="3"/>
  <c r="Q420" i="3"/>
  <c r="K427" i="3"/>
  <c r="G423" i="3"/>
  <c r="R426" i="3"/>
  <c r="O443" i="3"/>
  <c r="AD449" i="3"/>
  <c r="V442" i="3"/>
  <c r="AI440" i="3"/>
  <c r="AG430" i="3"/>
  <c r="AI444" i="3"/>
  <c r="AF422" i="3"/>
  <c r="V449" i="3"/>
  <c r="K440" i="3"/>
  <c r="X445" i="3"/>
  <c r="X420" i="3"/>
  <c r="AB423" i="3"/>
  <c r="AF447" i="3"/>
  <c r="AI424" i="3"/>
  <c r="Z426" i="3"/>
  <c r="F445" i="3"/>
  <c r="AH434" i="3"/>
  <c r="R427" i="3"/>
  <c r="Y439" i="3"/>
  <c r="AH424" i="3"/>
  <c r="S423" i="3"/>
  <c r="AC444" i="3"/>
  <c r="Q423" i="3"/>
  <c r="M423" i="3"/>
  <c r="M445" i="3"/>
  <c r="AE444" i="3"/>
  <c r="T447" i="3"/>
  <c r="H435" i="3"/>
  <c r="T433" i="3"/>
  <c r="Y437" i="3"/>
  <c r="AH432" i="3"/>
  <c r="N420" i="3"/>
  <c r="U447" i="3"/>
  <c r="AB420" i="3"/>
  <c r="AI426" i="3"/>
  <c r="S430" i="3"/>
  <c r="AI422" i="3"/>
  <c r="N429" i="3"/>
  <c r="AC434" i="3"/>
  <c r="W425" i="3"/>
  <c r="X433" i="3"/>
  <c r="G429" i="3"/>
  <c r="AB429" i="3"/>
  <c r="AH423" i="3"/>
  <c r="L445" i="3"/>
  <c r="T437" i="3"/>
  <c r="H424" i="3"/>
  <c r="J429" i="3"/>
  <c r="X422" i="3"/>
  <c r="V435" i="3"/>
  <c r="AI423" i="3"/>
  <c r="AG429" i="3"/>
  <c r="O449" i="3"/>
  <c r="U445" i="3"/>
  <c r="O442" i="3"/>
  <c r="N423" i="3"/>
  <c r="K432" i="3"/>
  <c r="Y442" i="3"/>
  <c r="AI433" i="3"/>
  <c r="M420" i="3"/>
  <c r="AH445" i="3"/>
  <c r="AA434" i="3"/>
  <c r="R434" i="3"/>
  <c r="AB435" i="3"/>
  <c r="AG449" i="3"/>
  <c r="M431" i="3"/>
  <c r="AG444" i="3"/>
  <c r="AH426" i="3"/>
  <c r="S438" i="3"/>
  <c r="AE442" i="3"/>
  <c r="J425" i="3"/>
  <c r="S434" i="3"/>
  <c r="AI441" i="3"/>
  <c r="AF449" i="3"/>
  <c r="G425" i="3"/>
  <c r="AE430" i="3"/>
  <c r="N444" i="3"/>
  <c r="K447" i="3"/>
  <c r="U428" i="3"/>
  <c r="AD430" i="3"/>
  <c r="W446" i="3"/>
  <c r="M443" i="3"/>
  <c r="AH428" i="3"/>
  <c r="AD423" i="3"/>
  <c r="V426" i="3"/>
  <c r="R424" i="3"/>
  <c r="Z449" i="3"/>
  <c r="AG445" i="3"/>
  <c r="Z422" i="3"/>
  <c r="AG426" i="3"/>
  <c r="K422" i="3"/>
  <c r="P428" i="3"/>
  <c r="G448" i="3"/>
  <c r="P431" i="3"/>
  <c r="AI438" i="3"/>
  <c r="N434" i="3"/>
  <c r="J442" i="3"/>
  <c r="M444" i="3"/>
  <c r="AA441" i="3"/>
  <c r="G438" i="3"/>
  <c r="AC423" i="3"/>
  <c r="V448" i="3"/>
  <c r="H431" i="3"/>
  <c r="Z421" i="3"/>
  <c r="S425" i="3"/>
  <c r="AA428" i="3"/>
  <c r="N435" i="3"/>
  <c r="J431" i="3"/>
  <c r="F444" i="3"/>
  <c r="L447" i="3"/>
  <c r="AF446" i="3"/>
  <c r="AG440" i="3"/>
  <c r="AH422" i="3"/>
  <c r="Y431" i="3"/>
  <c r="Y432" i="3"/>
  <c r="AE425" i="3"/>
  <c r="O421" i="3"/>
  <c r="AD440" i="3"/>
  <c r="Y424" i="3"/>
  <c r="F433" i="3"/>
  <c r="T424" i="3"/>
  <c r="K433" i="3"/>
  <c r="W442" i="3"/>
  <c r="AA427" i="3"/>
  <c r="AH430" i="3"/>
  <c r="Q445" i="3"/>
  <c r="J449" i="3"/>
  <c r="K446" i="3"/>
  <c r="T435" i="3"/>
  <c r="L420" i="3"/>
  <c r="AC438" i="3"/>
  <c r="AH449" i="3"/>
  <c r="W426" i="3"/>
  <c r="W430" i="3"/>
  <c r="R440" i="3"/>
  <c r="AF437" i="3"/>
  <c r="AE421" i="3"/>
  <c r="R438" i="3"/>
  <c r="M449" i="3"/>
  <c r="AA446" i="3"/>
  <c r="R435" i="3"/>
  <c r="O444" i="3"/>
  <c r="H432" i="3"/>
  <c r="X436" i="3"/>
  <c r="R445" i="3"/>
  <c r="AD421" i="3"/>
  <c r="P433" i="3"/>
  <c r="K424" i="3"/>
  <c r="J435" i="3"/>
  <c r="Y433" i="3"/>
  <c r="K431" i="3"/>
  <c r="P448" i="3"/>
  <c r="AB449" i="3"/>
  <c r="S436" i="3"/>
  <c r="U430" i="3"/>
  <c r="H440" i="3"/>
  <c r="L425" i="3"/>
  <c r="AB441" i="3"/>
  <c r="G439" i="3"/>
  <c r="O433" i="3"/>
  <c r="U440" i="3"/>
  <c r="AG424" i="3"/>
  <c r="AE436" i="3"/>
  <c r="L443" i="3"/>
  <c r="AH431" i="3"/>
  <c r="K449" i="3"/>
  <c r="I426" i="3"/>
  <c r="R444" i="3"/>
  <c r="AA436" i="3"/>
  <c r="AC420" i="3"/>
  <c r="AH435" i="3"/>
  <c r="V425" i="3"/>
  <c r="AC421" i="3"/>
  <c r="AG433" i="3"/>
  <c r="W423" i="3"/>
  <c r="K448" i="3"/>
  <c r="AA438" i="3"/>
  <c r="N440" i="3"/>
  <c r="R420" i="3"/>
  <c r="AH442" i="3"/>
  <c r="J422" i="3"/>
  <c r="H423" i="3"/>
  <c r="AC445" i="3"/>
  <c r="F420" i="3"/>
  <c r="AC448" i="3"/>
  <c r="P446" i="3"/>
  <c r="Q448" i="3"/>
  <c r="F442" i="3"/>
  <c r="AF432" i="3"/>
  <c r="K430" i="3"/>
  <c r="AI425" i="3"/>
  <c r="J428" i="3"/>
  <c r="Y447" i="3"/>
  <c r="U422" i="3"/>
  <c r="AG442" i="3"/>
  <c r="P432" i="3"/>
  <c r="AD446" i="3"/>
  <c r="I429" i="3"/>
  <c r="Y441" i="3"/>
  <c r="G449" i="3"/>
  <c r="H442" i="3"/>
  <c r="O432" i="3"/>
  <c r="J444" i="3"/>
  <c r="F426" i="3"/>
  <c r="T421" i="3"/>
  <c r="U449" i="3"/>
  <c r="M442" i="3"/>
  <c r="I431" i="3"/>
  <c r="P447" i="3"/>
  <c r="S252" i="3"/>
  <c r="F231" i="3"/>
  <c r="R254" i="3"/>
  <c r="AB234" i="3"/>
  <c r="AG259" i="3"/>
  <c r="M244" i="3"/>
  <c r="S249" i="3"/>
  <c r="R233" i="3"/>
  <c r="W230" i="3"/>
  <c r="R230" i="3"/>
  <c r="K234" i="3"/>
  <c r="X250" i="3"/>
  <c r="Z249" i="3"/>
  <c r="K247" i="3"/>
  <c r="F250" i="3"/>
  <c r="N245" i="3"/>
  <c r="AD248" i="3"/>
  <c r="K255" i="3"/>
  <c r="Z253" i="3"/>
  <c r="N238" i="3"/>
  <c r="U243" i="3"/>
  <c r="Y255" i="3"/>
  <c r="AF233" i="3"/>
  <c r="W243" i="3"/>
  <c r="R243" i="3"/>
  <c r="AA239" i="3"/>
  <c r="O255" i="3"/>
  <c r="V246" i="3"/>
  <c r="H238" i="3"/>
  <c r="Q256" i="3"/>
  <c r="O231" i="3"/>
  <c r="P243" i="3"/>
  <c r="K251" i="3"/>
  <c r="R235" i="3"/>
  <c r="AI249" i="3"/>
  <c r="R257" i="3"/>
  <c r="AG234" i="3"/>
  <c r="AC258" i="3"/>
  <c r="T255" i="3"/>
  <c r="H236" i="3"/>
  <c r="P253" i="3"/>
  <c r="Y244" i="3"/>
  <c r="L255" i="3"/>
  <c r="V253" i="3"/>
  <c r="AD254" i="3"/>
  <c r="W231" i="3"/>
  <c r="F255" i="3"/>
  <c r="I233" i="3"/>
  <c r="O239" i="3"/>
  <c r="K246" i="3"/>
  <c r="R241" i="3"/>
  <c r="Y239" i="3"/>
  <c r="L231" i="3"/>
  <c r="U230" i="3"/>
  <c r="X245" i="3"/>
  <c r="W249" i="3"/>
  <c r="O259" i="3"/>
  <c r="Z248" i="3"/>
  <c r="Y253" i="3"/>
  <c r="M243" i="3"/>
  <c r="Q245" i="3"/>
  <c r="V256" i="3"/>
  <c r="AA259" i="3"/>
  <c r="O237" i="3"/>
  <c r="V251" i="3"/>
  <c r="J250" i="3"/>
  <c r="AC238" i="3"/>
  <c r="R238" i="3"/>
  <c r="M254" i="3"/>
  <c r="AD232" i="3"/>
  <c r="P259" i="3"/>
  <c r="M236" i="3"/>
  <c r="T249" i="3"/>
  <c r="AG238" i="3"/>
  <c r="AF248" i="3"/>
  <c r="AE233" i="3"/>
  <c r="G248" i="3"/>
  <c r="R252" i="3"/>
  <c r="AD258" i="3"/>
  <c r="AF257" i="3"/>
  <c r="P240" i="3"/>
  <c r="I239" i="3"/>
  <c r="V239" i="3"/>
  <c r="T238" i="3"/>
  <c r="P249" i="3"/>
  <c r="AB248" i="3"/>
  <c r="AE237" i="3"/>
  <c r="AB240" i="3"/>
  <c r="Z231" i="3"/>
  <c r="Y251" i="3"/>
  <c r="Y259" i="3"/>
  <c r="X244" i="3"/>
  <c r="X242" i="3"/>
  <c r="P242" i="3"/>
  <c r="Y254" i="3"/>
  <c r="N235" i="3"/>
  <c r="U235" i="3"/>
  <c r="Y243" i="3"/>
  <c r="X241" i="3"/>
  <c r="V249" i="3"/>
  <c r="AI231" i="3"/>
  <c r="AG237" i="3"/>
  <c r="AB249" i="3"/>
  <c r="AE240" i="3"/>
  <c r="N243" i="3"/>
  <c r="H235" i="3"/>
  <c r="S256" i="3"/>
  <c r="AE236" i="3"/>
  <c r="Z252" i="3"/>
  <c r="J254" i="3"/>
  <c r="P247" i="3"/>
  <c r="H239" i="3"/>
  <c r="J255" i="3"/>
  <c r="AH259" i="3"/>
  <c r="AI234" i="3"/>
  <c r="AH257" i="3"/>
  <c r="AC246" i="3"/>
  <c r="X258" i="3"/>
  <c r="Q241" i="3"/>
  <c r="AE252" i="3"/>
  <c r="I240" i="3"/>
  <c r="AI235" i="3"/>
  <c r="AD241" i="3"/>
  <c r="Y250" i="3"/>
  <c r="F247" i="3"/>
  <c r="V238" i="3"/>
  <c r="S255" i="3"/>
  <c r="P244" i="3"/>
  <c r="AB241" i="3"/>
  <c r="V248" i="3"/>
  <c r="H243" i="3"/>
  <c r="I248" i="3"/>
  <c r="AC252" i="3"/>
  <c r="W245" i="3"/>
  <c r="AB258" i="3"/>
  <c r="U237" i="3"/>
  <c r="O257" i="3"/>
  <c r="O232" i="3"/>
  <c r="AF254" i="3"/>
  <c r="G256" i="3"/>
  <c r="AH233" i="3"/>
  <c r="AF243" i="3"/>
  <c r="AB254" i="3"/>
  <c r="H254" i="3"/>
  <c r="T240" i="3"/>
  <c r="S258" i="3"/>
  <c r="Y242" i="3"/>
  <c r="H259" i="3"/>
  <c r="AC236" i="3"/>
  <c r="F257" i="3"/>
  <c r="I256" i="3"/>
  <c r="I259" i="3"/>
  <c r="Q252" i="3"/>
  <c r="R248" i="3"/>
  <c r="S251" i="3"/>
  <c r="F235" i="3"/>
  <c r="T251" i="3"/>
  <c r="N233" i="3"/>
  <c r="X259" i="3"/>
  <c r="G246" i="3"/>
  <c r="I255" i="3"/>
  <c r="J230" i="3"/>
  <c r="G230" i="3"/>
  <c r="AG241" i="3"/>
  <c r="AD243" i="3"/>
  <c r="X255" i="3"/>
  <c r="N246" i="3"/>
  <c r="M233" i="3"/>
  <c r="AH237" i="3"/>
  <c r="AI240" i="3"/>
  <c r="G259" i="3"/>
  <c r="V230" i="3"/>
  <c r="AI255" i="3"/>
  <c r="H257" i="3"/>
  <c r="X237" i="3"/>
  <c r="P254" i="3"/>
  <c r="O242" i="3"/>
  <c r="I242" i="3"/>
  <c r="L243" i="3"/>
  <c r="I232" i="3"/>
  <c r="I251" i="3"/>
  <c r="K256" i="3"/>
  <c r="AA230" i="3"/>
  <c r="H247" i="3"/>
  <c r="AC250" i="3"/>
  <c r="L251" i="3"/>
  <c r="O250" i="3"/>
  <c r="AD247" i="3"/>
  <c r="J249" i="3"/>
  <c r="AB255" i="3"/>
  <c r="AB252" i="3"/>
  <c r="I258" i="3"/>
  <c r="AF237" i="3"/>
  <c r="T258" i="3"/>
  <c r="N253" i="3"/>
  <c r="R242" i="3"/>
  <c r="Z233" i="3"/>
  <c r="V232" i="3"/>
  <c r="AI236" i="3"/>
  <c r="I247" i="3"/>
  <c r="W241" i="3"/>
  <c r="AF251" i="3"/>
  <c r="I234" i="3"/>
  <c r="H242" i="3"/>
  <c r="AE257" i="3"/>
  <c r="V259" i="3"/>
  <c r="Q239" i="3"/>
  <c r="S245" i="3"/>
  <c r="Z246" i="3"/>
  <c r="O245" i="3"/>
  <c r="N254" i="3"/>
  <c r="L253" i="3"/>
  <c r="AC244" i="3"/>
  <c r="AG239" i="3"/>
  <c r="U254" i="3"/>
  <c r="F233" i="3"/>
  <c r="R247" i="3"/>
  <c r="AC231" i="3"/>
  <c r="P245" i="3"/>
  <c r="AG249" i="3"/>
  <c r="AG231" i="3"/>
  <c r="Y245" i="3"/>
  <c r="F230" i="3"/>
  <c r="U238" i="3"/>
  <c r="X233" i="3"/>
  <c r="AE230" i="3"/>
  <c r="O238" i="3"/>
  <c r="F259" i="3"/>
  <c r="V231" i="3"/>
  <c r="AF242" i="3"/>
  <c r="K235" i="3"/>
  <c r="AA242" i="3"/>
  <c r="F242" i="3"/>
  <c r="H231" i="3"/>
  <c r="V240" i="3"/>
  <c r="W257" i="3"/>
  <c r="AI258" i="3"/>
  <c r="J247" i="3"/>
  <c r="Y241" i="3"/>
  <c r="X251" i="3"/>
  <c r="Q243" i="3"/>
  <c r="AD236" i="3"/>
  <c r="AA249" i="3"/>
  <c r="O240" i="3"/>
  <c r="G251" i="3"/>
  <c r="P248" i="3"/>
  <c r="AD237" i="3"/>
  <c r="AA244" i="3"/>
  <c r="H233" i="3"/>
  <c r="AH253" i="3"/>
  <c r="X236" i="3"/>
  <c r="AI246" i="3"/>
  <c r="AI252" i="3"/>
  <c r="N249" i="3"/>
  <c r="AI256" i="3"/>
  <c r="AF249" i="3"/>
  <c r="Y234" i="3"/>
  <c r="Y233" i="3"/>
  <c r="AF240" i="3"/>
  <c r="K248" i="3"/>
  <c r="G245" i="3"/>
  <c r="F252" i="3"/>
  <c r="H251" i="3"/>
  <c r="F254" i="3"/>
  <c r="R250" i="3"/>
  <c r="AI251" i="3"/>
  <c r="AD242" i="3"/>
  <c r="AG246" i="3"/>
  <c r="AF230" i="3"/>
  <c r="L249" i="3"/>
  <c r="L241" i="3"/>
  <c r="AH231" i="3"/>
  <c r="X257" i="3"/>
  <c r="AA236" i="3"/>
  <c r="AA231" i="3"/>
  <c r="AC251" i="3"/>
  <c r="R251" i="3"/>
  <c r="AI232" i="3"/>
  <c r="M234" i="3"/>
  <c r="Q242" i="3"/>
  <c r="K237" i="3"/>
  <c r="R256" i="3"/>
  <c r="W250" i="3"/>
  <c r="O233" i="3"/>
  <c r="I254" i="3"/>
  <c r="AC233" i="3"/>
  <c r="Q230" i="3"/>
  <c r="Z240" i="3"/>
  <c r="H258" i="3"/>
  <c r="Q246" i="3"/>
  <c r="T253" i="3"/>
  <c r="AE255" i="3"/>
  <c r="O235" i="3"/>
  <c r="J236" i="3"/>
  <c r="J248" i="3"/>
  <c r="X249" i="3"/>
  <c r="K238" i="3"/>
  <c r="P231" i="3"/>
  <c r="W256" i="3"/>
  <c r="AE259" i="3"/>
  <c r="G238" i="3"/>
  <c r="J245" i="3"/>
  <c r="U233" i="3"/>
  <c r="Q234" i="3"/>
  <c r="G243" i="3"/>
  <c r="AC253" i="3"/>
  <c r="F251" i="3"/>
  <c r="U252" i="3"/>
  <c r="AH240" i="3"/>
  <c r="Y237" i="3"/>
  <c r="L245" i="3"/>
  <c r="P237" i="3"/>
  <c r="J257" i="3"/>
  <c r="AI242" i="3"/>
  <c r="H230" i="3"/>
  <c r="T241" i="3"/>
  <c r="Q236" i="3"/>
  <c r="H253" i="3"/>
  <c r="AI247" i="3"/>
  <c r="V258" i="3"/>
  <c r="U236" i="3"/>
  <c r="S238" i="3"/>
  <c r="R240" i="3"/>
  <c r="AG232" i="3"/>
  <c r="W242" i="3"/>
  <c r="R255" i="3"/>
  <c r="AC237" i="3"/>
  <c r="AE241" i="3"/>
  <c r="AB233" i="3"/>
  <c r="AI241" i="3"/>
  <c r="F258" i="3"/>
  <c r="P250" i="3"/>
  <c r="AB237" i="3"/>
  <c r="AC235" i="3"/>
  <c r="Y247" i="3"/>
  <c r="H255" i="3"/>
  <c r="Q255" i="3"/>
  <c r="AG247" i="3"/>
  <c r="G231" i="3"/>
  <c r="V235" i="3"/>
  <c r="W232" i="3"/>
  <c r="M255" i="3"/>
  <c r="W258" i="3"/>
  <c r="AF246" i="3"/>
  <c r="AI238" i="3"/>
  <c r="J240" i="3"/>
  <c r="AA240" i="3"/>
  <c r="AG236" i="3"/>
  <c r="P230" i="3"/>
  <c r="AG242" i="3"/>
  <c r="U256" i="3"/>
  <c r="AH250" i="3"/>
  <c r="L238" i="3"/>
  <c r="AB235" i="3"/>
  <c r="X252" i="3"/>
  <c r="L234" i="3"/>
  <c r="Y257" i="3"/>
  <c r="AD233" i="3"/>
  <c r="AD251" i="3"/>
  <c r="AD259" i="3"/>
  <c r="Q231" i="3"/>
  <c r="AG248" i="3"/>
  <c r="P239" i="3"/>
  <c r="M235" i="3"/>
  <c r="K233" i="3"/>
  <c r="AG243" i="3"/>
  <c r="AH243" i="3"/>
  <c r="AB244" i="3"/>
  <c r="AH254" i="3"/>
  <c r="U239" i="3"/>
  <c r="AE251" i="3"/>
  <c r="M256" i="3"/>
  <c r="Q238" i="3"/>
  <c r="AH251" i="3"/>
  <c r="O247" i="3"/>
  <c r="U231" i="3"/>
  <c r="M240" i="3"/>
  <c r="Z230" i="3"/>
  <c r="M249" i="3"/>
  <c r="AD239" i="3"/>
  <c r="L250" i="3"/>
  <c r="X246" i="3"/>
  <c r="G254" i="3"/>
  <c r="T254" i="3"/>
  <c r="Z243" i="3"/>
  <c r="AA256" i="3"/>
  <c r="O236" i="3"/>
  <c r="N251" i="3"/>
  <c r="Z239" i="3"/>
  <c r="AD256" i="3"/>
  <c r="AI239" i="3"/>
  <c r="Q237" i="3"/>
  <c r="H245" i="3"/>
  <c r="N258" i="3"/>
  <c r="F245" i="3"/>
  <c r="T244" i="3"/>
  <c r="L233" i="3"/>
  <c r="U244" i="3"/>
  <c r="G235" i="3"/>
  <c r="AG250" i="3"/>
  <c r="Q257" i="3"/>
  <c r="O241" i="3"/>
  <c r="N239" i="3"/>
  <c r="AB250" i="3"/>
  <c r="AE256" i="3"/>
  <c r="M238" i="3"/>
  <c r="AE234" i="3"/>
  <c r="U248" i="3"/>
  <c r="M241" i="3"/>
  <c r="O249" i="3"/>
  <c r="V257" i="3"/>
  <c r="L246" i="3"/>
  <c r="AI237" i="3"/>
  <c r="N248" i="3"/>
  <c r="AD253" i="3"/>
  <c r="L232" i="3"/>
  <c r="X231" i="3"/>
  <c r="U247" i="3"/>
  <c r="J258" i="3"/>
  <c r="N250" i="3"/>
  <c r="F249" i="3"/>
  <c r="AA246" i="3"/>
  <c r="AA247" i="3"/>
  <c r="S232" i="3"/>
  <c r="H250" i="3"/>
  <c r="H248" i="3"/>
  <c r="R232" i="3"/>
  <c r="AC249" i="3"/>
  <c r="AI257" i="3"/>
  <c r="AD238" i="3"/>
  <c r="F238" i="3"/>
  <c r="U257" i="3"/>
  <c r="AG258" i="3"/>
  <c r="Q250" i="3"/>
  <c r="X238" i="3"/>
  <c r="X248" i="3"/>
  <c r="V237" i="3"/>
  <c r="X240" i="3"/>
  <c r="AE250" i="3"/>
  <c r="K231" i="3"/>
  <c r="R259" i="3"/>
  <c r="G258" i="3"/>
  <c r="W252" i="3"/>
  <c r="S240" i="3"/>
  <c r="P257" i="3"/>
  <c r="X256" i="3"/>
  <c r="O230" i="3"/>
  <c r="H232" i="3"/>
  <c r="AA232" i="3"/>
  <c r="N241" i="3"/>
  <c r="Y232" i="3"/>
  <c r="M232" i="3"/>
  <c r="AA254" i="3"/>
  <c r="AD255" i="3"/>
  <c r="AC240" i="3"/>
  <c r="AA255" i="3"/>
  <c r="AF250" i="3"/>
  <c r="AA252" i="3"/>
  <c r="I243" i="3"/>
  <c r="F248" i="3"/>
  <c r="U253" i="3"/>
  <c r="O256" i="3"/>
  <c r="V245" i="3"/>
  <c r="Y235" i="3"/>
  <c r="AB238" i="3"/>
  <c r="U234" i="3"/>
  <c r="M245" i="3"/>
  <c r="AH235" i="3"/>
  <c r="F232" i="3"/>
  <c r="L244" i="3"/>
  <c r="H241" i="3"/>
  <c r="S244" i="3"/>
  <c r="AF259" i="3"/>
  <c r="AA257" i="3"/>
  <c r="AA233" i="3"/>
  <c r="X235" i="3"/>
  <c r="K236" i="3"/>
  <c r="AF232" i="3"/>
  <c r="AD249" i="3"/>
  <c r="AE254" i="3"/>
  <c r="T237" i="3"/>
  <c r="Q247" i="3"/>
  <c r="L254" i="3"/>
  <c r="AA241" i="3"/>
  <c r="AI254" i="3"/>
  <c r="T236" i="3"/>
  <c r="F241" i="3"/>
  <c r="J246" i="3"/>
  <c r="S247" i="3"/>
  <c r="W240" i="3"/>
  <c r="Q235" i="3"/>
  <c r="AG245" i="3"/>
  <c r="AF497" i="3"/>
  <c r="F508" i="3"/>
  <c r="AB496" i="3"/>
  <c r="G496" i="3"/>
  <c r="H525" i="3"/>
  <c r="T511" i="3"/>
  <c r="AA501" i="3"/>
  <c r="W517" i="3"/>
  <c r="F525" i="3"/>
  <c r="W513" i="3"/>
  <c r="AH503" i="3"/>
  <c r="AB505" i="3"/>
  <c r="AB514" i="3"/>
  <c r="G508" i="3"/>
  <c r="AC500" i="3"/>
  <c r="J515" i="3"/>
  <c r="U501" i="3"/>
  <c r="AI503" i="3"/>
  <c r="U519" i="3"/>
  <c r="N512" i="3"/>
  <c r="G511" i="3"/>
  <c r="Z498" i="3"/>
  <c r="Y525" i="3"/>
  <c r="V496" i="3"/>
  <c r="L525" i="3"/>
  <c r="H500" i="3"/>
  <c r="AC522" i="3"/>
  <c r="P496" i="3"/>
  <c r="O523" i="3"/>
  <c r="T503" i="3"/>
  <c r="H516" i="3"/>
  <c r="AB506" i="3"/>
  <c r="P521" i="3"/>
  <c r="AA502" i="3"/>
  <c r="G505" i="3"/>
  <c r="AD521" i="3"/>
  <c r="H505" i="3"/>
  <c r="AF498" i="3"/>
  <c r="L521" i="3"/>
  <c r="AI499" i="3"/>
  <c r="I501" i="3"/>
  <c r="O524" i="3"/>
  <c r="M511" i="3"/>
  <c r="AF508" i="3"/>
  <c r="R512" i="3"/>
  <c r="AG498" i="3"/>
  <c r="AH510" i="3"/>
  <c r="V504" i="3"/>
  <c r="R502" i="3"/>
  <c r="K500" i="3"/>
  <c r="M500" i="3"/>
  <c r="AA515" i="3"/>
  <c r="AH509" i="3"/>
  <c r="Z503" i="3"/>
  <c r="I517" i="3"/>
  <c r="U511" i="3"/>
  <c r="K514" i="3"/>
  <c r="AG499" i="3"/>
  <c r="AC498" i="3"/>
  <c r="AG504" i="3"/>
  <c r="K516" i="3"/>
  <c r="R500" i="3"/>
  <c r="W523" i="3"/>
  <c r="AB500" i="3"/>
  <c r="AE501" i="3"/>
  <c r="S504" i="3"/>
  <c r="N525" i="3"/>
  <c r="O502" i="3"/>
  <c r="AD505" i="3"/>
  <c r="G497" i="3"/>
  <c r="S525" i="3"/>
  <c r="P499" i="3"/>
  <c r="Q502" i="3"/>
  <c r="K523" i="3"/>
  <c r="AG511" i="3"/>
  <c r="AG510" i="3"/>
  <c r="T508" i="3"/>
  <c r="Q508" i="3"/>
  <c r="W507" i="3"/>
  <c r="F498" i="3"/>
  <c r="AG515" i="3"/>
  <c r="Q514" i="3"/>
  <c r="AA522" i="3"/>
  <c r="O525" i="3"/>
  <c r="AC509" i="3"/>
  <c r="N519" i="3"/>
  <c r="K525" i="3"/>
  <c r="AF513" i="3"/>
  <c r="Z518" i="3"/>
  <c r="O506" i="3"/>
  <c r="AH499" i="3"/>
  <c r="T520" i="3"/>
  <c r="J510" i="3"/>
  <c r="R514" i="3"/>
  <c r="J497" i="3"/>
  <c r="Y496" i="3"/>
  <c r="K502" i="3"/>
  <c r="AE505" i="3"/>
  <c r="AH524" i="3"/>
  <c r="Y497" i="3"/>
  <c r="AI524" i="3"/>
  <c r="N523" i="3"/>
  <c r="AI517" i="3"/>
  <c r="AH515" i="3"/>
  <c r="T506" i="3"/>
  <c r="Z508" i="3"/>
  <c r="S502" i="3"/>
  <c r="AB513" i="3"/>
  <c r="X511" i="3"/>
  <c r="AD525" i="3"/>
  <c r="F500" i="3"/>
  <c r="H522" i="3"/>
  <c r="AG509" i="3"/>
  <c r="AH517" i="3"/>
  <c r="AG503" i="3"/>
  <c r="AF519" i="3"/>
  <c r="N502" i="3"/>
  <c r="AG502" i="3"/>
  <c r="M510" i="3"/>
  <c r="P503" i="3"/>
  <c r="G517" i="3"/>
  <c r="M514" i="3"/>
  <c r="G514" i="3"/>
  <c r="AF524" i="3"/>
  <c r="J496" i="3"/>
  <c r="X521" i="3"/>
  <c r="AI496" i="3"/>
  <c r="Z523" i="3"/>
  <c r="G509" i="3"/>
  <c r="N497" i="3"/>
  <c r="P510" i="3"/>
  <c r="Y509" i="3"/>
  <c r="O507" i="3"/>
  <c r="Z501" i="3"/>
  <c r="S522" i="3"/>
  <c r="U510" i="3"/>
  <c r="J514" i="3"/>
  <c r="X514" i="3"/>
  <c r="M525" i="3"/>
  <c r="T504" i="3"/>
  <c r="AD513" i="3"/>
  <c r="V498" i="3"/>
  <c r="J499" i="3"/>
  <c r="K499" i="3"/>
  <c r="AA505" i="3"/>
  <c r="AC506" i="3"/>
  <c r="AG508" i="3"/>
  <c r="L505" i="3"/>
  <c r="P522" i="3"/>
  <c r="U523" i="3"/>
  <c r="AC505" i="3"/>
  <c r="V499" i="3"/>
  <c r="W514" i="3"/>
  <c r="X497" i="3"/>
  <c r="AH507" i="3"/>
  <c r="AA496" i="3"/>
  <c r="AD518" i="3"/>
  <c r="V503" i="3"/>
  <c r="AF514" i="3"/>
  <c r="X509" i="3"/>
  <c r="F520" i="3"/>
  <c r="X525" i="3"/>
  <c r="F501" i="3"/>
  <c r="V513" i="3"/>
  <c r="T513" i="3"/>
  <c r="AG524" i="3"/>
  <c r="W521" i="3"/>
  <c r="N504" i="3"/>
  <c r="X505" i="3"/>
  <c r="AI505" i="3"/>
  <c r="F506" i="3"/>
  <c r="I514" i="3"/>
  <c r="S510" i="3"/>
  <c r="L512" i="3"/>
  <c r="W512" i="3"/>
  <c r="AH496" i="3"/>
  <c r="J503" i="3"/>
  <c r="G524" i="3"/>
  <c r="V502" i="3"/>
  <c r="AE521" i="3"/>
  <c r="AH520" i="3"/>
  <c r="U508" i="3"/>
  <c r="AE523" i="3"/>
  <c r="AB498" i="3"/>
  <c r="H519" i="3"/>
  <c r="H502" i="3"/>
  <c r="S514" i="3"/>
  <c r="T515" i="3"/>
  <c r="Y512" i="3"/>
  <c r="X503" i="3"/>
  <c r="F497" i="3"/>
  <c r="AC519" i="3"/>
  <c r="V507" i="3"/>
  <c r="J504" i="3"/>
  <c r="G502" i="3"/>
  <c r="I497" i="3"/>
  <c r="R515" i="3"/>
  <c r="X507" i="3"/>
  <c r="S511" i="3"/>
  <c r="AB517" i="3"/>
  <c r="AI514" i="3"/>
  <c r="AE512" i="3"/>
  <c r="AH522" i="3"/>
  <c r="F512" i="3"/>
  <c r="AB522" i="3"/>
  <c r="AA506" i="3"/>
  <c r="AD519" i="3"/>
  <c r="U509" i="3"/>
  <c r="Z505" i="3"/>
  <c r="I504" i="3"/>
  <c r="L523" i="3"/>
  <c r="H513" i="3"/>
  <c r="AH519" i="3"/>
  <c r="X502" i="3"/>
  <c r="AA499" i="3"/>
  <c r="W501" i="3"/>
  <c r="O497" i="3"/>
  <c r="V516" i="3"/>
  <c r="H503" i="3"/>
  <c r="U516" i="3"/>
  <c r="AH521" i="3"/>
  <c r="T512" i="3"/>
  <c r="N524" i="3"/>
  <c r="T518" i="3"/>
  <c r="AC516" i="3"/>
  <c r="X523" i="3"/>
  <c r="M509" i="3"/>
  <c r="K510" i="3"/>
  <c r="I508" i="3"/>
  <c r="O519" i="3"/>
  <c r="AD514" i="3"/>
  <c r="AI501" i="3"/>
  <c r="U524" i="3"/>
  <c r="Z510" i="3"/>
  <c r="K521" i="3"/>
  <c r="J506" i="3"/>
  <c r="K504" i="3"/>
  <c r="AI497" i="3"/>
  <c r="P513" i="3"/>
  <c r="L518" i="3"/>
  <c r="Y499" i="3"/>
  <c r="AH504" i="3"/>
  <c r="R498" i="3"/>
  <c r="AG513" i="3"/>
  <c r="Y517" i="3"/>
  <c r="M497" i="3"/>
  <c r="AC508" i="3"/>
  <c r="S497" i="3"/>
  <c r="J498" i="3"/>
  <c r="V501" i="3"/>
  <c r="O521" i="3"/>
  <c r="Y519" i="3"/>
  <c r="AH525" i="3"/>
  <c r="S509" i="3"/>
  <c r="AB499" i="3"/>
  <c r="AD498" i="3"/>
  <c r="L515" i="3"/>
  <c r="X524" i="3"/>
  <c r="AF518" i="3"/>
  <c r="U514" i="3"/>
  <c r="I507" i="3"/>
  <c r="X516" i="3"/>
  <c r="L497" i="3"/>
  <c r="W506" i="3"/>
  <c r="H510" i="3"/>
  <c r="M515" i="3"/>
  <c r="J500" i="3"/>
  <c r="K515" i="3"/>
  <c r="U515" i="3"/>
  <c r="S515" i="3"/>
  <c r="AF510" i="3"/>
  <c r="AH523" i="3"/>
  <c r="AA498" i="3"/>
  <c r="AF522" i="3"/>
  <c r="V512" i="3"/>
  <c r="G501" i="3"/>
  <c r="K505" i="3"/>
  <c r="M508" i="3"/>
  <c r="V510" i="3"/>
  <c r="Z515" i="3"/>
  <c r="AD516" i="3"/>
  <c r="AG501" i="3"/>
  <c r="AG500" i="3"/>
  <c r="R523" i="3"/>
  <c r="U513" i="3"/>
  <c r="AD500" i="3"/>
  <c r="N508" i="3"/>
  <c r="T505" i="3"/>
  <c r="H514" i="3"/>
  <c r="X508" i="3"/>
  <c r="M501" i="3"/>
  <c r="H520" i="3"/>
  <c r="F515" i="3"/>
  <c r="AE507" i="3"/>
  <c r="R520" i="3"/>
  <c r="R496" i="3"/>
  <c r="AH508" i="3"/>
  <c r="AC504" i="3"/>
  <c r="X522" i="3"/>
  <c r="AD504" i="3"/>
  <c r="R505" i="3"/>
  <c r="J507" i="3"/>
  <c r="J520" i="3"/>
  <c r="I512" i="3"/>
  <c r="Q518" i="3"/>
  <c r="AC496" i="3"/>
  <c r="Q516" i="3"/>
  <c r="F517" i="3"/>
  <c r="J513" i="3"/>
  <c r="J508" i="3"/>
  <c r="O515" i="3"/>
  <c r="V521" i="3"/>
  <c r="AA519" i="3"/>
  <c r="AD524" i="3"/>
  <c r="Z513" i="3"/>
  <c r="AD503" i="3"/>
  <c r="AD515" i="3"/>
  <c r="M520" i="3"/>
  <c r="W524" i="3"/>
  <c r="AI516" i="3"/>
  <c r="G503" i="3"/>
  <c r="P511" i="3"/>
  <c r="F521" i="3"/>
  <c r="N515" i="3"/>
  <c r="P505" i="3"/>
  <c r="AF523" i="3"/>
  <c r="I518" i="3"/>
  <c r="AH500" i="3"/>
  <c r="R511" i="3"/>
  <c r="W516" i="3"/>
  <c r="G513" i="3"/>
  <c r="N505" i="3"/>
  <c r="Z497" i="3"/>
  <c r="Y524" i="3"/>
  <c r="Y507" i="3"/>
  <c r="H512" i="3"/>
  <c r="Q513" i="3"/>
  <c r="K511" i="3"/>
  <c r="X500" i="3"/>
  <c r="T525" i="3"/>
  <c r="AE498" i="3"/>
  <c r="K496" i="3"/>
  <c r="Q521" i="3"/>
  <c r="K519" i="3"/>
  <c r="AD509" i="3"/>
  <c r="AF521" i="3"/>
  <c r="S518" i="3"/>
  <c r="P515" i="3"/>
  <c r="U517" i="3"/>
  <c r="AH506" i="3"/>
  <c r="K520" i="3"/>
  <c r="AC507" i="3"/>
  <c r="V519" i="3"/>
  <c r="H506" i="3"/>
  <c r="N518" i="3"/>
  <c r="H509" i="3"/>
  <c r="W511" i="3"/>
  <c r="J518" i="3"/>
  <c r="T507" i="3"/>
  <c r="P501" i="3"/>
  <c r="O522" i="3"/>
  <c r="I505" i="3"/>
  <c r="U500" i="3"/>
  <c r="Y515" i="3"/>
  <c r="R519" i="3"/>
  <c r="I519" i="3"/>
  <c r="AI502" i="3"/>
  <c r="O496" i="3"/>
  <c r="AF520" i="3"/>
  <c r="AB518" i="3"/>
  <c r="K518" i="3"/>
  <c r="AI522" i="3"/>
  <c r="S507" i="3"/>
  <c r="AE525" i="3"/>
  <c r="R509" i="3"/>
  <c r="J519" i="3"/>
  <c r="Z514" i="3"/>
  <c r="AF507" i="3"/>
  <c r="AG497" i="3"/>
  <c r="AC512" i="3"/>
  <c r="U505" i="3"/>
  <c r="I516" i="3"/>
  <c r="G512" i="3"/>
  <c r="F518" i="3"/>
  <c r="S508" i="3"/>
  <c r="F503" i="3"/>
  <c r="AB524" i="3"/>
  <c r="Z524" i="3"/>
  <c r="K524" i="3"/>
  <c r="AA511" i="3"/>
  <c r="P516" i="3"/>
  <c r="Y503" i="3"/>
  <c r="G499" i="3"/>
  <c r="G522" i="3"/>
  <c r="S501" i="3"/>
  <c r="AF509" i="3"/>
  <c r="G521" i="3"/>
  <c r="F519" i="3"/>
  <c r="R524" i="3"/>
  <c r="P523" i="3"/>
  <c r="O513" i="3"/>
  <c r="G507" i="3"/>
  <c r="Y508" i="3"/>
  <c r="Q496" i="3"/>
  <c r="R510" i="3"/>
  <c r="Z500" i="3"/>
  <c r="M513" i="3"/>
  <c r="W500" i="3"/>
  <c r="AB511" i="3"/>
  <c r="S498" i="3"/>
  <c r="F505" i="3"/>
  <c r="I521" i="3"/>
  <c r="U504" i="3"/>
  <c r="W515" i="3"/>
  <c r="I502" i="3"/>
  <c r="AA520" i="3"/>
  <c r="K507" i="3"/>
  <c r="L507" i="3"/>
  <c r="H517" i="3"/>
  <c r="I523" i="3"/>
  <c r="V525" i="3"/>
  <c r="O498" i="3"/>
  <c r="AD496" i="3"/>
  <c r="P507" i="3"/>
  <c r="O517" i="3"/>
  <c r="M504" i="3"/>
  <c r="R497" i="3"/>
  <c r="T510" i="3"/>
  <c r="Q523" i="3"/>
  <c r="N516" i="3"/>
  <c r="Q510" i="3"/>
  <c r="R518" i="3"/>
  <c r="Y506" i="3"/>
  <c r="J502" i="3"/>
  <c r="M521" i="3"/>
  <c r="O514" i="3"/>
  <c r="N521" i="3"/>
  <c r="R517" i="3"/>
  <c r="AF500" i="3"/>
  <c r="Z512" i="3"/>
  <c r="M518" i="3"/>
  <c r="L519" i="3"/>
  <c r="AC513" i="3"/>
  <c r="Q522" i="3"/>
  <c r="T502" i="3"/>
  <c r="AF504" i="3"/>
  <c r="X504" i="3"/>
  <c r="Y511" i="3"/>
  <c r="N498" i="3"/>
  <c r="Q499" i="3"/>
  <c r="P498" i="3"/>
  <c r="U522" i="3"/>
  <c r="F502" i="3"/>
  <c r="G519" i="3"/>
  <c r="S506" i="3"/>
  <c r="J524" i="3"/>
  <c r="AE502" i="3"/>
  <c r="I520" i="3"/>
  <c r="H497" i="3"/>
  <c r="T524" i="3"/>
  <c r="AI504" i="3"/>
  <c r="N510" i="3"/>
  <c r="M506" i="3"/>
  <c r="M517" i="3"/>
  <c r="AI518" i="3"/>
  <c r="AC525" i="3"/>
  <c r="Q505" i="3"/>
  <c r="AC515" i="3"/>
  <c r="U503" i="3"/>
  <c r="AA513" i="3"/>
  <c r="AI515" i="3"/>
  <c r="Q503" i="3"/>
  <c r="AE497" i="3"/>
  <c r="W522" i="3"/>
  <c r="P497" i="3"/>
  <c r="N514" i="3"/>
  <c r="AE522" i="3"/>
  <c r="P502" i="3"/>
  <c r="AI506" i="3"/>
  <c r="AE504" i="3"/>
  <c r="Q512" i="3"/>
  <c r="AB497" i="3"/>
  <c r="F511" i="3"/>
  <c r="AC501" i="3"/>
  <c r="AG520" i="3"/>
  <c r="AB501" i="3"/>
  <c r="AB515" i="3"/>
  <c r="AC499" i="3"/>
  <c r="L511" i="3"/>
  <c r="H504" i="3"/>
  <c r="W496" i="3"/>
  <c r="P519" i="3"/>
  <c r="S517" i="3"/>
  <c r="AB521" i="3"/>
  <c r="Z516" i="3"/>
  <c r="X513" i="3"/>
  <c r="AD523" i="3"/>
  <c r="AC497" i="3"/>
  <c r="AE509" i="3"/>
  <c r="AI509" i="3"/>
  <c r="N522" i="3"/>
  <c r="Y502" i="3"/>
  <c r="G520" i="3"/>
  <c r="O503" i="3"/>
  <c r="AF496" i="3"/>
  <c r="Y523" i="3"/>
  <c r="N496" i="3"/>
  <c r="G515" i="3"/>
  <c r="AC503" i="3"/>
  <c r="S496" i="3"/>
  <c r="F524" i="3"/>
  <c r="V506" i="3"/>
  <c r="I511" i="3"/>
  <c r="Y504" i="3"/>
  <c r="V500" i="3"/>
  <c r="F499" i="3"/>
  <c r="L504" i="3"/>
  <c r="N513" i="3"/>
  <c r="M523" i="3"/>
  <c r="Y505" i="3"/>
  <c r="Q498" i="3"/>
  <c r="AD507" i="3"/>
  <c r="R506" i="3"/>
  <c r="Q517" i="3"/>
  <c r="G504" i="3"/>
  <c r="N509" i="3"/>
  <c r="R503" i="3"/>
  <c r="S512" i="3"/>
  <c r="P514" i="3"/>
  <c r="J511" i="3"/>
  <c r="P517" i="3"/>
  <c r="Z520" i="3"/>
  <c r="AE508" i="3"/>
  <c r="Q520" i="3"/>
  <c r="L516" i="3"/>
  <c r="AB510" i="3"/>
  <c r="AG522" i="3"/>
  <c r="AB504" i="3"/>
  <c r="AF503" i="3"/>
  <c r="W508" i="3"/>
  <c r="AG525" i="3"/>
  <c r="I498" i="3"/>
  <c r="AD510" i="3"/>
  <c r="V523" i="3"/>
  <c r="T521" i="3"/>
  <c r="Q525" i="3"/>
  <c r="O510" i="3"/>
  <c r="Y522" i="3"/>
  <c r="N500" i="3"/>
  <c r="AI519" i="3"/>
  <c r="U521" i="3"/>
  <c r="I524" i="3"/>
  <c r="O509" i="3"/>
  <c r="AA521" i="3"/>
  <c r="N499" i="3"/>
  <c r="P506" i="3"/>
  <c r="H501" i="3"/>
  <c r="M502" i="3"/>
  <c r="H523" i="3"/>
  <c r="AH505" i="3"/>
  <c r="I510" i="3"/>
  <c r="L508" i="3"/>
  <c r="AA507" i="3"/>
  <c r="J525" i="3"/>
  <c r="AG523" i="3"/>
  <c r="AA517" i="3"/>
  <c r="I522" i="3"/>
  <c r="AE513" i="3"/>
  <c r="T496" i="3"/>
  <c r="U507" i="3"/>
  <c r="AH497" i="3"/>
  <c r="AI507" i="3"/>
  <c r="AF515" i="3"/>
  <c r="Q501" i="3"/>
  <c r="AH501" i="3"/>
  <c r="F509" i="3"/>
  <c r="AC521" i="3"/>
  <c r="Q497" i="3"/>
  <c r="I499" i="3"/>
  <c r="Y514" i="3"/>
  <c r="U497" i="3"/>
  <c r="X512" i="3"/>
  <c r="AG496" i="3"/>
  <c r="V505" i="3"/>
  <c r="AB519" i="3"/>
  <c r="J522" i="3"/>
  <c r="G516" i="3"/>
  <c r="AH512" i="3"/>
  <c r="AE499" i="3"/>
  <c r="AA524" i="3"/>
  <c r="I515" i="3"/>
  <c r="N506" i="3"/>
  <c r="S519" i="3"/>
  <c r="AB520" i="3"/>
  <c r="V524" i="3"/>
  <c r="AF502" i="3"/>
  <c r="Q524" i="3"/>
  <c r="AE524" i="3"/>
  <c r="R522" i="3"/>
  <c r="F510" i="3"/>
  <c r="AD508" i="3"/>
  <c r="O511" i="3"/>
  <c r="L520" i="3"/>
  <c r="Q511" i="3"/>
  <c r="T523" i="3"/>
  <c r="Y516" i="3"/>
  <c r="AD522" i="3"/>
  <c r="L502" i="3"/>
  <c r="AE518" i="3"/>
  <c r="AC524" i="3"/>
  <c r="V515" i="3"/>
  <c r="AF511" i="3"/>
  <c r="AI513" i="3"/>
  <c r="W505" i="3"/>
  <c r="Q515" i="3"/>
  <c r="K517" i="3"/>
  <c r="O501" i="3"/>
  <c r="W503" i="3"/>
  <c r="T514" i="3"/>
  <c r="AF516" i="3"/>
  <c r="AE506" i="3"/>
  <c r="AC510" i="3"/>
  <c r="Q504" i="3"/>
  <c r="I503" i="3"/>
  <c r="AA510" i="3"/>
  <c r="J512" i="3"/>
  <c r="AH502" i="3"/>
  <c r="AA503" i="3"/>
  <c r="V520" i="3"/>
  <c r="G518" i="3"/>
  <c r="X518" i="3"/>
  <c r="X499" i="3"/>
  <c r="U520" i="3"/>
  <c r="W509" i="3"/>
  <c r="AH511" i="3"/>
  <c r="AA500" i="3"/>
  <c r="AG512" i="3"/>
  <c r="AD517" i="3"/>
  <c r="AA509" i="3"/>
  <c r="Z499" i="3"/>
  <c r="L513" i="3"/>
  <c r="H496" i="3"/>
  <c r="AH514" i="3"/>
  <c r="AB516" i="3"/>
  <c r="U512" i="3"/>
  <c r="AH258" i="3"/>
  <c r="AF255" i="3"/>
  <c r="AI233" i="3"/>
  <c r="H252" i="3"/>
  <c r="J253" i="3"/>
  <c r="J243" i="3"/>
  <c r="T256" i="3"/>
  <c r="U258" i="3"/>
  <c r="S250" i="3"/>
  <c r="F244" i="3"/>
  <c r="AI243" i="3"/>
  <c r="N237" i="3"/>
  <c r="M252" i="3"/>
  <c r="J244" i="3"/>
  <c r="S248" i="3"/>
  <c r="AF235" i="3"/>
  <c r="V243" i="3"/>
  <c r="AF234" i="3"/>
  <c r="AE249" i="3"/>
  <c r="Q233" i="3"/>
  <c r="G257" i="3"/>
  <c r="AC234" i="3"/>
  <c r="M250" i="3"/>
  <c r="AC243" i="3"/>
  <c r="G253" i="3"/>
  <c r="G236" i="3"/>
  <c r="N252" i="3"/>
  <c r="N234" i="3"/>
  <c r="I230" i="3"/>
  <c r="M257" i="3"/>
  <c r="T257" i="3"/>
  <c r="AE244" i="3"/>
  <c r="X230" i="3"/>
  <c r="AC255" i="3"/>
  <c r="L252" i="3"/>
  <c r="T259" i="3"/>
  <c r="W234" i="3"/>
  <c r="AB246" i="3"/>
  <c r="T252" i="3"/>
  <c r="W236" i="3"/>
  <c r="AF247" i="3"/>
  <c r="Z247" i="3"/>
  <c r="Y240" i="3"/>
  <c r="N242" i="3"/>
  <c r="H240" i="3"/>
  <c r="G237" i="3"/>
  <c r="R239" i="3"/>
  <c r="K232" i="3"/>
  <c r="N256" i="3"/>
  <c r="W238" i="3"/>
  <c r="S230" i="3"/>
  <c r="AH239" i="3"/>
  <c r="AI250" i="3"/>
  <c r="AC247" i="3"/>
  <c r="J242" i="3"/>
  <c r="J241" i="3"/>
  <c r="AH234" i="3"/>
  <c r="G249" i="3"/>
  <c r="AA253" i="3"/>
  <c r="AB247" i="3"/>
  <c r="G255" i="3"/>
  <c r="O254" i="3"/>
  <c r="N247" i="3"/>
  <c r="Z241" i="3"/>
  <c r="AE258" i="3"/>
  <c r="G247" i="3"/>
  <c r="AG233" i="3"/>
  <c r="S246" i="3"/>
  <c r="AC259" i="3"/>
  <c r="AB257" i="3"/>
  <c r="R244" i="3"/>
  <c r="W233" i="3"/>
  <c r="AC254" i="3"/>
  <c r="O243" i="3"/>
  <c r="Z244" i="3"/>
  <c r="AI245" i="3"/>
  <c r="K242" i="3"/>
  <c r="N255" i="3"/>
  <c r="Q251" i="3"/>
  <c r="L230" i="3"/>
  <c r="J239" i="3"/>
  <c r="AG244" i="3"/>
  <c r="T235" i="3"/>
  <c r="AG235" i="3"/>
  <c r="AF252" i="3"/>
  <c r="AH246" i="3"/>
  <c r="Y256" i="3"/>
  <c r="AE245" i="3"/>
  <c r="S242" i="3"/>
  <c r="J233" i="3"/>
  <c r="I257" i="3"/>
  <c r="L256" i="3"/>
  <c r="AH256" i="3"/>
  <c r="AB243" i="3"/>
  <c r="Q249" i="3"/>
  <c r="M237" i="3"/>
  <c r="AF256" i="3"/>
  <c r="I244" i="3"/>
  <c r="Q253" i="3"/>
  <c r="AC241" i="3"/>
  <c r="P233" i="3"/>
  <c r="Y249" i="3"/>
  <c r="M230" i="3"/>
  <c r="Z258" i="3"/>
  <c r="AD240" i="3"/>
  <c r="U249" i="3"/>
  <c r="AF231" i="3"/>
  <c r="AH247" i="3"/>
  <c r="AE231" i="3"/>
  <c r="J251" i="3"/>
  <c r="P252" i="3"/>
  <c r="I253" i="3"/>
  <c r="V236" i="3"/>
  <c r="T234" i="3"/>
  <c r="I238" i="3"/>
  <c r="Z242" i="3"/>
  <c r="T233" i="3"/>
  <c r="AD235" i="3"/>
  <c r="U241" i="3"/>
  <c r="AD250" i="3"/>
  <c r="AH249" i="3"/>
  <c r="S241" i="3"/>
  <c r="AI259" i="3"/>
  <c r="W237" i="3"/>
  <c r="W253" i="3"/>
  <c r="Y246" i="3"/>
  <c r="W259" i="3"/>
  <c r="L236" i="3"/>
  <c r="M258" i="3"/>
  <c r="N232" i="3"/>
  <c r="Z250" i="3"/>
  <c r="J252" i="3"/>
  <c r="F243" i="3"/>
  <c r="U246" i="3"/>
  <c r="AC248" i="3"/>
  <c r="U232" i="3"/>
  <c r="R236" i="3"/>
  <c r="J231" i="3"/>
  <c r="U259" i="3"/>
  <c r="Z245" i="3"/>
  <c r="I249" i="3"/>
  <c r="U251" i="3"/>
  <c r="AE248" i="3"/>
  <c r="O246" i="3"/>
  <c r="P235" i="3"/>
  <c r="K249" i="3"/>
  <c r="Y230" i="3"/>
  <c r="P251" i="3"/>
  <c r="S257" i="3"/>
  <c r="H246" i="3"/>
  <c r="L259" i="3"/>
  <c r="R253" i="3"/>
  <c r="J256" i="3"/>
  <c r="S253" i="3"/>
  <c r="AA245" i="3"/>
  <c r="K240" i="3"/>
  <c r="AA248" i="3"/>
  <c r="L248" i="3"/>
  <c r="AC230" i="3"/>
  <c r="J259" i="3"/>
  <c r="F240" i="3"/>
  <c r="K259" i="3"/>
  <c r="W244" i="3"/>
  <c r="K252" i="3"/>
  <c r="W251" i="3"/>
  <c r="AC242" i="3"/>
  <c r="G244" i="3"/>
  <c r="F253" i="3"/>
  <c r="AB230" i="3"/>
  <c r="AH241" i="3"/>
  <c r="AB245" i="3"/>
  <c r="AB239" i="3"/>
  <c r="Y236" i="3"/>
  <c r="N236" i="3"/>
  <c r="N257" i="3"/>
  <c r="X234" i="3"/>
  <c r="G241" i="3"/>
  <c r="M251" i="3"/>
  <c r="J234" i="3"/>
  <c r="AB236" i="3"/>
  <c r="J235" i="3"/>
  <c r="L240" i="3"/>
  <c r="R234" i="3"/>
  <c r="K241" i="3"/>
  <c r="Q258" i="3"/>
  <c r="H256" i="3"/>
  <c r="AH255" i="3"/>
  <c r="K230" i="3"/>
  <c r="AE235" i="3"/>
  <c r="S254" i="3"/>
  <c r="Z259" i="3"/>
  <c r="I231" i="3"/>
  <c r="AD234" i="3"/>
  <c r="Q248" i="3"/>
  <c r="P234" i="3"/>
  <c r="H234" i="3"/>
  <c r="AF239" i="3"/>
  <c r="K258" i="3"/>
  <c r="AE246" i="3"/>
  <c r="K254" i="3"/>
  <c r="AE232" i="3"/>
  <c r="S243" i="3"/>
  <c r="AB253" i="3"/>
  <c r="Q259" i="3"/>
  <c r="O248" i="3"/>
  <c r="Z236" i="3"/>
  <c r="O244" i="3"/>
  <c r="Z257" i="3"/>
  <c r="F236" i="3"/>
  <c r="I252" i="3"/>
  <c r="Z234" i="3"/>
  <c r="T232" i="3"/>
  <c r="Y248" i="3"/>
  <c r="P246" i="3"/>
  <c r="Z237" i="3"/>
  <c r="V234" i="3"/>
  <c r="J238" i="3"/>
  <c r="I235" i="3"/>
  <c r="Z256" i="3"/>
  <c r="AH230" i="3"/>
  <c r="AE243" i="3"/>
  <c r="M248" i="3"/>
  <c r="J237" i="3"/>
  <c r="AF238" i="3"/>
  <c r="M242" i="3"/>
  <c r="V241" i="3"/>
  <c r="Z238" i="3"/>
  <c r="T246" i="3"/>
  <c r="I246" i="3"/>
  <c r="U242" i="3"/>
  <c r="G240" i="3"/>
  <c r="P256" i="3"/>
  <c r="W239" i="3"/>
  <c r="AA258" i="3"/>
  <c r="M253" i="3"/>
  <c r="AD244" i="3"/>
  <c r="P238" i="3"/>
  <c r="G242" i="3"/>
  <c r="AG251" i="3"/>
  <c r="AE247" i="3"/>
  <c r="O251" i="3"/>
  <c r="AH242" i="3"/>
  <c r="U255" i="3"/>
  <c r="Z235" i="3"/>
  <c r="T248" i="3"/>
  <c r="AE253" i="3"/>
  <c r="AH245" i="3"/>
  <c r="Q254" i="3"/>
  <c r="T250" i="3"/>
  <c r="L235" i="3"/>
  <c r="P258" i="3"/>
  <c r="S239" i="3"/>
  <c r="V250" i="3"/>
  <c r="I245" i="3"/>
  <c r="Z521" i="3"/>
  <c r="N517" i="3"/>
  <c r="G525" i="3"/>
  <c r="X498" i="3"/>
  <c r="U498" i="3"/>
  <c r="H507" i="3"/>
  <c r="F523" i="3"/>
  <c r="AA497" i="3"/>
  <c r="R504" i="3"/>
  <c r="G510" i="3"/>
  <c r="V522" i="3"/>
  <c r="AI510" i="3"/>
  <c r="P520" i="3"/>
  <c r="Z506" i="3"/>
  <c r="Z496" i="3"/>
  <c r="N520" i="3"/>
  <c r="Y521" i="3"/>
  <c r="AE517" i="3"/>
  <c r="S503" i="3"/>
  <c r="AD520" i="3"/>
  <c r="AB507" i="3"/>
  <c r="L514" i="3"/>
  <c r="AI500" i="3"/>
  <c r="V508" i="3"/>
  <c r="N511" i="3"/>
  <c r="AI508" i="3"/>
  <c r="P525" i="3"/>
  <c r="T500" i="3"/>
  <c r="K522" i="3"/>
  <c r="K501" i="3"/>
  <c r="AA518" i="3"/>
  <c r="N507" i="3"/>
  <c r="X517" i="3"/>
  <c r="AF499" i="3"/>
  <c r="F507" i="3"/>
  <c r="O512" i="3"/>
  <c r="Z525" i="3"/>
  <c r="AG521" i="3"/>
  <c r="M507" i="3"/>
  <c r="X510" i="3"/>
  <c r="V517" i="3"/>
  <c r="AG506" i="3"/>
  <c r="V497" i="3"/>
  <c r="AB525" i="3"/>
  <c r="S516" i="3"/>
  <c r="U496" i="3"/>
  <c r="AF501" i="3"/>
  <c r="S505" i="3"/>
  <c r="S500" i="3"/>
  <c r="X501" i="3"/>
  <c r="AG514" i="3"/>
  <c r="J509" i="3"/>
  <c r="L496" i="3"/>
  <c r="AG519" i="3"/>
  <c r="R525" i="3"/>
  <c r="L522" i="3"/>
  <c r="S513" i="3"/>
  <c r="V518" i="3"/>
  <c r="Z511" i="3"/>
  <c r="M499" i="3"/>
  <c r="AD502" i="3"/>
  <c r="AB502" i="3"/>
  <c r="I509" i="3"/>
  <c r="AA504" i="3"/>
  <c r="F516" i="3"/>
  <c r="O516" i="3"/>
  <c r="M516" i="3"/>
  <c r="H524" i="3"/>
  <c r="M522" i="3"/>
  <c r="R516" i="3"/>
  <c r="AC511" i="3"/>
  <c r="W499" i="3"/>
  <c r="L501" i="3"/>
  <c r="H521" i="3"/>
  <c r="K497" i="3"/>
  <c r="AE520" i="3"/>
  <c r="O504" i="3"/>
  <c r="P518" i="3"/>
  <c r="P500" i="3"/>
  <c r="AI512" i="3"/>
  <c r="J523" i="3"/>
  <c r="Y520" i="3"/>
  <c r="AC523" i="3"/>
  <c r="AG518" i="3"/>
  <c r="F504" i="3"/>
  <c r="L500" i="3"/>
  <c r="Z522" i="3"/>
  <c r="M496" i="3"/>
  <c r="L510" i="3"/>
  <c r="AA514" i="3"/>
  <c r="Z509" i="3"/>
  <c r="W498" i="3"/>
  <c r="AB503" i="3"/>
  <c r="AE510" i="3"/>
  <c r="Q509" i="3"/>
  <c r="W497" i="3"/>
  <c r="Y518" i="3"/>
  <c r="J521" i="3"/>
  <c r="Z507" i="3"/>
  <c r="R499" i="3"/>
  <c r="Q506" i="3"/>
  <c r="Y501" i="3"/>
  <c r="S523" i="3"/>
  <c r="L509" i="3"/>
  <c r="M498" i="3"/>
  <c r="AA516" i="3"/>
  <c r="K506" i="3"/>
  <c r="K503" i="3"/>
  <c r="I506" i="3"/>
  <c r="AF525" i="3"/>
  <c r="AI498" i="3"/>
  <c r="AH518" i="3"/>
  <c r="M524" i="3"/>
  <c r="U502" i="3"/>
  <c r="O508" i="3"/>
  <c r="T509" i="3"/>
  <c r="W504" i="3"/>
  <c r="AB509" i="3"/>
  <c r="G500" i="3"/>
  <c r="R513" i="3"/>
  <c r="T517" i="3"/>
  <c r="G506" i="3"/>
  <c r="K513" i="3"/>
  <c r="AA525" i="3"/>
  <c r="Z504" i="3"/>
  <c r="T516" i="3"/>
  <c r="T522" i="3"/>
  <c r="AE500" i="3"/>
  <c r="F514" i="3"/>
  <c r="L524" i="3"/>
  <c r="F522" i="3"/>
  <c r="J501" i="3"/>
  <c r="Y498" i="3"/>
  <c r="J517" i="3"/>
  <c r="AH516" i="3"/>
  <c r="AF506" i="3"/>
  <c r="AB523" i="3"/>
  <c r="L499" i="3"/>
  <c r="AC502" i="3"/>
  <c r="Z519" i="3"/>
  <c r="P524" i="3"/>
  <c r="X515" i="3"/>
  <c r="AE496" i="3"/>
  <c r="K509" i="3"/>
  <c r="X520" i="3"/>
  <c r="AD497" i="3"/>
  <c r="T501" i="3"/>
  <c r="G498" i="3"/>
  <c r="AE515" i="3"/>
  <c r="P508" i="3"/>
  <c r="J516" i="3"/>
  <c r="G523" i="3"/>
  <c r="AI523" i="3"/>
  <c r="AD499" i="3"/>
  <c r="H511" i="3"/>
  <c r="H498" i="3"/>
  <c r="V511" i="3"/>
  <c r="AI525" i="3"/>
  <c r="W525" i="3"/>
  <c r="Y510" i="3"/>
  <c r="AA512" i="3"/>
  <c r="Y513" i="3"/>
  <c r="AG516" i="3"/>
  <c r="F496" i="3"/>
  <c r="AF505" i="3"/>
  <c r="AD512" i="3"/>
  <c r="Z517" i="3"/>
  <c r="S521" i="3"/>
  <c r="AF517" i="3"/>
  <c r="AD501" i="3"/>
  <c r="S499" i="3"/>
  <c r="O520" i="3"/>
  <c r="M505" i="3"/>
  <c r="K512" i="3"/>
  <c r="X496" i="3"/>
  <c r="Q500" i="3"/>
  <c r="L503" i="3"/>
  <c r="P504" i="3"/>
  <c r="AD506" i="3"/>
  <c r="O500" i="3"/>
  <c r="W502" i="3"/>
  <c r="I496" i="3"/>
  <c r="H499" i="3"/>
  <c r="Q519" i="3"/>
  <c r="L517" i="3"/>
  <c r="H508" i="3"/>
  <c r="AI520" i="3"/>
  <c r="I525" i="3"/>
  <c r="I500" i="3"/>
  <c r="AE511" i="3"/>
  <c r="T519" i="3"/>
  <c r="R501" i="3"/>
  <c r="O505" i="3"/>
  <c r="AD511" i="3"/>
  <c r="T499" i="3"/>
  <c r="V514" i="3"/>
  <c r="Y500" i="3"/>
  <c r="W519" i="3"/>
  <c r="O499" i="3"/>
  <c r="N503" i="3"/>
  <c r="O518" i="3"/>
  <c r="N501" i="3"/>
  <c r="AC517" i="3"/>
  <c r="AF512" i="3"/>
  <c r="AC514" i="3"/>
  <c r="AH513" i="3"/>
  <c r="AI511" i="3"/>
  <c r="P509" i="3"/>
  <c r="S520" i="3"/>
  <c r="M503" i="3"/>
  <c r="X506" i="3"/>
  <c r="T498" i="3"/>
  <c r="L498" i="3"/>
  <c r="AH498" i="3"/>
  <c r="M519" i="3"/>
  <c r="I513" i="3"/>
  <c r="H515" i="3"/>
  <c r="AE519" i="3"/>
  <c r="J505" i="3"/>
  <c r="R521" i="3"/>
  <c r="K498" i="3"/>
  <c r="F513" i="3"/>
  <c r="AB512" i="3"/>
  <c r="U506" i="3"/>
  <c r="AC518" i="3"/>
  <c r="W520" i="3"/>
  <c r="AA508" i="3"/>
  <c r="R508" i="3"/>
  <c r="AB508" i="3"/>
  <c r="S524" i="3"/>
  <c r="H518" i="3"/>
  <c r="AE503" i="3"/>
  <c r="T497" i="3"/>
  <c r="AI521" i="3"/>
  <c r="U525" i="3"/>
  <c r="U518" i="3"/>
  <c r="Q507" i="3"/>
  <c r="W518" i="3"/>
  <c r="AE516" i="3"/>
  <c r="U499" i="3"/>
  <c r="AG507" i="3"/>
  <c r="M512" i="3"/>
  <c r="AA523" i="3"/>
  <c r="Z502" i="3"/>
  <c r="X519" i="3"/>
  <c r="R507" i="3"/>
  <c r="L506" i="3"/>
  <c r="P512" i="3"/>
  <c r="W510" i="3"/>
  <c r="AG505" i="3"/>
  <c r="V509" i="3"/>
  <c r="AC520" i="3"/>
  <c r="AG517" i="3"/>
  <c r="AE514" i="3"/>
  <c r="Y598" i="3"/>
  <c r="V577" i="3"/>
  <c r="Z584" i="3"/>
  <c r="X589" i="3"/>
  <c r="Q581" i="3"/>
  <c r="V578" i="3"/>
  <c r="W594" i="3"/>
  <c r="I573" i="3"/>
  <c r="H586" i="3"/>
  <c r="AF593" i="3"/>
  <c r="AE585" i="3"/>
  <c r="AH572" i="3"/>
  <c r="F600" i="3"/>
  <c r="F601" i="3"/>
  <c r="W596" i="3"/>
  <c r="J586" i="3"/>
  <c r="Q576" i="3"/>
  <c r="U601" i="3"/>
  <c r="F581" i="3"/>
  <c r="AA582" i="3"/>
  <c r="AH588" i="3"/>
  <c r="AH575" i="3"/>
  <c r="AD589" i="3"/>
  <c r="W575" i="3"/>
  <c r="K576" i="3"/>
  <c r="AI574" i="3"/>
  <c r="AB598" i="3"/>
  <c r="Q594" i="3"/>
  <c r="G583" i="3"/>
  <c r="AC573" i="3"/>
  <c r="AH586" i="3"/>
  <c r="N593" i="3"/>
  <c r="AI585" i="3"/>
  <c r="P576" i="3"/>
  <c r="Z593" i="3"/>
  <c r="AH578" i="3"/>
  <c r="L576" i="3"/>
  <c r="Q584" i="3"/>
  <c r="I586" i="3"/>
  <c r="W579" i="3"/>
  <c r="AD585" i="3"/>
  <c r="G598" i="3"/>
  <c r="AA594" i="3"/>
  <c r="Z578" i="3"/>
  <c r="S573" i="3"/>
  <c r="AA588" i="3"/>
  <c r="N583" i="3"/>
  <c r="H589" i="3"/>
  <c r="Y601" i="3"/>
  <c r="AE583" i="3"/>
  <c r="AI600" i="3"/>
  <c r="AA573" i="3"/>
  <c r="F577" i="3"/>
  <c r="M587" i="3"/>
  <c r="N584" i="3"/>
  <c r="J584" i="3"/>
  <c r="AA577" i="3"/>
  <c r="W582" i="3"/>
  <c r="AI597" i="3"/>
  <c r="O594" i="3"/>
  <c r="AC596" i="3"/>
  <c r="V586" i="3"/>
  <c r="X595" i="3"/>
  <c r="AB589" i="3"/>
  <c r="Y589" i="3"/>
  <c r="J601" i="3"/>
  <c r="N580" i="3"/>
  <c r="K582" i="3"/>
  <c r="AB578" i="3"/>
  <c r="AE588" i="3"/>
  <c r="H594" i="3"/>
  <c r="R598" i="3"/>
  <c r="AB593" i="3"/>
  <c r="K596" i="3"/>
  <c r="AC599" i="3"/>
  <c r="AF591" i="3"/>
  <c r="Y599" i="3"/>
  <c r="T601" i="3"/>
  <c r="K574" i="3"/>
  <c r="R582" i="3"/>
  <c r="AC598" i="3"/>
  <c r="O577" i="3"/>
  <c r="H578" i="3"/>
  <c r="AA595" i="3"/>
  <c r="H593" i="3"/>
  <c r="I600" i="3"/>
  <c r="Z573" i="3"/>
  <c r="H580" i="3"/>
  <c r="J597" i="3"/>
  <c r="R599" i="3"/>
  <c r="AH585" i="3"/>
  <c r="O578" i="3"/>
  <c r="Y578" i="3"/>
  <c r="Z590" i="3"/>
  <c r="W589" i="3"/>
  <c r="V596" i="3"/>
  <c r="I578" i="3"/>
  <c r="AD579" i="3"/>
  <c r="F588" i="3"/>
  <c r="L597" i="3"/>
  <c r="AC579" i="3"/>
  <c r="S587" i="3"/>
  <c r="J600" i="3"/>
  <c r="H577" i="3"/>
  <c r="K595" i="3"/>
  <c r="X600" i="3"/>
  <c r="AC588" i="3"/>
  <c r="K600" i="3"/>
  <c r="AB594" i="3"/>
  <c r="AE600" i="3"/>
  <c r="Z576" i="3"/>
  <c r="M601" i="3"/>
  <c r="Y582" i="3"/>
  <c r="G586" i="3"/>
  <c r="Y597" i="3"/>
  <c r="U576" i="3"/>
  <c r="G587" i="3"/>
  <c r="AE601" i="3"/>
  <c r="M585" i="3"/>
  <c r="AI573" i="3"/>
  <c r="L577" i="3"/>
  <c r="AB587" i="3"/>
  <c r="H600" i="3"/>
  <c r="Q601" i="3"/>
  <c r="AD597" i="3"/>
  <c r="AF576" i="3"/>
  <c r="K594" i="3"/>
  <c r="T585" i="3"/>
  <c r="H601" i="3"/>
  <c r="V585" i="3"/>
  <c r="N590" i="3"/>
  <c r="M576" i="3"/>
  <c r="T590" i="3"/>
  <c r="L580" i="3"/>
  <c r="S589" i="3"/>
  <c r="AC581" i="3"/>
  <c r="AE591" i="3"/>
  <c r="AG576" i="3"/>
  <c r="AA572" i="3"/>
  <c r="G592" i="3"/>
  <c r="S578" i="3"/>
  <c r="AI578" i="3"/>
  <c r="AB572" i="3"/>
  <c r="AI583" i="3"/>
  <c r="O601" i="3"/>
  <c r="N594" i="3"/>
  <c r="AG577" i="3"/>
  <c r="U573" i="3"/>
  <c r="K579" i="3"/>
  <c r="O592" i="3"/>
  <c r="L581" i="3"/>
  <c r="X598" i="3"/>
  <c r="L588" i="3"/>
  <c r="AF595" i="3"/>
  <c r="J599" i="3"/>
  <c r="R574" i="3"/>
  <c r="AH587" i="3"/>
  <c r="AF585" i="3"/>
  <c r="S598" i="3"/>
  <c r="J576" i="3"/>
  <c r="Z595" i="3"/>
  <c r="Q578" i="3"/>
  <c r="Y584" i="3"/>
  <c r="AA583" i="3"/>
  <c r="Z594" i="3"/>
  <c r="O586" i="3"/>
  <c r="J592" i="3"/>
  <c r="AB591" i="3"/>
  <c r="Z581" i="3"/>
  <c r="Y574" i="3"/>
  <c r="I597" i="3"/>
  <c r="AH596" i="3"/>
  <c r="M572" i="3"/>
  <c r="AA584" i="3"/>
  <c r="V575" i="3"/>
  <c r="AI580" i="3"/>
  <c r="F590" i="3"/>
  <c r="F574" i="3"/>
  <c r="N575" i="3"/>
  <c r="AH595" i="3"/>
  <c r="X585" i="3"/>
  <c r="H572" i="3"/>
  <c r="Y585" i="3"/>
  <c r="F589" i="3"/>
  <c r="R580" i="3"/>
  <c r="AD586" i="3"/>
  <c r="Q599" i="3"/>
  <c r="AC576" i="3"/>
  <c r="Q598" i="3"/>
  <c r="X575" i="3"/>
  <c r="M578" i="3"/>
  <c r="L589" i="3"/>
  <c r="X591" i="3"/>
  <c r="AD573" i="3"/>
  <c r="J585" i="3"/>
  <c r="J572" i="3"/>
  <c r="AI590" i="3"/>
  <c r="AF597" i="3"/>
  <c r="AD593" i="3"/>
  <c r="Q589" i="3"/>
  <c r="U597" i="3"/>
  <c r="S599" i="3"/>
  <c r="AF592" i="3"/>
  <c r="S581" i="3"/>
  <c r="J595" i="3"/>
  <c r="X586" i="3"/>
  <c r="Y587" i="3"/>
  <c r="P582" i="3"/>
  <c r="G579" i="3"/>
  <c r="M581" i="3"/>
  <c r="Q595" i="3"/>
  <c r="AB580" i="3"/>
  <c r="M600" i="3"/>
  <c r="H592" i="3"/>
  <c r="AD576" i="3"/>
  <c r="AC593" i="3"/>
  <c r="M583" i="3"/>
  <c r="R577" i="3"/>
  <c r="AI581" i="3"/>
  <c r="Z597" i="3"/>
  <c r="AG580" i="3"/>
  <c r="P573" i="3"/>
  <c r="AF589" i="3"/>
  <c r="F582" i="3"/>
  <c r="I583" i="3"/>
  <c r="M593" i="3"/>
  <c r="F586" i="3"/>
  <c r="T592" i="3"/>
  <c r="L601" i="3"/>
  <c r="AD582" i="3"/>
  <c r="M590" i="3"/>
  <c r="R584" i="3"/>
  <c r="R593" i="3"/>
  <c r="Y586" i="3"/>
  <c r="S592" i="3"/>
  <c r="R597" i="3"/>
  <c r="Q580" i="3"/>
  <c r="R575" i="3"/>
  <c r="W583" i="3"/>
  <c r="G581" i="3"/>
  <c r="P585" i="3"/>
  <c r="AG589" i="3"/>
  <c r="AA593" i="3"/>
  <c r="AB588" i="3"/>
  <c r="AA587" i="3"/>
  <c r="AI591" i="3"/>
  <c r="W585" i="3"/>
  <c r="AE587" i="3"/>
  <c r="AA575" i="3"/>
  <c r="W591" i="3"/>
  <c r="H599" i="3"/>
  <c r="Z580" i="3"/>
  <c r="AF583" i="3"/>
  <c r="AE582" i="3"/>
  <c r="AH576" i="3"/>
  <c r="P574" i="3"/>
  <c r="AD590" i="3"/>
  <c r="T597" i="3"/>
  <c r="I587" i="3"/>
  <c r="M577" i="3"/>
  <c r="AC575" i="3"/>
  <c r="N587" i="3"/>
  <c r="AF598" i="3"/>
  <c r="I595" i="3"/>
  <c r="AB575" i="3"/>
  <c r="AE599" i="3"/>
  <c r="L574" i="3"/>
  <c r="AI587" i="3"/>
  <c r="N589" i="3"/>
  <c r="AG572" i="3"/>
  <c r="P600" i="3"/>
  <c r="N598" i="3"/>
  <c r="AB579" i="3"/>
  <c r="K588" i="3"/>
  <c r="F592" i="3"/>
  <c r="AH589" i="3"/>
  <c r="S597" i="3"/>
  <c r="H584" i="3"/>
  <c r="AA592" i="3"/>
  <c r="V581" i="3"/>
  <c r="M597" i="3"/>
  <c r="Q587" i="3"/>
  <c r="W577" i="3"/>
  <c r="Y572" i="3"/>
  <c r="W586" i="3"/>
  <c r="I590" i="3"/>
  <c r="P580" i="3"/>
  <c r="N579" i="3"/>
  <c r="P581" i="3"/>
  <c r="R589" i="3"/>
  <c r="F594" i="3"/>
  <c r="N600" i="3"/>
  <c r="AB573" i="3"/>
  <c r="AE592" i="3"/>
  <c r="J574" i="3"/>
  <c r="X583" i="3"/>
  <c r="AC601" i="3"/>
  <c r="T573" i="3"/>
  <c r="V584" i="3"/>
  <c r="AH581" i="3"/>
  <c r="AG581" i="3"/>
  <c r="G591" i="3"/>
  <c r="AI596" i="3"/>
  <c r="AI588" i="3"/>
  <c r="AI592" i="3"/>
  <c r="V593" i="3"/>
  <c r="U582" i="3"/>
  <c r="X576" i="3"/>
  <c r="F583" i="3"/>
  <c r="AA596" i="3"/>
  <c r="Y588" i="3"/>
  <c r="AF599" i="3"/>
  <c r="P579" i="3"/>
  <c r="O589" i="3"/>
  <c r="N585" i="3"/>
  <c r="J589" i="3"/>
  <c r="J580" i="3"/>
  <c r="X592" i="3"/>
  <c r="AD578" i="3"/>
  <c r="W587" i="3"/>
  <c r="AE584" i="3"/>
  <c r="V592" i="3"/>
  <c r="AH593" i="3"/>
  <c r="X578" i="3"/>
  <c r="W593" i="3"/>
  <c r="R601" i="3"/>
  <c r="U594" i="3"/>
  <c r="N592" i="3"/>
  <c r="I584" i="3"/>
  <c r="K581" i="3"/>
  <c r="N572" i="3"/>
  <c r="X587" i="3"/>
  <c r="J590" i="3"/>
  <c r="AE590" i="3"/>
  <c r="AB576" i="3"/>
  <c r="Q582" i="3"/>
  <c r="AH599" i="3"/>
  <c r="Z582" i="3"/>
  <c r="N595" i="3"/>
  <c r="AC597" i="3"/>
  <c r="G600" i="3"/>
  <c r="AF586" i="3"/>
  <c r="N573" i="3"/>
  <c r="U581" i="3"/>
  <c r="H588" i="3"/>
  <c r="M595" i="3"/>
  <c r="J578" i="3"/>
  <c r="J577" i="3"/>
  <c r="N591" i="3"/>
  <c r="AH583" i="3"/>
  <c r="F578" i="3"/>
  <c r="T582" i="3"/>
  <c r="V582" i="3"/>
  <c r="AD601" i="3"/>
  <c r="AE576" i="3"/>
  <c r="AG597" i="3"/>
  <c r="AG587" i="3"/>
  <c r="AF581" i="3"/>
  <c r="AG601" i="3"/>
  <c r="V590" i="3"/>
  <c r="J579" i="3"/>
  <c r="AI598" i="3"/>
  <c r="M594" i="3"/>
  <c r="I575" i="3"/>
  <c r="H579" i="3"/>
  <c r="AH584" i="3"/>
  <c r="O600" i="3"/>
  <c r="AG583" i="3"/>
  <c r="R586" i="3"/>
  <c r="H581" i="3"/>
  <c r="F596" i="3"/>
  <c r="I580" i="3"/>
  <c r="X593" i="3"/>
  <c r="AA601" i="3"/>
  <c r="S594" i="3"/>
  <c r="AD588" i="3"/>
  <c r="L591" i="3"/>
  <c r="S595" i="3"/>
  <c r="S583" i="3"/>
  <c r="O582" i="3"/>
  <c r="O585" i="3"/>
  <c r="P601" i="3"/>
  <c r="V580" i="3"/>
  <c r="P584" i="3"/>
  <c r="K585" i="3"/>
  <c r="X590" i="3"/>
  <c r="L579" i="3"/>
  <c r="O593" i="3"/>
  <c r="T580" i="3"/>
  <c r="AG582" i="3"/>
  <c r="Q573" i="3"/>
  <c r="T595" i="3"/>
  <c r="S596" i="3"/>
  <c r="W597" i="3"/>
  <c r="AI579" i="3"/>
  <c r="Y577" i="3"/>
  <c r="T588" i="3"/>
  <c r="O597" i="3"/>
  <c r="M596" i="3"/>
  <c r="L592" i="3"/>
  <c r="L586" i="3"/>
  <c r="AE594" i="3"/>
  <c r="X573" i="3"/>
  <c r="V574" i="3"/>
  <c r="R595" i="3"/>
  <c r="S580" i="3"/>
  <c r="R572" i="3"/>
  <c r="T599" i="3"/>
  <c r="M589" i="3"/>
  <c r="AB583" i="3"/>
  <c r="AE580" i="3"/>
  <c r="M573" i="3"/>
  <c r="Q597" i="3"/>
  <c r="AF574" i="3"/>
  <c r="AH573" i="3"/>
  <c r="K601" i="3"/>
  <c r="V595" i="3"/>
  <c r="W581" i="3"/>
  <c r="AG579" i="3"/>
  <c r="S588" i="3"/>
  <c r="AB600" i="3"/>
  <c r="X601" i="3"/>
  <c r="V573" i="3"/>
  <c r="W573" i="3"/>
  <c r="Y596" i="3"/>
  <c r="AE586" i="3"/>
  <c r="AC592" i="3"/>
  <c r="Y592" i="3"/>
  <c r="O583" i="3"/>
  <c r="W576" i="3"/>
  <c r="M586" i="3"/>
  <c r="N596" i="3"/>
  <c r="P583" i="3"/>
  <c r="Z587" i="3"/>
  <c r="Y600" i="3"/>
  <c r="AI586" i="3"/>
  <c r="AC600" i="3"/>
  <c r="W599" i="3"/>
  <c r="O595" i="3"/>
  <c r="G596" i="3"/>
  <c r="R588" i="3"/>
  <c r="AH598" i="3"/>
  <c r="M584" i="3"/>
  <c r="L585" i="3"/>
  <c r="U587" i="3"/>
  <c r="O591" i="3"/>
  <c r="M591" i="3"/>
  <c r="W598" i="3"/>
  <c r="AD584" i="3"/>
  <c r="AC595" i="3"/>
  <c r="AC590" i="3"/>
  <c r="Q585" i="3"/>
  <c r="Q590" i="3"/>
  <c r="V591" i="3"/>
  <c r="Z585" i="3"/>
  <c r="N601" i="3"/>
  <c r="Y595" i="3"/>
  <c r="AE593" i="3"/>
  <c r="T578" i="3"/>
  <c r="AE572" i="3"/>
  <c r="S586" i="3"/>
  <c r="H598" i="3"/>
  <c r="AI593" i="3"/>
  <c r="AC587" i="3"/>
  <c r="G594" i="3"/>
  <c r="K586" i="3"/>
  <c r="AH597" i="3"/>
  <c r="AF600" i="3"/>
  <c r="K599" i="3"/>
  <c r="T589" i="3"/>
  <c r="O588" i="3"/>
  <c r="AG586" i="3"/>
  <c r="J582" i="3"/>
  <c r="F580" i="3"/>
  <c r="L573" i="3"/>
  <c r="AA574" i="3"/>
  <c r="Q574" i="3"/>
  <c r="AA598" i="3"/>
  <c r="R583" i="3"/>
  <c r="AC584" i="3"/>
  <c r="L587" i="3"/>
  <c r="G572" i="3"/>
  <c r="X579" i="3"/>
  <c r="S600" i="3"/>
  <c r="L598" i="3"/>
  <c r="AG593" i="3"/>
  <c r="T574" i="3"/>
  <c r="AG590" i="3"/>
  <c r="I601" i="3"/>
  <c r="N578" i="3"/>
  <c r="AG595" i="3"/>
  <c r="I599" i="3"/>
  <c r="L595" i="3"/>
  <c r="L583" i="3"/>
  <c r="P587" i="3"/>
  <c r="AD587" i="3"/>
  <c r="T600" i="3"/>
  <c r="AD575" i="3"/>
  <c r="N581" i="3"/>
  <c r="W580" i="3"/>
  <c r="Y583" i="3"/>
  <c r="I582" i="3"/>
  <c r="I591" i="3"/>
  <c r="AD592" i="3"/>
  <c r="AH591" i="3"/>
  <c r="AD599" i="3"/>
  <c r="R596" i="3"/>
  <c r="U572" i="3"/>
  <c r="AD580" i="3"/>
  <c r="Z577" i="3"/>
  <c r="AE575" i="3"/>
  <c r="F591" i="3"/>
  <c r="Q600" i="3"/>
  <c r="O587" i="3"/>
  <c r="AG584" i="3"/>
  <c r="AH577" i="3"/>
  <c r="G588" i="3"/>
  <c r="J587" i="3"/>
  <c r="Z572" i="3"/>
  <c r="AE579" i="3"/>
  <c r="K575" i="3"/>
  <c r="K589" i="3"/>
  <c r="AH594" i="3"/>
  <c r="H587" i="3"/>
  <c r="AA600" i="3"/>
  <c r="H575" i="3"/>
  <c r="H596" i="3"/>
  <c r="V587" i="3"/>
  <c r="AB596" i="3"/>
  <c r="Z583" i="3"/>
  <c r="X596" i="3"/>
  <c r="K593" i="3"/>
  <c r="AB590" i="3"/>
  <c r="T581" i="3"/>
  <c r="V572" i="3"/>
  <c r="W590" i="3"/>
  <c r="U588" i="3"/>
  <c r="U593" i="3"/>
  <c r="I596" i="3"/>
  <c r="AC572" i="3"/>
  <c r="AC583" i="3"/>
  <c r="F579" i="3"/>
  <c r="G584" i="3"/>
  <c r="O575" i="3"/>
  <c r="AB577" i="3"/>
  <c r="F595" i="3"/>
  <c r="Z591" i="3"/>
  <c r="W584" i="3"/>
  <c r="L575" i="3"/>
  <c r="T583" i="3"/>
  <c r="I576" i="3"/>
  <c r="S601" i="3"/>
  <c r="R581" i="3"/>
  <c r="AC577" i="3"/>
  <c r="X588" i="3"/>
  <c r="I598" i="3"/>
  <c r="U585" i="3"/>
  <c r="Q588" i="3"/>
  <c r="Q572" i="3"/>
  <c r="F597" i="3"/>
  <c r="Q586" i="3"/>
  <c r="AC580" i="3"/>
  <c r="P586" i="3"/>
  <c r="F576" i="3"/>
  <c r="AH601" i="3"/>
  <c r="I585" i="3"/>
  <c r="AE589" i="3"/>
  <c r="R592" i="3"/>
  <c r="AI577" i="3"/>
  <c r="AF590" i="3"/>
  <c r="N574" i="3"/>
  <c r="AG596" i="3"/>
  <c r="Q592" i="3"/>
  <c r="AD600" i="3"/>
  <c r="F573" i="3"/>
  <c r="P595" i="3"/>
  <c r="T586" i="3"/>
  <c r="P591" i="3"/>
  <c r="C264" i="3"/>
  <c r="C416" i="3"/>
  <c r="C644" i="3"/>
  <c r="C340" i="3"/>
  <c r="C150" i="3"/>
  <c r="C188" i="3"/>
  <c r="C720" i="3"/>
  <c r="W38" i="3" s="1"/>
  <c r="C454" i="3"/>
  <c r="C568" i="3"/>
  <c r="C530" i="3"/>
  <c r="C74" i="3"/>
  <c r="U38" i="3" s="1"/>
  <c r="C226" i="3"/>
  <c r="C606" i="3"/>
  <c r="C302" i="3"/>
  <c r="C492" i="3"/>
  <c r="C378" i="3"/>
  <c r="AG298" i="3"/>
  <c r="AB298" i="3"/>
  <c r="N298" i="3"/>
  <c r="G298" i="3"/>
  <c r="X298" i="3"/>
  <c r="AH298" i="3"/>
  <c r="AE298" i="3"/>
  <c r="AD298" i="3"/>
  <c r="L298" i="3"/>
  <c r="AA298" i="3"/>
  <c r="J298" i="3"/>
  <c r="T298" i="3"/>
  <c r="Z298" i="3"/>
  <c r="I298" i="3"/>
  <c r="S298" i="3"/>
  <c r="AI450" i="3"/>
  <c r="R260" i="3"/>
  <c r="AD260" i="3"/>
  <c r="N260" i="3"/>
  <c r="T260" i="3"/>
  <c r="S260" i="3"/>
  <c r="AB260" i="3"/>
  <c r="AH260" i="3"/>
  <c r="AA260" i="3"/>
  <c r="P260" i="3"/>
  <c r="G260" i="3"/>
  <c r="Q260" i="3"/>
  <c r="U260" i="3"/>
  <c r="K260" i="3"/>
  <c r="I260" i="3"/>
  <c r="AI412" i="3"/>
  <c r="H412" i="3"/>
  <c r="AE412" i="3"/>
  <c r="U412" i="3"/>
  <c r="AA412" i="3"/>
  <c r="AC412" i="3"/>
  <c r="W412" i="3"/>
  <c r="R412" i="3"/>
  <c r="T412" i="3"/>
  <c r="J412" i="3"/>
  <c r="AH412" i="3"/>
  <c r="Z412" i="3"/>
  <c r="Q412" i="3"/>
  <c r="AD412" i="3"/>
  <c r="X640" i="3"/>
  <c r="L640" i="3"/>
  <c r="H640" i="3"/>
  <c r="R640" i="3"/>
  <c r="M640" i="3"/>
  <c r="Q640" i="3"/>
  <c r="AF640" i="3"/>
  <c r="K640" i="3"/>
  <c r="J640" i="3"/>
  <c r="T640" i="3"/>
  <c r="AI640" i="3"/>
  <c r="I640" i="3"/>
  <c r="W640" i="3"/>
  <c r="P640" i="3"/>
  <c r="AI716" i="3"/>
  <c r="U716" i="3"/>
  <c r="AE716" i="3"/>
  <c r="O716" i="3"/>
  <c r="AB716" i="3"/>
  <c r="G716" i="3"/>
  <c r="P716" i="3"/>
  <c r="AC716" i="3"/>
  <c r="T716" i="3"/>
  <c r="J716" i="3"/>
  <c r="W716" i="3"/>
  <c r="AA716" i="3"/>
  <c r="V716" i="3"/>
  <c r="H716" i="3"/>
  <c r="J146" i="3"/>
  <c r="AC146" i="3"/>
  <c r="AG146" i="3"/>
  <c r="O146" i="3"/>
  <c r="V146" i="3"/>
  <c r="L146" i="3"/>
  <c r="X146" i="3"/>
  <c r="W146" i="3"/>
  <c r="N146" i="3"/>
  <c r="P146" i="3"/>
  <c r="T146" i="3"/>
  <c r="Y146" i="3"/>
  <c r="AE146" i="3"/>
  <c r="AI146" i="3"/>
  <c r="G146" i="3"/>
  <c r="Q146" i="3"/>
  <c r="AH146" i="3"/>
  <c r="AD146" i="3"/>
  <c r="O564" i="3"/>
  <c r="S564" i="3"/>
  <c r="AE564" i="3"/>
  <c r="AA564" i="3"/>
  <c r="K564" i="3"/>
  <c r="I564" i="3"/>
  <c r="R564" i="3"/>
  <c r="AC564" i="3"/>
  <c r="AB564" i="3"/>
  <c r="V564" i="3"/>
  <c r="M564" i="3"/>
  <c r="L564" i="3"/>
  <c r="X564" i="3"/>
  <c r="AF564" i="3"/>
  <c r="J564" i="3"/>
  <c r="AI564" i="3"/>
  <c r="G564" i="3"/>
  <c r="W754" i="3"/>
  <c r="AF754" i="3"/>
  <c r="N754" i="3"/>
  <c r="U754" i="3"/>
  <c r="AA754" i="3"/>
  <c r="P754" i="3"/>
  <c r="S678" i="3"/>
  <c r="T678" i="3"/>
  <c r="Q678" i="3"/>
  <c r="Y678" i="3"/>
  <c r="U678" i="3"/>
  <c r="AE678" i="3"/>
  <c r="P678" i="3"/>
  <c r="X678" i="3"/>
  <c r="G678" i="3"/>
  <c r="M678" i="3"/>
  <c r="K678" i="3"/>
  <c r="AA678" i="3"/>
  <c r="I678" i="3"/>
  <c r="AI678" i="3"/>
  <c r="W678" i="3"/>
  <c r="N678" i="3"/>
  <c r="AB678" i="3"/>
  <c r="AD678" i="3"/>
  <c r="AB184" i="3"/>
  <c r="J184" i="3"/>
  <c r="Q184" i="3"/>
  <c r="R184" i="3"/>
  <c r="P184" i="3"/>
  <c r="AH184" i="3"/>
  <c r="AI184" i="3"/>
  <c r="O184" i="3"/>
  <c r="K184" i="3"/>
  <c r="W184" i="3"/>
  <c r="Q336" i="3"/>
  <c r="Z336" i="3"/>
  <c r="J336" i="3"/>
  <c r="AF336" i="3"/>
  <c r="K336" i="3"/>
  <c r="O336" i="3"/>
  <c r="Y336" i="3"/>
  <c r="S336" i="3"/>
  <c r="I336" i="3"/>
  <c r="AA336" i="3"/>
  <c r="AB336" i="3"/>
  <c r="M336" i="3"/>
  <c r="H336" i="3"/>
  <c r="T336" i="3"/>
  <c r="U336" i="3"/>
  <c r="S488" i="3"/>
  <c r="AD488" i="3"/>
  <c r="AE488" i="3"/>
  <c r="U488" i="3"/>
  <c r="P488" i="3"/>
  <c r="AH488" i="3"/>
  <c r="Q488" i="3"/>
  <c r="N488" i="3"/>
  <c r="R488" i="3"/>
  <c r="AG488" i="3"/>
  <c r="AF488" i="3"/>
  <c r="W488" i="3"/>
  <c r="X488" i="3"/>
  <c r="AC488" i="3"/>
  <c r="K488" i="3"/>
  <c r="L602" i="3"/>
  <c r="W602" i="3"/>
  <c r="V602" i="3"/>
  <c r="AH602" i="3"/>
  <c r="M602" i="3"/>
  <c r="X602" i="3"/>
  <c r="Q602" i="3"/>
  <c r="N602" i="3"/>
  <c r="P602" i="3"/>
  <c r="AD602" i="3"/>
  <c r="U602" i="3"/>
  <c r="AI602" i="3"/>
  <c r="O602" i="3"/>
  <c r="Z602" i="3"/>
  <c r="Q526" i="3"/>
  <c r="AH526" i="3"/>
  <c r="AC526" i="3"/>
  <c r="AB526" i="3"/>
  <c r="P526" i="3"/>
  <c r="AE526" i="3"/>
  <c r="H526" i="3"/>
  <c r="R526" i="3"/>
  <c r="AG526" i="3"/>
  <c r="N526" i="3"/>
  <c r="Z526" i="3"/>
  <c r="T526" i="3"/>
  <c r="AB450" i="3"/>
  <c r="P450" i="3"/>
  <c r="K450" i="3"/>
  <c r="W450" i="3"/>
  <c r="S450" i="3"/>
  <c r="H450" i="3"/>
  <c r="N450" i="3"/>
  <c r="X450" i="3"/>
  <c r="R450" i="3"/>
  <c r="L374" i="3"/>
  <c r="M374" i="3"/>
  <c r="AG374" i="3"/>
  <c r="I374" i="3"/>
  <c r="Y374" i="3"/>
  <c r="AI374" i="3"/>
  <c r="AD374" i="3"/>
  <c r="AA374" i="3"/>
  <c r="J374" i="3"/>
  <c r="V374" i="3"/>
  <c r="AE374" i="3"/>
  <c r="Q374" i="3"/>
  <c r="S374" i="3"/>
  <c r="Z754" i="3"/>
  <c r="AD754" i="3"/>
  <c r="V754" i="3"/>
  <c r="AH754" i="3"/>
  <c r="X754" i="3"/>
  <c r="AH108" i="3"/>
  <c r="R298" i="3"/>
  <c r="O298" i="3"/>
  <c r="H298" i="3"/>
  <c r="V298" i="3"/>
  <c r="W298" i="3"/>
  <c r="U298" i="3"/>
  <c r="AC298" i="3"/>
  <c r="P298" i="3"/>
  <c r="M298" i="3"/>
  <c r="Y298" i="3"/>
  <c r="AI298" i="3"/>
  <c r="Q298" i="3"/>
  <c r="AF298" i="3"/>
  <c r="AF526" i="3"/>
  <c r="X526" i="3"/>
  <c r="I526" i="3"/>
  <c r="O526" i="3"/>
  <c r="G526" i="3"/>
  <c r="AI526" i="3"/>
  <c r="M526" i="3"/>
  <c r="J526" i="3"/>
  <c r="S526" i="3"/>
  <c r="Y526" i="3"/>
  <c r="L526" i="3"/>
  <c r="AA526" i="3"/>
  <c r="V526" i="3"/>
  <c r="K526" i="3"/>
  <c r="W526" i="3"/>
  <c r="AD526" i="3"/>
  <c r="AG450" i="3"/>
  <c r="L450" i="3"/>
  <c r="M450" i="3"/>
  <c r="AA450" i="3"/>
  <c r="J450" i="3"/>
  <c r="G450" i="3"/>
  <c r="V450" i="3"/>
  <c r="AH450" i="3"/>
  <c r="Q450" i="3"/>
  <c r="Y450" i="3"/>
  <c r="Z450" i="3"/>
  <c r="O450" i="3"/>
  <c r="AE450" i="3"/>
  <c r="AD450" i="3"/>
  <c r="AC450" i="3"/>
  <c r="AF450" i="3"/>
  <c r="T450" i="3"/>
  <c r="O260" i="3"/>
  <c r="W260" i="3"/>
  <c r="L260" i="3"/>
  <c r="Z260" i="3"/>
  <c r="AI260" i="3"/>
  <c r="H260" i="3"/>
  <c r="Y260" i="3"/>
  <c r="V260" i="3"/>
  <c r="AG260" i="3"/>
  <c r="AC260" i="3"/>
  <c r="AF260" i="3"/>
  <c r="AE260" i="3"/>
  <c r="J260" i="3"/>
  <c r="X260" i="3"/>
  <c r="M412" i="3"/>
  <c r="K412" i="3"/>
  <c r="I412" i="3"/>
  <c r="G412" i="3"/>
  <c r="O412" i="3"/>
  <c r="N412" i="3"/>
  <c r="L412" i="3"/>
  <c r="S412" i="3"/>
  <c r="AF412" i="3"/>
  <c r="V412" i="3"/>
  <c r="P412" i="3"/>
  <c r="Y412" i="3"/>
  <c r="AG412" i="3"/>
  <c r="X412" i="3"/>
  <c r="AB412" i="3"/>
  <c r="AB640" i="3"/>
  <c r="O640" i="3"/>
  <c r="AD640" i="3"/>
  <c r="AE640" i="3"/>
  <c r="AA640" i="3"/>
  <c r="U640" i="3"/>
  <c r="V640" i="3"/>
  <c r="G640" i="3"/>
  <c r="Z640" i="3"/>
  <c r="N640" i="3"/>
  <c r="AG640" i="3"/>
  <c r="AH640" i="3"/>
  <c r="S640" i="3"/>
  <c r="AH716" i="3"/>
  <c r="Z716" i="3"/>
  <c r="N716" i="3"/>
  <c r="AF716" i="3"/>
  <c r="S716" i="3"/>
  <c r="L716" i="3"/>
  <c r="R716" i="3"/>
  <c r="AD716" i="3"/>
  <c r="M716" i="3"/>
  <c r="X716" i="3"/>
  <c r="Q716" i="3"/>
  <c r="AG716" i="3"/>
  <c r="Y716" i="3"/>
  <c r="K716" i="3"/>
  <c r="I716" i="3"/>
  <c r="S146" i="3"/>
  <c r="Z146" i="3"/>
  <c r="U146" i="3"/>
  <c r="M146" i="3"/>
  <c r="R146" i="3"/>
  <c r="AF146" i="3"/>
  <c r="AA146" i="3"/>
  <c r="H146" i="3"/>
  <c r="K146" i="3"/>
  <c r="I146" i="3"/>
  <c r="AB146" i="3"/>
  <c r="W564" i="3"/>
  <c r="T564" i="3"/>
  <c r="N564" i="3"/>
  <c r="H564" i="3"/>
  <c r="Z564" i="3"/>
  <c r="U564" i="3"/>
  <c r="AG564" i="3"/>
  <c r="AD564" i="3"/>
  <c r="Y564" i="3"/>
  <c r="Q564" i="3"/>
  <c r="P564" i="3"/>
  <c r="AH564" i="3"/>
  <c r="P374" i="3"/>
  <c r="X374" i="3"/>
  <c r="Z374" i="3"/>
  <c r="AF374" i="3"/>
  <c r="K374" i="3"/>
  <c r="AH374" i="3"/>
  <c r="N374" i="3"/>
  <c r="G374" i="3"/>
  <c r="AC374" i="3"/>
  <c r="R374" i="3"/>
  <c r="O374" i="3"/>
  <c r="H374" i="3"/>
  <c r="U374" i="3"/>
  <c r="W374" i="3"/>
  <c r="T374" i="3"/>
  <c r="I754" i="3"/>
  <c r="AC754" i="3"/>
  <c r="R754" i="3"/>
  <c r="AI754" i="3"/>
  <c r="H754" i="3"/>
  <c r="G754" i="3"/>
  <c r="T754" i="3"/>
  <c r="M754" i="3"/>
  <c r="J754" i="3"/>
  <c r="AG754" i="3"/>
  <c r="Q754" i="3"/>
  <c r="S754" i="3"/>
  <c r="L754" i="3"/>
  <c r="O754" i="3"/>
  <c r="AB754" i="3"/>
  <c r="K754" i="3"/>
  <c r="AG678" i="3"/>
  <c r="J678" i="3"/>
  <c r="AF678" i="3"/>
  <c r="AH678" i="3"/>
  <c r="V678" i="3"/>
  <c r="H678" i="3"/>
  <c r="O678" i="3"/>
  <c r="R678" i="3"/>
  <c r="AC678" i="3"/>
  <c r="Z678" i="3"/>
  <c r="L678" i="3"/>
  <c r="AF184" i="3"/>
  <c r="G184" i="3"/>
  <c r="R108" i="3"/>
  <c r="U108" i="3"/>
  <c r="AD108" i="3"/>
  <c r="I108" i="3"/>
  <c r="AA108" i="3"/>
  <c r="K108" i="3"/>
  <c r="G108" i="3"/>
  <c r="P108" i="3"/>
  <c r="AG108" i="3"/>
  <c r="H108" i="3"/>
  <c r="O108" i="3"/>
  <c r="T108" i="3"/>
  <c r="S108" i="3"/>
  <c r="Z108" i="3"/>
  <c r="AE222" i="3"/>
  <c r="V184" i="3"/>
  <c r="AD184" i="3"/>
  <c r="AA184" i="3"/>
  <c r="S184" i="3"/>
  <c r="Z184" i="3"/>
  <c r="I184" i="3"/>
  <c r="X184" i="3"/>
  <c r="Y184" i="3"/>
  <c r="AG184" i="3"/>
  <c r="AE184" i="3"/>
  <c r="AC184" i="3"/>
  <c r="U184" i="3"/>
  <c r="T184" i="3"/>
  <c r="H184" i="3"/>
  <c r="L184" i="3"/>
  <c r="N184" i="3"/>
  <c r="M184" i="3"/>
  <c r="G336" i="3"/>
  <c r="X336" i="3"/>
  <c r="V336" i="3"/>
  <c r="AE336" i="3"/>
  <c r="AH336" i="3"/>
  <c r="N336" i="3"/>
  <c r="AI336" i="3"/>
  <c r="W336" i="3"/>
  <c r="AD336" i="3"/>
  <c r="L336" i="3"/>
  <c r="AC336" i="3"/>
  <c r="P336" i="3"/>
  <c r="AG336" i="3"/>
  <c r="R336" i="3"/>
  <c r="I488" i="3"/>
  <c r="AB488" i="3"/>
  <c r="G488" i="3"/>
  <c r="O488" i="3"/>
  <c r="Y488" i="3"/>
  <c r="H488" i="3"/>
  <c r="T488" i="3"/>
  <c r="AA488" i="3"/>
  <c r="L488" i="3"/>
  <c r="Z488" i="3"/>
  <c r="J488" i="3"/>
  <c r="M488" i="3"/>
  <c r="AI488" i="3"/>
  <c r="V488" i="3"/>
  <c r="AG602" i="3"/>
  <c r="Y602" i="3"/>
  <c r="K602" i="3"/>
  <c r="H602" i="3"/>
  <c r="G602" i="3"/>
  <c r="R602" i="3"/>
  <c r="J602" i="3"/>
  <c r="AE602" i="3"/>
  <c r="AF602" i="3"/>
  <c r="T602" i="3"/>
  <c r="AB602" i="3"/>
  <c r="AA602" i="3"/>
  <c r="S602" i="3"/>
  <c r="AC602" i="3"/>
  <c r="I602" i="3"/>
  <c r="AF108" i="3"/>
  <c r="AI108" i="3"/>
  <c r="X108" i="3"/>
  <c r="J108" i="3"/>
  <c r="N108" i="3"/>
  <c r="Y108" i="3"/>
  <c r="L108" i="3"/>
  <c r="V108" i="3"/>
  <c r="Q108" i="3"/>
  <c r="AE108" i="3"/>
  <c r="AC108" i="3"/>
  <c r="M108" i="3"/>
  <c r="M222" i="3"/>
  <c r="AG222" i="3"/>
  <c r="Q222" i="3"/>
  <c r="X222" i="3"/>
  <c r="AH222" i="3"/>
  <c r="AI222" i="3"/>
  <c r="AD222" i="3"/>
  <c r="Z222" i="3"/>
  <c r="W222" i="3"/>
  <c r="AB222" i="3"/>
  <c r="U222" i="3"/>
  <c r="L222" i="3"/>
  <c r="AC222" i="3"/>
  <c r="J222" i="3"/>
  <c r="P222" i="3"/>
  <c r="O222" i="3"/>
  <c r="S222" i="3"/>
  <c r="G222" i="3"/>
  <c r="Y222" i="3"/>
  <c r="K222" i="3"/>
  <c r="AA222" i="3"/>
  <c r="N222" i="3"/>
  <c r="T222" i="3"/>
  <c r="I222" i="3"/>
  <c r="V222" i="3"/>
  <c r="AF222" i="3"/>
  <c r="C681" i="3"/>
  <c r="C682" i="3"/>
  <c r="C112" i="3"/>
  <c r="H222" i="3" l="1"/>
  <c r="AB108" i="3"/>
  <c r="Y754" i="3"/>
  <c r="M260" i="3"/>
  <c r="C227" i="3" s="1"/>
  <c r="F39" i="3" s="1"/>
  <c r="U450" i="3"/>
  <c r="AC640" i="3"/>
  <c r="W108" i="3"/>
  <c r="Y640" i="3"/>
  <c r="R222" i="3"/>
  <c r="K298" i="3"/>
  <c r="C265" i="3" s="1"/>
  <c r="G39" i="3" s="1"/>
  <c r="AE754" i="3"/>
  <c r="AB374" i="3"/>
  <c r="C341" i="3" s="1"/>
  <c r="I39" i="3" s="1"/>
  <c r="I450" i="3"/>
  <c r="U526" i="3"/>
  <c r="C493" i="3" s="1"/>
  <c r="M39" i="3" s="1"/>
  <c r="C569" i="3"/>
  <c r="O39" i="3" s="1"/>
  <c r="C455" i="3"/>
  <c r="L39" i="3" s="1"/>
  <c r="C303" i="3"/>
  <c r="H39" i="3" s="1"/>
  <c r="C75" i="3"/>
  <c r="U39" i="3" s="1"/>
  <c r="C645" i="3"/>
  <c r="Q39" i="3" s="1"/>
  <c r="C683" i="3"/>
  <c r="R39" i="3" s="1"/>
  <c r="C151" i="3"/>
  <c r="D39" i="3" s="1"/>
  <c r="C379" i="3"/>
  <c r="J39" i="3" s="1"/>
  <c r="C531" i="3"/>
  <c r="N39" i="3" s="1"/>
  <c r="C113" i="3"/>
  <c r="C39" i="3" s="1"/>
  <c r="C721" i="3" l="1"/>
  <c r="C719" i="3" s="1"/>
  <c r="C607" i="3"/>
  <c r="P39" i="3" s="1"/>
  <c r="C417" i="3"/>
  <c r="K39" i="3" s="1"/>
  <c r="C189" i="3"/>
  <c r="E39" i="3" s="1"/>
  <c r="C111" i="3"/>
  <c r="C38" i="3"/>
  <c r="R38" i="3"/>
  <c r="K11" i="3"/>
  <c r="K13" i="3" s="1"/>
  <c r="W39" i="3" l="1"/>
  <c r="X38" i="3" s="1"/>
  <c r="K30" i="3"/>
  <c r="K29" i="3"/>
  <c r="K22" i="3"/>
  <c r="K17" i="3"/>
  <c r="K19" i="3"/>
  <c r="K28" i="3"/>
  <c r="K26" i="3"/>
  <c r="K18" i="3"/>
  <c r="K23" i="3"/>
  <c r="K24" i="3"/>
  <c r="K20" i="3"/>
  <c r="K21" i="3"/>
  <c r="K27" i="3"/>
  <c r="K25" i="3"/>
  <c r="B452" i="3" l="1"/>
  <c r="C453" i="3"/>
  <c r="C301" i="3"/>
  <c r="B300" i="3"/>
  <c r="B414" i="3"/>
  <c r="C415" i="3"/>
  <c r="B186" i="3"/>
  <c r="C187" i="3"/>
  <c r="B566" i="3"/>
  <c r="C567" i="3"/>
  <c r="B148" i="3"/>
  <c r="C149" i="3"/>
  <c r="C605" i="3"/>
  <c r="B604" i="3"/>
  <c r="B528" i="3"/>
  <c r="C529" i="3"/>
  <c r="B262" i="3"/>
  <c r="C263" i="3"/>
  <c r="C377" i="3"/>
  <c r="B376" i="3"/>
  <c r="B490" i="3"/>
  <c r="C491" i="3"/>
  <c r="B224" i="3"/>
  <c r="C225" i="3"/>
  <c r="C339" i="3"/>
  <c r="B338" i="3"/>
  <c r="B642" i="3"/>
  <c r="C643" i="3"/>
  <c r="L38" i="3"/>
  <c r="H38" i="3"/>
  <c r="K38" i="3"/>
  <c r="E38" i="3"/>
  <c r="O38" i="3"/>
  <c r="D38" i="3"/>
  <c r="P38" i="3"/>
  <c r="N38" i="3"/>
  <c r="G38" i="3"/>
  <c r="J38" i="3"/>
  <c r="M38" i="3"/>
  <c r="F38" i="3"/>
  <c r="I38" i="3"/>
  <c r="Q38" i="3"/>
</calcChain>
</file>

<file path=xl/sharedStrings.xml><?xml version="1.0" encoding="utf-8"?>
<sst xmlns="http://schemas.openxmlformats.org/spreadsheetml/2006/main" count="401" uniqueCount="122">
  <si>
    <t>DAILY</t>
  </si>
  <si>
    <t>Quandl Data</t>
  </si>
  <si>
    <t>Available Headers</t>
  </si>
  <si>
    <t>Adj. Close</t>
  </si>
  <si>
    <t>MMM</t>
  </si>
  <si>
    <t>AAPL</t>
  </si>
  <si>
    <t>AXP</t>
  </si>
  <si>
    <t>BA</t>
  </si>
  <si>
    <t>CAT</t>
  </si>
  <si>
    <t>CSCO</t>
  </si>
  <si>
    <t>CVX</t>
  </si>
  <si>
    <t>DD</t>
  </si>
  <si>
    <t>DIS</t>
  </si>
  <si>
    <t>GE</t>
  </si>
  <si>
    <t>GS</t>
  </si>
  <si>
    <t>HD</t>
  </si>
  <si>
    <t>IBM</t>
  </si>
  <si>
    <t>INTC</t>
  </si>
  <si>
    <t>JNJ</t>
  </si>
  <si>
    <t>JPM</t>
  </si>
  <si>
    <t>KO</t>
  </si>
  <si>
    <t>MCD</t>
  </si>
  <si>
    <t>MRK</t>
  </si>
  <si>
    <t>MSFT</t>
  </si>
  <si>
    <t>NKE</t>
  </si>
  <si>
    <t>PFE</t>
  </si>
  <si>
    <t>PG</t>
  </si>
  <si>
    <t>UNH</t>
  </si>
  <si>
    <t>UTX</t>
  </si>
  <si>
    <t>VZ</t>
  </si>
  <si>
    <t>WMT</t>
  </si>
  <si>
    <t>Paste ↓ Value</t>
  </si>
  <si>
    <t>Exg.Code</t>
  </si>
  <si>
    <t>Volatile Date</t>
  </si>
  <si>
    <t>Start Date</t>
  </si>
  <si>
    <t>End Date</t>
  </si>
  <si>
    <t>Frequency</t>
  </si>
  <si>
    <t>Close</t>
  </si>
  <si>
    <t>Volume</t>
  </si>
  <si>
    <t>Adj. Volume</t>
  </si>
  <si>
    <t>Ex-Dividend</t>
  </si>
  <si>
    <t>Split Ratio</t>
  </si>
  <si>
    <t>Schedule</t>
  </si>
  <si>
    <t>Start date</t>
  </si>
  <si>
    <t>End date</t>
  </si>
  <si>
    <t>V</t>
  </si>
  <si>
    <t>Schedule Function</t>
  </si>
  <si>
    <t>Sampled Series</t>
  </si>
  <si>
    <t>Return Series</t>
  </si>
  <si>
    <t>N America Large Cap</t>
  </si>
  <si>
    <t>Sampling Function</t>
  </si>
  <si>
    <t>Quandl Key Available</t>
  </si>
  <si>
    <t>Return Function</t>
  </si>
  <si>
    <t>Padded Series</t>
  </si>
  <si>
    <t>Padding Function</t>
  </si>
  <si>
    <t>Variance</t>
  </si>
  <si>
    <t>Covariance</t>
  </si>
  <si>
    <t>CAPM Beta</t>
  </si>
  <si>
    <t>Risk-free rate</t>
  </si>
  <si>
    <t>Correlation</t>
  </si>
  <si>
    <t>Expected Return</t>
  </si>
  <si>
    <t>Correlation Matrix</t>
  </si>
  <si>
    <t>Standard Deviation</t>
  </si>
  <si>
    <t>Expected return</t>
  </si>
  <si>
    <t>XOM</t>
  </si>
  <si>
    <t>Mean Return</t>
  </si>
  <si>
    <t>Return Statistics</t>
  </si>
  <si>
    <t>Comparison to Index</t>
  </si>
  <si>
    <t>Data Cleaning</t>
  </si>
  <si>
    <t>Weight</t>
  </si>
  <si>
    <t>Target Return</t>
  </si>
  <si>
    <t>Test Portfolio</t>
  </si>
  <si>
    <t>Sharpe Ratio</t>
  </si>
  <si>
    <t>Stocks</t>
  </si>
  <si>
    <t>Indices</t>
  </si>
  <si>
    <t>Std. dev</t>
  </si>
  <si>
    <t>Equities</t>
  </si>
  <si>
    <t xml:space="preserve"> </t>
  </si>
  <si>
    <t>Bundled Data</t>
  </si>
  <si>
    <t>Time Series Data</t>
  </si>
  <si>
    <t>Adj, Close</t>
  </si>
  <si>
    <t>Name</t>
  </si>
  <si>
    <t>Market Data</t>
  </si>
  <si>
    <t>Hit CTRL-ALT-SHIFT-F9 to recalculate all cells when you load.  You might need to do this on each tab.</t>
  </si>
  <si>
    <t>Statistics</t>
  </si>
  <si>
    <t>Corr. Calc</t>
  </si>
  <si>
    <t>Corr. Matrix</t>
  </si>
  <si>
    <t>Correlation Calc.</t>
  </si>
  <si>
    <t>Covariance Calc.</t>
  </si>
  <si>
    <t>Variance Calc.</t>
  </si>
  <si>
    <t>Mean Calc.</t>
  </si>
  <si>
    <t>This sheet uses the standard Excel Solver Add-in to optimise portfolios for a range of different expected return profiles, minimising risk</t>
  </si>
  <si>
    <t>(standard deviation), and then plotting the risk/return possibilities as an 'Efficient Frontier'.  As a sanity check we also include a scenario</t>
  </si>
  <si>
    <t>to minimise CAPM Beta, leading to the tangency line.  We then show where a test portfolio falls within this risk/reward frontier.</t>
  </si>
  <si>
    <t>Max Return</t>
  </si>
  <si>
    <t>Min Return</t>
  </si>
  <si>
    <t>Scenarios</t>
  </si>
  <si>
    <t>Global Covariance Calc.</t>
  </si>
  <si>
    <t>Max Point</t>
  </si>
  <si>
    <t>Standard Dev.</t>
  </si>
  <si>
    <t>Expected Ret.</t>
  </si>
  <si>
    <t>Min Point</t>
  </si>
  <si>
    <t>Results Consolidation Tables</t>
  </si>
  <si>
    <t>Covariance Matrix</t>
  </si>
  <si>
    <t>Expected ret.</t>
  </si>
  <si>
    <t>Tangency Portf.</t>
  </si>
  <si>
    <t>Minimum Return Portfolio</t>
  </si>
  <si>
    <t>Maximum Target Return Portfolio</t>
  </si>
  <si>
    <t>Tangency Portfolio</t>
  </si>
  <si>
    <t>Efficient Frontier Analysis</t>
  </si>
  <si>
    <r>
      <t xml:space="preserve">Correlation Matrix </t>
    </r>
    <r>
      <rPr>
        <sz val="11"/>
        <color theme="1"/>
        <rFont val="Calibri"/>
        <family val="2"/>
      </rPr>
      <t>→</t>
    </r>
  </si>
  <si>
    <t>Introduction to the Efficient Frontier and Time Series Analysis Sample</t>
  </si>
  <si>
    <t>Num steps</t>
  </si>
  <si>
    <t>Delta</t>
  </si>
  <si>
    <t>Simulation</t>
  </si>
  <si>
    <t>MINIMUM</t>
  </si>
  <si>
    <t>MAXIMUM</t>
  </si>
  <si>
    <t>Rtrn MAX-MIN</t>
  </si>
  <si>
    <t>Label Rounding</t>
  </si>
  <si>
    <t>Solver Wt Total</t>
  </si>
  <si>
    <t>Zero Series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</si>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</sst>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0.000000000000000000%"/>
    <numFmt numFmtId="166" formatCode="0.00000000"/>
    <numFmt numFmtId="167" formatCode="0.0000E+00"/>
    <numFmt numFmtId="168" formatCode="0.0000000"/>
    <numFmt numFmtId="169" formatCode="0.00000%"/>
  </numFmts>
  <fonts count="21" x14ac:knownFonts="1">
    <font>
      <sz val="11"/>
      <color theme="1"/>
      <name val="Calibri"/>
      <family val="2"/>
      <scheme val="minor"/>
    </font>
    <font>
      <sz val="11"/>
      <color theme="1"/>
      <name val="Calibri"/>
      <family val="2"/>
    </font>
    <font>
      <sz val="11"/>
      <color theme="1"/>
      <name val="Calibri"/>
      <family val="2"/>
      <scheme val="minor"/>
    </font>
    <font>
      <sz val="18"/>
      <color theme="3"/>
      <name val="Calibri Light"/>
      <family val="2"/>
      <scheme val="major"/>
    </font>
    <font>
      <sz val="11"/>
      <color rgb="FF3F3F76"/>
      <name val="Calibri"/>
      <family val="2"/>
      <scheme val="minor"/>
    </font>
    <font>
      <b/>
      <sz val="11"/>
      <color rgb="FFFA7D00"/>
      <name val="Calibri"/>
      <family val="2"/>
      <scheme val="minor"/>
    </font>
    <font>
      <sz val="11"/>
      <color rgb="FFFF0000"/>
      <name val="Calibri"/>
      <family val="2"/>
      <scheme val="minor"/>
    </font>
    <font>
      <sz val="11"/>
      <color theme="0"/>
      <name val="Calibri"/>
      <family val="2"/>
      <scheme val="minor"/>
    </font>
    <font>
      <i/>
      <sz val="11"/>
      <color theme="1"/>
      <name val="Calibri"/>
      <family val="2"/>
      <scheme val="minor"/>
    </font>
    <font>
      <b/>
      <u/>
      <sz val="11"/>
      <color theme="1"/>
      <name val="Calibri"/>
      <family val="2"/>
      <scheme val="minor"/>
    </font>
    <font>
      <u/>
      <sz val="11"/>
      <color theme="1"/>
      <name val="Calibri"/>
      <family val="2"/>
      <scheme val="minor"/>
    </font>
    <font>
      <sz val="22"/>
      <color theme="3"/>
      <name val="Calibri Light"/>
      <family val="2"/>
      <scheme val="major"/>
    </font>
    <font>
      <b/>
      <sz val="11"/>
      <color theme="3"/>
      <name val="Calibri"/>
      <family val="2"/>
      <scheme val="minor"/>
    </font>
    <font>
      <b/>
      <i/>
      <sz val="11"/>
      <color theme="3"/>
      <name val="Calibri"/>
      <family val="2"/>
      <scheme val="minor"/>
    </font>
    <font>
      <b/>
      <i/>
      <sz val="11"/>
      <color theme="0"/>
      <name val="Calibri"/>
      <family val="2"/>
      <scheme val="minor"/>
    </font>
    <font>
      <b/>
      <sz val="15"/>
      <color theme="3"/>
      <name val="Calibri"/>
      <family val="2"/>
      <scheme val="minor"/>
    </font>
    <font>
      <i/>
      <sz val="11"/>
      <color theme="0"/>
      <name val="Calibri"/>
      <family val="2"/>
      <scheme val="minor"/>
    </font>
    <font>
      <sz val="11"/>
      <color theme="5" tint="0.59999389629810485"/>
      <name val="Calibri"/>
      <family val="2"/>
      <scheme val="minor"/>
    </font>
    <font>
      <b/>
      <sz val="11"/>
      <color rgb="FF3F3F3F"/>
      <name val="Calibri"/>
      <family val="2"/>
      <scheme val="minor"/>
    </font>
    <font>
      <sz val="24"/>
      <color theme="1"/>
      <name val="Calibri"/>
      <family val="2"/>
      <scheme val="minor"/>
    </font>
    <font>
      <sz val="11"/>
      <color rgb="FF000000"/>
      <name val="Calibri"/>
      <family val="2"/>
    </font>
  </fonts>
  <fills count="2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
      <patternFill patternType="solid">
        <fgColor theme="5"/>
      </patternFill>
    </fill>
    <fill>
      <patternFill patternType="solid">
        <fgColor theme="6"/>
      </patternFill>
    </fill>
    <fill>
      <patternFill patternType="solid">
        <fgColor theme="6" tint="0.79998168889431442"/>
        <bgColor indexed="65"/>
      </patternFill>
    </fill>
    <fill>
      <patternFill patternType="solid">
        <fgColor theme="7"/>
      </patternFill>
    </fill>
    <fill>
      <patternFill patternType="solid">
        <fgColor theme="7" tint="0.79998168889431442"/>
        <bgColor indexed="65"/>
      </patternFill>
    </fill>
    <fill>
      <patternFill patternType="solid">
        <fgColor theme="8"/>
      </patternFill>
    </fill>
    <fill>
      <patternFill patternType="solid">
        <fgColor theme="8" tint="0.79998168889431442"/>
        <bgColor indexed="65"/>
      </patternFill>
    </fill>
    <fill>
      <patternFill patternType="solid">
        <fgColor theme="9"/>
      </patternFill>
    </fill>
    <fill>
      <patternFill patternType="solid">
        <fgColor theme="9" tint="0.79998168889431442"/>
        <bgColor indexed="65"/>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5" tint="0.79998168889431442"/>
        <bgColor indexed="64"/>
      </patternFill>
    </fill>
    <fill>
      <gradientFill>
        <stop position="0">
          <color theme="5" tint="0.80001220740379042"/>
        </stop>
        <stop position="1">
          <color theme="5" tint="-0.25098422193060094"/>
        </stop>
      </gradientFill>
    </fill>
    <fill>
      <patternFill patternType="solid">
        <fgColor theme="5" tint="-0.249977111117893"/>
        <bgColor indexed="64"/>
      </patternFill>
    </fill>
    <fill>
      <patternFill patternType="solid">
        <fgColor theme="0"/>
        <bgColor indexed="64"/>
      </patternFill>
    </fill>
    <fill>
      <patternFill patternType="solid">
        <fgColor theme="5" tint="0.79998168889431442"/>
        <bgColor indexed="65"/>
      </patternFill>
    </fill>
    <fill>
      <patternFill patternType="solid">
        <fgColor theme="0" tint="-4.9989318521683403E-2"/>
        <bgColor indexed="64"/>
      </patternFill>
    </fill>
    <fill>
      <patternFill patternType="solid">
        <fgColor theme="4" tint="0.79998168889431442"/>
        <bgColor indexed="65"/>
      </patternFill>
    </fill>
    <fill>
      <patternFill patternType="solid">
        <fgColor theme="4" tint="0.59999389629810485"/>
        <bgColor indexed="65"/>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rgb="FF7F7F7F"/>
      </bottom>
      <diagonal/>
    </border>
    <border>
      <left/>
      <right style="thin">
        <color indexed="64"/>
      </right>
      <top style="thin">
        <color indexed="64"/>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top/>
      <bottom style="medium">
        <color theme="4" tint="0.39997558519241921"/>
      </bottom>
      <diagonal/>
    </border>
    <border>
      <left/>
      <right/>
      <top/>
      <bottom style="thick">
        <color theme="4"/>
      </bottom>
      <diagonal/>
    </border>
    <border>
      <left style="thin">
        <color indexed="64"/>
      </left>
      <right style="thin">
        <color rgb="FF7F7F7F"/>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s>
  <cellStyleXfs count="22">
    <xf numFmtId="0" fontId="0" fillId="0" borderId="0"/>
    <xf numFmtId="0" fontId="3" fillId="0" borderId="0" applyNumberFormat="0" applyFill="0" applyBorder="0" applyAlignment="0" applyProtection="0"/>
    <xf numFmtId="0" fontId="4" fillId="2" borderId="1" applyNumberFormat="0" applyAlignment="0" applyProtection="0"/>
    <xf numFmtId="0" fontId="5" fillId="3" borderId="1" applyNumberFormat="0" applyAlignment="0" applyProtection="0"/>
    <xf numFmtId="0" fontId="6" fillId="0" borderId="0" applyNumberFormat="0" applyFill="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2" fillId="7" borderId="0" applyNumberFormat="0" applyBorder="0" applyAlignment="0" applyProtection="0"/>
    <xf numFmtId="0" fontId="7" fillId="8" borderId="0" applyNumberFormat="0" applyBorder="0" applyAlignment="0" applyProtection="0"/>
    <xf numFmtId="0" fontId="2" fillId="9" borderId="0" applyNumberFormat="0" applyBorder="0" applyAlignment="0" applyProtection="0"/>
    <xf numFmtId="0" fontId="7" fillId="10" borderId="0" applyNumberFormat="0" applyBorder="0" applyAlignment="0" applyProtection="0"/>
    <xf numFmtId="0" fontId="2" fillId="11" borderId="0" applyNumberFormat="0" applyBorder="0" applyAlignment="0" applyProtection="0"/>
    <xf numFmtId="0" fontId="7" fillId="12" borderId="0" applyNumberFormat="0" applyBorder="0" applyAlignment="0" applyProtection="0"/>
    <xf numFmtId="0" fontId="2" fillId="13" borderId="0" applyNumberFormat="0" applyBorder="0" applyAlignment="0" applyProtection="0"/>
    <xf numFmtId="0" fontId="12" fillId="0" borderId="21" applyNumberFormat="0" applyFill="0" applyAlignment="0" applyProtection="0"/>
    <xf numFmtId="9" fontId="2" fillId="0" borderId="0" applyFont="0" applyFill="0" applyBorder="0" applyAlignment="0" applyProtection="0"/>
    <xf numFmtId="0" fontId="15" fillId="0" borderId="22" applyNumberFormat="0" applyFill="0" applyAlignment="0" applyProtection="0"/>
    <xf numFmtId="0" fontId="2" fillId="21" borderId="0" applyNumberFormat="0" applyBorder="0" applyAlignment="0" applyProtection="0"/>
    <xf numFmtId="0" fontId="18" fillId="3" borderId="24" applyNumberFormat="0" applyAlignment="0" applyProtection="0"/>
    <xf numFmtId="0" fontId="2" fillId="23" borderId="0" applyNumberFormat="0" applyBorder="0" applyAlignment="0" applyProtection="0"/>
    <xf numFmtId="0" fontId="2" fillId="24" borderId="0" applyNumberFormat="0" applyBorder="0" applyAlignment="0" applyProtection="0"/>
  </cellStyleXfs>
  <cellXfs count="222">
    <xf numFmtId="0" fontId="0" fillId="0" borderId="0" xfId="0"/>
    <xf numFmtId="0" fontId="1" fillId="0" borderId="0" xfId="0" applyFont="1" applyAlignment="1">
      <alignment horizontal="center"/>
    </xf>
    <xf numFmtId="165" fontId="0" fillId="0" borderId="0" xfId="0" applyNumberFormat="1"/>
    <xf numFmtId="166" fontId="0" fillId="0" borderId="0" xfId="0" applyNumberFormat="1"/>
    <xf numFmtId="0" fontId="0" fillId="0" borderId="0" xfId="0" applyNumberFormat="1"/>
    <xf numFmtId="10" fontId="0" fillId="0" borderId="0" xfId="0" applyNumberFormat="1"/>
    <xf numFmtId="11" fontId="0" fillId="0" borderId="0" xfId="0" applyNumberFormat="1"/>
    <xf numFmtId="0" fontId="0" fillId="14" borderId="0" xfId="0" applyFill="1" applyBorder="1"/>
    <xf numFmtId="0" fontId="0" fillId="15" borderId="0" xfId="0" applyFill="1" applyBorder="1"/>
    <xf numFmtId="0" fontId="0" fillId="16" borderId="0" xfId="0" applyFill="1"/>
    <xf numFmtId="0" fontId="0" fillId="17" borderId="0" xfId="0" applyFill="1" applyBorder="1"/>
    <xf numFmtId="164" fontId="0" fillId="14" borderId="0" xfId="0" applyNumberFormat="1" applyFill="1" applyBorder="1"/>
    <xf numFmtId="14" fontId="4" fillId="2" borderId="1" xfId="2" applyNumberFormat="1"/>
    <xf numFmtId="0" fontId="4" fillId="2" borderId="1" xfId="2"/>
    <xf numFmtId="0" fontId="2" fillId="9" borderId="0" xfId="10" applyBorder="1"/>
    <xf numFmtId="0" fontId="2" fillId="9" borderId="7" xfId="10" applyBorder="1"/>
    <xf numFmtId="0" fontId="2" fillId="9" borderId="6" xfId="10" applyBorder="1"/>
    <xf numFmtId="0" fontId="2" fillId="9" borderId="8" xfId="10" applyBorder="1"/>
    <xf numFmtId="0" fontId="2" fillId="9" borderId="9" xfId="10" applyBorder="1"/>
    <xf numFmtId="0" fontId="2" fillId="9" borderId="10" xfId="10" applyBorder="1"/>
    <xf numFmtId="0" fontId="5" fillId="3" borderId="1" xfId="3"/>
    <xf numFmtId="0" fontId="8" fillId="0" borderId="3" xfId="0" applyFont="1" applyBorder="1"/>
    <xf numFmtId="0" fontId="8" fillId="0" borderId="6" xfId="0" applyFont="1" applyBorder="1"/>
    <xf numFmtId="0" fontId="8" fillId="0" borderId="8" xfId="0" applyFont="1" applyBorder="1"/>
    <xf numFmtId="0" fontId="0" fillId="16" borderId="3" xfId="0" applyFill="1" applyBorder="1"/>
    <xf numFmtId="0" fontId="0" fillId="15" borderId="4" xfId="0" applyFill="1" applyBorder="1"/>
    <xf numFmtId="0" fontId="0" fillId="14" borderId="4" xfId="0" applyFill="1" applyBorder="1"/>
    <xf numFmtId="0" fontId="0" fillId="17" borderId="4" xfId="0" applyFill="1" applyBorder="1"/>
    <xf numFmtId="0" fontId="0" fillId="17" borderId="5" xfId="0" applyFill="1" applyBorder="1"/>
    <xf numFmtId="0" fontId="0" fillId="16" borderId="6" xfId="0" applyFill="1" applyBorder="1"/>
    <xf numFmtId="0" fontId="0" fillId="17" borderId="7" xfId="0" applyFill="1" applyBorder="1"/>
    <xf numFmtId="0" fontId="0" fillId="16" borderId="8" xfId="0" applyFill="1" applyBorder="1"/>
    <xf numFmtId="0" fontId="0" fillId="15" borderId="9" xfId="0" applyFill="1" applyBorder="1"/>
    <xf numFmtId="0" fontId="0" fillId="14" borderId="9" xfId="0" applyFill="1" applyBorder="1"/>
    <xf numFmtId="0" fontId="0" fillId="17" borderId="9" xfId="0" applyFill="1" applyBorder="1"/>
    <xf numFmtId="0" fontId="0" fillId="17" borderId="10" xfId="0" applyFill="1" applyBorder="1"/>
    <xf numFmtId="0" fontId="7" fillId="5" borderId="13" xfId="6" applyBorder="1"/>
    <xf numFmtId="0" fontId="7" fillId="5" borderId="14" xfId="6" applyBorder="1"/>
    <xf numFmtId="0" fontId="2" fillId="9" borderId="13" xfId="10" applyBorder="1"/>
    <xf numFmtId="0" fontId="7" fillId="8" borderId="13" xfId="9" applyBorder="1"/>
    <xf numFmtId="0" fontId="7" fillId="12" borderId="13" xfId="13" applyBorder="1"/>
    <xf numFmtId="0" fontId="2" fillId="11" borderId="11" xfId="12" applyBorder="1"/>
    <xf numFmtId="0" fontId="7" fillId="12" borderId="11" xfId="13" applyBorder="1"/>
    <xf numFmtId="0" fontId="7" fillId="8" borderId="11" xfId="9" applyBorder="1"/>
    <xf numFmtId="0" fontId="7" fillId="4" borderId="11" xfId="5" applyBorder="1"/>
    <xf numFmtId="0" fontId="7" fillId="8" borderId="14" xfId="9" applyBorder="1"/>
    <xf numFmtId="164" fontId="0" fillId="14" borderId="6" xfId="0" applyNumberFormat="1" applyFill="1" applyBorder="1"/>
    <xf numFmtId="164" fontId="0" fillId="14" borderId="7" xfId="0" applyNumberFormat="1" applyFill="1" applyBorder="1"/>
    <xf numFmtId="164" fontId="0" fillId="14" borderId="8" xfId="0" applyNumberFormat="1" applyFill="1" applyBorder="1"/>
    <xf numFmtId="164" fontId="0" fillId="14" borderId="10" xfId="0" applyNumberFormat="1" applyFill="1" applyBorder="1"/>
    <xf numFmtId="0" fontId="7" fillId="12" borderId="14" xfId="13" applyBorder="1"/>
    <xf numFmtId="0" fontId="0" fillId="15" borderId="6" xfId="0" applyFill="1" applyBorder="1"/>
    <xf numFmtId="0" fontId="0" fillId="15" borderId="7" xfId="0" applyFill="1" applyBorder="1"/>
    <xf numFmtId="0" fontId="0" fillId="15" borderId="8" xfId="0" applyFill="1" applyBorder="1"/>
    <xf numFmtId="0" fontId="0" fillId="15" borderId="10" xfId="0" applyFill="1" applyBorder="1"/>
    <xf numFmtId="0" fontId="8" fillId="16" borderId="0" xfId="0" applyFont="1" applyFill="1"/>
    <xf numFmtId="0" fontId="8" fillId="15" borderId="0" xfId="0" applyFont="1" applyFill="1" applyBorder="1"/>
    <xf numFmtId="0" fontId="8" fillId="14" borderId="0" xfId="0" applyFont="1" applyFill="1" applyBorder="1"/>
    <xf numFmtId="0" fontId="8" fillId="17" borderId="0" xfId="0" applyFont="1" applyFill="1" applyBorder="1"/>
    <xf numFmtId="0" fontId="9" fillId="16" borderId="0" xfId="0" applyFont="1" applyFill="1"/>
    <xf numFmtId="164" fontId="0" fillId="14" borderId="4" xfId="0" applyNumberFormat="1" applyFill="1" applyBorder="1"/>
    <xf numFmtId="0" fontId="0" fillId="15" borderId="3" xfId="0" applyFill="1" applyBorder="1"/>
    <xf numFmtId="0" fontId="0" fillId="15" borderId="5" xfId="0" applyFill="1" applyBorder="1"/>
    <xf numFmtId="164" fontId="0" fillId="14" borderId="3" xfId="0" applyNumberFormat="1" applyFill="1" applyBorder="1"/>
    <xf numFmtId="0" fontId="0" fillId="14" borderId="8" xfId="0" applyFill="1" applyBorder="1"/>
    <xf numFmtId="0" fontId="2" fillId="13" borderId="0" xfId="14"/>
    <xf numFmtId="0" fontId="2" fillId="9" borderId="0" xfId="10"/>
    <xf numFmtId="0" fontId="2" fillId="11" borderId="0" xfId="12"/>
    <xf numFmtId="0" fontId="8" fillId="11" borderId="0" xfId="12" applyFont="1"/>
    <xf numFmtId="0" fontId="8" fillId="13" borderId="0" xfId="14" applyFont="1"/>
    <xf numFmtId="0" fontId="8" fillId="9" borderId="0" xfId="10" applyFont="1"/>
    <xf numFmtId="0" fontId="10" fillId="11" borderId="0" xfId="12" applyFont="1"/>
    <xf numFmtId="0" fontId="7" fillId="8" borderId="3" xfId="9" applyBorder="1"/>
    <xf numFmtId="0" fontId="7" fillId="8" borderId="4" xfId="9" applyBorder="1"/>
    <xf numFmtId="0" fontId="7" fillId="8" borderId="5" xfId="9" applyBorder="1"/>
    <xf numFmtId="0" fontId="7" fillId="12" borderId="15" xfId="13" applyBorder="1"/>
    <xf numFmtId="0" fontId="2" fillId="13" borderId="16" xfId="14" applyBorder="1"/>
    <xf numFmtId="0" fontId="2" fillId="13" borderId="12" xfId="14" applyBorder="1"/>
    <xf numFmtId="0" fontId="7" fillId="10" borderId="15" xfId="11" applyBorder="1"/>
    <xf numFmtId="0" fontId="2" fillId="11" borderId="16" xfId="12" applyBorder="1"/>
    <xf numFmtId="0" fontId="2" fillId="11" borderId="12" xfId="12" applyBorder="1"/>
    <xf numFmtId="0" fontId="2" fillId="9" borderId="14" xfId="10" applyBorder="1"/>
    <xf numFmtId="0" fontId="2" fillId="13" borderId="2" xfId="14" applyBorder="1"/>
    <xf numFmtId="0" fontId="0" fillId="9" borderId="13" xfId="10" applyFont="1" applyBorder="1"/>
    <xf numFmtId="0" fontId="2" fillId="7" borderId="15" xfId="8" applyBorder="1"/>
    <xf numFmtId="0" fontId="2" fillId="7" borderId="16" xfId="8" applyBorder="1"/>
    <xf numFmtId="0" fontId="2" fillId="7" borderId="12" xfId="8" applyBorder="1"/>
    <xf numFmtId="0" fontId="7" fillId="6" borderId="15" xfId="7" applyBorder="1"/>
    <xf numFmtId="14" fontId="5" fillId="3" borderId="1" xfId="3" quotePrefix="1" applyNumberFormat="1"/>
    <xf numFmtId="0" fontId="8" fillId="0" borderId="15" xfId="0" applyFont="1" applyBorder="1"/>
    <xf numFmtId="0" fontId="8" fillId="0" borderId="12" xfId="0" applyFont="1" applyBorder="1"/>
    <xf numFmtId="0" fontId="8" fillId="0" borderId="16" xfId="0" applyFont="1" applyBorder="1"/>
    <xf numFmtId="0" fontId="7" fillId="5" borderId="4" xfId="6" applyBorder="1"/>
    <xf numFmtId="0" fontId="7" fillId="5" borderId="5" xfId="6" applyBorder="1"/>
    <xf numFmtId="0" fontId="0" fillId="17" borderId="3" xfId="0" applyFill="1" applyBorder="1"/>
    <xf numFmtId="0" fontId="0" fillId="17" borderId="8" xfId="0" applyFill="1" applyBorder="1"/>
    <xf numFmtId="0" fontId="3" fillId="0" borderId="0" xfId="1"/>
    <xf numFmtId="0" fontId="6" fillId="0" borderId="0" xfId="4"/>
    <xf numFmtId="0" fontId="0" fillId="0" borderId="0" xfId="0" applyFill="1"/>
    <xf numFmtId="0" fontId="0" fillId="17" borderId="6" xfId="0" applyFill="1" applyBorder="1"/>
    <xf numFmtId="0" fontId="0" fillId="0" borderId="0" xfId="0" applyFill="1" applyBorder="1"/>
    <xf numFmtId="0" fontId="7" fillId="5" borderId="11" xfId="6" applyBorder="1"/>
    <xf numFmtId="0" fontId="7" fillId="5" borderId="15" xfId="6" applyBorder="1"/>
    <xf numFmtId="0" fontId="7" fillId="5" borderId="16" xfId="6" applyBorder="1"/>
    <xf numFmtId="0" fontId="7" fillId="5" borderId="12" xfId="6" applyBorder="1"/>
    <xf numFmtId="0" fontId="5" fillId="0" borderId="0" xfId="3" applyFill="1" applyBorder="1"/>
    <xf numFmtId="14" fontId="4" fillId="0" borderId="0" xfId="2" applyNumberFormat="1" applyFill="1" applyBorder="1"/>
    <xf numFmtId="14" fontId="4" fillId="2" borderId="15" xfId="2" applyNumberFormat="1" applyBorder="1"/>
    <xf numFmtId="14" fontId="4" fillId="2" borderId="12" xfId="2" applyNumberFormat="1" applyBorder="1"/>
    <xf numFmtId="0" fontId="11" fillId="0" borderId="0" xfId="1" applyFont="1"/>
    <xf numFmtId="167" fontId="0" fillId="0" borderId="0" xfId="0" applyNumberFormat="1"/>
    <xf numFmtId="0" fontId="8" fillId="0" borderId="2" xfId="0" applyFont="1" applyBorder="1"/>
    <xf numFmtId="0" fontId="5" fillId="3" borderId="23" xfId="3" applyBorder="1"/>
    <xf numFmtId="0" fontId="0" fillId="0" borderId="13" xfId="0" applyBorder="1"/>
    <xf numFmtId="0" fontId="0" fillId="0" borderId="14" xfId="0" applyBorder="1"/>
    <xf numFmtId="164" fontId="7" fillId="5" borderId="4" xfId="6" applyNumberFormat="1" applyBorder="1"/>
    <xf numFmtId="164" fontId="7" fillId="5" borderId="5" xfId="6" applyNumberFormat="1" applyBorder="1"/>
    <xf numFmtId="164" fontId="7" fillId="12" borderId="9" xfId="13" applyNumberFormat="1" applyBorder="1"/>
    <xf numFmtId="10" fontId="7" fillId="12" borderId="9" xfId="13" applyNumberFormat="1" applyBorder="1"/>
    <xf numFmtId="164" fontId="7" fillId="12" borderId="10" xfId="13" applyNumberFormat="1" applyBorder="1"/>
    <xf numFmtId="0" fontId="13" fillId="17" borderId="11" xfId="15" applyFont="1" applyFill="1" applyBorder="1"/>
    <xf numFmtId="0" fontId="14" fillId="19" borderId="14" xfId="15" applyFont="1" applyFill="1" applyBorder="1"/>
    <xf numFmtId="0" fontId="16" fillId="6" borderId="11" xfId="7" applyFont="1" applyBorder="1" applyAlignment="1">
      <alignment horizontal="center"/>
    </xf>
    <xf numFmtId="0" fontId="16" fillId="6" borderId="13" xfId="7" applyFont="1" applyBorder="1" applyAlignment="1">
      <alignment horizontal="center"/>
    </xf>
    <xf numFmtId="0" fontId="16" fillId="6" borderId="14" xfId="7" applyFont="1" applyBorder="1" applyAlignment="1">
      <alignment horizontal="center"/>
    </xf>
    <xf numFmtId="164" fontId="0" fillId="0" borderId="3" xfId="0" applyNumberFormat="1" applyBorder="1"/>
    <xf numFmtId="164" fontId="0" fillId="0" borderId="4" xfId="0" applyNumberFormat="1" applyBorder="1"/>
    <xf numFmtId="10" fontId="0" fillId="0" borderId="4" xfId="0" applyNumberFormat="1" applyBorder="1"/>
    <xf numFmtId="164" fontId="0" fillId="0" borderId="5" xfId="0" applyNumberFormat="1" applyBorder="1"/>
    <xf numFmtId="164" fontId="0" fillId="0" borderId="6" xfId="0" applyNumberFormat="1" applyBorder="1"/>
    <xf numFmtId="164" fontId="0" fillId="0" borderId="0" xfId="0" applyNumberFormat="1" applyBorder="1"/>
    <xf numFmtId="10" fontId="0" fillId="0" borderId="0"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10" fontId="0" fillId="0" borderId="9" xfId="0" applyNumberFormat="1" applyBorder="1"/>
    <xf numFmtId="164" fontId="0" fillId="0" borderId="10" xfId="0" applyNumberFormat="1" applyBorder="1"/>
    <xf numFmtId="0" fontId="15" fillId="0" borderId="22" xfId="17"/>
    <xf numFmtId="164" fontId="0" fillId="0" borderId="15" xfId="0" applyNumberFormat="1" applyBorder="1"/>
    <xf numFmtId="164" fontId="0" fillId="0" borderId="16" xfId="0" applyNumberFormat="1" applyBorder="1"/>
    <xf numFmtId="164" fontId="0" fillId="0" borderId="12" xfId="0" applyNumberFormat="1" applyBorder="1"/>
    <xf numFmtId="0" fontId="7" fillId="6" borderId="11" xfId="7" applyBorder="1"/>
    <xf numFmtId="0" fontId="7" fillId="5" borderId="0" xfId="6"/>
    <xf numFmtId="164" fontId="7" fillId="6" borderId="14" xfId="7" applyNumberFormat="1" applyBorder="1"/>
    <xf numFmtId="0" fontId="17" fillId="5" borderId="11" xfId="6" applyFont="1" applyBorder="1"/>
    <xf numFmtId="0" fontId="17" fillId="5" borderId="14" xfId="6" applyFont="1" applyBorder="1"/>
    <xf numFmtId="164" fontId="0" fillId="20" borderId="3" xfId="0" applyNumberFormat="1" applyFill="1" applyBorder="1"/>
    <xf numFmtId="0" fontId="0" fillId="20" borderId="6" xfId="0" applyFill="1" applyBorder="1"/>
    <xf numFmtId="0" fontId="0" fillId="20" borderId="8" xfId="0" applyFill="1" applyBorder="1"/>
    <xf numFmtId="164" fontId="0" fillId="20" borderId="5" xfId="0" applyNumberFormat="1" applyFill="1" applyBorder="1"/>
    <xf numFmtId="0" fontId="0" fillId="20" borderId="7" xfId="0" applyFill="1" applyBorder="1"/>
    <xf numFmtId="0" fontId="0" fillId="20" borderId="10" xfId="0" applyFill="1" applyBorder="1"/>
    <xf numFmtId="164" fontId="15" fillId="0" borderId="22" xfId="17" applyNumberFormat="1"/>
    <xf numFmtId="166" fontId="15" fillId="0" borderId="22" xfId="17" applyNumberFormat="1"/>
    <xf numFmtId="0" fontId="15" fillId="0" borderId="22" xfId="17" applyNumberFormat="1"/>
    <xf numFmtId="165" fontId="15" fillId="0" borderId="22" xfId="17" applyNumberFormat="1"/>
    <xf numFmtId="0" fontId="0" fillId="0" borderId="3" xfId="0" applyBorder="1"/>
    <xf numFmtId="0" fontId="0" fillId="0" borderId="6" xfId="0" applyBorder="1"/>
    <xf numFmtId="0" fontId="0" fillId="0" borderId="8" xfId="0" applyBorder="1"/>
    <xf numFmtId="164" fontId="5" fillId="3" borderId="15" xfId="3" applyNumberFormat="1" applyBorder="1"/>
    <xf numFmtId="164" fontId="5" fillId="3" borderId="16" xfId="3" applyNumberFormat="1" applyBorder="1"/>
    <xf numFmtId="0" fontId="5" fillId="3" borderId="12" xfId="3" applyBorder="1"/>
    <xf numFmtId="0" fontId="0" fillId="22" borderId="3" xfId="0" applyFill="1" applyBorder="1"/>
    <xf numFmtId="0" fontId="0" fillId="22" borderId="6" xfId="0" applyFill="1" applyBorder="1"/>
    <xf numFmtId="0" fontId="0" fillId="22" borderId="8" xfId="0" applyFill="1" applyBorder="1"/>
    <xf numFmtId="164" fontId="5" fillId="3" borderId="12" xfId="3" applyNumberFormat="1" applyBorder="1"/>
    <xf numFmtId="0" fontId="0" fillId="0" borderId="2" xfId="0" applyBorder="1"/>
    <xf numFmtId="164" fontId="4" fillId="2" borderId="15" xfId="2" applyNumberFormat="1" applyBorder="1"/>
    <xf numFmtId="164" fontId="4" fillId="2" borderId="16" xfId="2" applyNumberFormat="1" applyBorder="1"/>
    <xf numFmtId="164" fontId="4" fillId="2" borderId="12" xfId="2" applyNumberFormat="1" applyBorder="1"/>
    <xf numFmtId="164" fontId="2" fillId="21" borderId="11" xfId="18" applyNumberFormat="1" applyBorder="1"/>
    <xf numFmtId="164" fontId="2" fillId="21" borderId="13" xfId="18" applyNumberFormat="1" applyBorder="1"/>
    <xf numFmtId="164" fontId="2" fillId="21" borderId="14" xfId="18" applyNumberFormat="1" applyBorder="1"/>
    <xf numFmtId="0" fontId="2" fillId="7" borderId="11" xfId="8" applyBorder="1"/>
    <xf numFmtId="0" fontId="2" fillId="7" borderId="13" xfId="8" applyBorder="1"/>
    <xf numFmtId="0" fontId="2" fillId="7" borderId="14" xfId="8" applyBorder="1"/>
    <xf numFmtId="168" fontId="0" fillId="0" borderId="3" xfId="0" applyNumberFormat="1" applyBorder="1"/>
    <xf numFmtId="168" fontId="0" fillId="0" borderId="4" xfId="0" applyNumberFormat="1" applyBorder="1"/>
    <xf numFmtId="168" fontId="0" fillId="0" borderId="5" xfId="0" applyNumberFormat="1" applyBorder="1"/>
    <xf numFmtId="168" fontId="0" fillId="0" borderId="6" xfId="0" applyNumberFormat="1" applyBorder="1"/>
    <xf numFmtId="168" fontId="0" fillId="0" borderId="0" xfId="0" applyNumberFormat="1" applyBorder="1"/>
    <xf numFmtId="168" fontId="0" fillId="0" borderId="7" xfId="0" applyNumberFormat="1" applyBorder="1"/>
    <xf numFmtId="9" fontId="0" fillId="0" borderId="2" xfId="16" applyFont="1" applyBorder="1"/>
    <xf numFmtId="166" fontId="15" fillId="0" borderId="0" xfId="17" applyNumberFormat="1" applyBorder="1"/>
    <xf numFmtId="167" fontId="18" fillId="3" borderId="11" xfId="19" applyNumberFormat="1" applyBorder="1"/>
    <xf numFmtId="167" fontId="18" fillId="3" borderId="13" xfId="19" applyNumberFormat="1" applyBorder="1"/>
    <xf numFmtId="11" fontId="18" fillId="3" borderId="13" xfId="19" applyNumberFormat="1" applyBorder="1"/>
    <xf numFmtId="11" fontId="18" fillId="3" borderId="14" xfId="19" applyNumberFormat="1" applyBorder="1"/>
    <xf numFmtId="164" fontId="4" fillId="2" borderId="25" xfId="2" applyNumberFormat="1" applyBorder="1"/>
    <xf numFmtId="167" fontId="18" fillId="3" borderId="14" xfId="19" applyNumberFormat="1" applyBorder="1"/>
    <xf numFmtId="0" fontId="19" fillId="0" borderId="0" xfId="0" applyFont="1"/>
    <xf numFmtId="9" fontId="0" fillId="0" borderId="0" xfId="16" applyFont="1"/>
    <xf numFmtId="10" fontId="0" fillId="14" borderId="6" xfId="16" applyNumberFormat="1" applyFont="1" applyFill="1" applyBorder="1"/>
    <xf numFmtId="0" fontId="7" fillId="4" borderId="2" xfId="5" applyBorder="1"/>
    <xf numFmtId="0" fontId="2" fillId="24" borderId="6" xfId="21" applyBorder="1"/>
    <xf numFmtId="0" fontId="2" fillId="24" borderId="8" xfId="21" applyBorder="1"/>
    <xf numFmtId="164" fontId="2" fillId="23" borderId="16" xfId="20" applyNumberFormat="1" applyBorder="1"/>
    <xf numFmtId="164" fontId="2" fillId="23" borderId="12" xfId="20" applyNumberFormat="1" applyBorder="1"/>
    <xf numFmtId="0" fontId="7" fillId="12" borderId="3" xfId="13" applyBorder="1"/>
    <xf numFmtId="0" fontId="7" fillId="12" borderId="6" xfId="13" applyBorder="1"/>
    <xf numFmtId="0" fontId="7" fillId="12" borderId="8" xfId="13" applyBorder="1"/>
    <xf numFmtId="1" fontId="5" fillId="3" borderId="16" xfId="3" applyNumberFormat="1" applyBorder="1"/>
    <xf numFmtId="169" fontId="5" fillId="3" borderId="12" xfId="3" applyNumberFormat="1" applyBorder="1"/>
    <xf numFmtId="0" fontId="5" fillId="3" borderId="15" xfId="3" applyNumberFormat="1" applyBorder="1"/>
    <xf numFmtId="0" fontId="2" fillId="7" borderId="5" xfId="8" applyBorder="1"/>
    <xf numFmtId="0" fontId="2" fillId="7" borderId="7" xfId="8" applyBorder="1"/>
    <xf numFmtId="0" fontId="2" fillId="7" borderId="10" xfId="8" applyBorder="1"/>
    <xf numFmtId="9" fontId="0" fillId="0" borderId="12" xfId="16" applyFont="1" applyBorder="1"/>
    <xf numFmtId="9" fontId="5" fillId="3" borderId="15" xfId="16" applyFont="1" applyFill="1" applyBorder="1"/>
    <xf numFmtId="0" fontId="0" fillId="0" borderId="0" xfId="0" quotePrefix="1"/>
    <xf numFmtId="0" fontId="0" fillId="11" borderId="16" xfId="12" applyFont="1" applyBorder="1"/>
    <xf numFmtId="14" fontId="0" fillId="0" borderId="0" xfId="0" applyNumberFormat="1"/>
    <xf numFmtId="0" fontId="5" fillId="3" borderId="4" xfId="3" applyBorder="1"/>
    <xf numFmtId="0" fontId="5" fillId="3" borderId="5" xfId="3" applyBorder="1"/>
    <xf numFmtId="0" fontId="5" fillId="3" borderId="9" xfId="3" applyBorder="1"/>
    <xf numFmtId="0" fontId="5" fillId="3" borderId="10" xfId="3" applyBorder="1"/>
    <xf numFmtId="0" fontId="5" fillId="3" borderId="1" xfId="3"/>
    <xf numFmtId="0" fontId="5" fillId="3" borderId="17" xfId="3" applyBorder="1"/>
    <xf numFmtId="0" fontId="5" fillId="3" borderId="18" xfId="3" applyBorder="1"/>
    <xf numFmtId="0" fontId="5" fillId="3" borderId="19" xfId="3" applyBorder="1"/>
    <xf numFmtId="0" fontId="5" fillId="3" borderId="20" xfId="3" applyBorder="1"/>
    <xf numFmtId="0" fontId="13" fillId="18" borderId="13" xfId="15" applyFont="1" applyFill="1" applyBorder="1" applyAlignment="1">
      <alignment horizontal="center"/>
    </xf>
  </cellXfs>
  <cellStyles count="22">
    <cellStyle name="20% - Accent1" xfId="20" builtinId="30"/>
    <cellStyle name="20% - Accent2" xfId="18" builtinId="34"/>
    <cellStyle name="20% - Accent3" xfId="8" builtinId="38"/>
    <cellStyle name="20% - Accent4" xfId="10" builtinId="42"/>
    <cellStyle name="20% - Accent5" xfId="12" builtinId="46"/>
    <cellStyle name="20% - Accent6" xfId="14" builtinId="50"/>
    <cellStyle name="40% - Accent1" xfId="21" builtinId="31"/>
    <cellStyle name="Accent1" xfId="5" builtinId="29"/>
    <cellStyle name="Accent2" xfId="6" builtinId="33"/>
    <cellStyle name="Accent3" xfId="7" builtinId="37"/>
    <cellStyle name="Accent4" xfId="9" builtinId="41"/>
    <cellStyle name="Accent5" xfId="11" builtinId="45"/>
    <cellStyle name="Accent6" xfId="13" builtinId="49"/>
    <cellStyle name="Calculation" xfId="3" builtinId="22"/>
    <cellStyle name="Heading 1" xfId="17" builtinId="16"/>
    <cellStyle name="Heading 3" xfId="15" builtinId="18"/>
    <cellStyle name="Input" xfId="2" builtinId="20"/>
    <cellStyle name="Normal" xfId="0" builtinId="0"/>
    <cellStyle name="Output" xfId="19" builtinId="21"/>
    <cellStyle name="Percent" xfId="16" builtinId="5"/>
    <cellStyle name="Title" xfId="1" builtinId="15"/>
    <cellStyle name="Warning Text" xfId="4" builtinId="11"/>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Efficient</a:t>
            </a:r>
            <a:r>
              <a:rPr lang="en-US" baseline="0"/>
              <a:t> Frontier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'Efficient Frontier'!$B$38</c:f>
              <c:strCache>
                <c:ptCount val="1"/>
                <c:pt idx="0">
                  <c:v>Expected Return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'Efficient Frontier'!$C$39:$R$39</c:f>
              <c:numCache>
                <c:formatCode>0.0000%</c:formatCode>
                <c:ptCount val="16"/>
                <c:pt idx="0">
                  <c:v>5.7984589725615016E-2</c:v>
                </c:pt>
                <c:pt idx="1">
                  <c:v>3.1000333088606221E-2</c:v>
                </c:pt>
                <c:pt idx="2">
                  <c:v>2.6879543108941622E-2</c:v>
                </c:pt>
                <c:pt idx="3">
                  <c:v>2.497978107366406E-2</c:v>
                </c:pt>
                <c:pt idx="4">
                  <c:v>2.4167887080059302E-2</c:v>
                </c:pt>
                <c:pt idx="5">
                  <c:v>2.3748092739768186E-2</c:v>
                </c:pt>
                <c:pt idx="6">
                  <c:v>2.3620557242974804E-2</c:v>
                </c:pt>
                <c:pt idx="7">
                  <c:v>2.3814409336992921E-2</c:v>
                </c:pt>
                <c:pt idx="8" formatCode="0.00%">
                  <c:v>2.4340777809514259E-2</c:v>
                </c:pt>
                <c:pt idx="9">
                  <c:v>2.5160169443716199E-2</c:v>
                </c:pt>
                <c:pt idx="10">
                  <c:v>2.6290798268936693E-2</c:v>
                </c:pt>
                <c:pt idx="11">
                  <c:v>2.7733300714895551E-2</c:v>
                </c:pt>
                <c:pt idx="12">
                  <c:v>2.9446330751584631E-2</c:v>
                </c:pt>
                <c:pt idx="13">
                  <c:v>3.1628589172916062E-2</c:v>
                </c:pt>
                <c:pt idx="14">
                  <c:v>3.5013523017094816E-2</c:v>
                </c:pt>
                <c:pt idx="15">
                  <c:v>4.4258356674856308E-2</c:v>
                </c:pt>
              </c:numCache>
            </c:numRef>
          </c:xVal>
          <c:yVal>
            <c:numRef>
              <c:f>'Efficient Frontier'!$C$38:$R$38</c:f>
              <c:numCache>
                <c:formatCode>0.0000%</c:formatCode>
                <c:ptCount val="16"/>
                <c:pt idx="0">
                  <c:v>-1.4277266060162369E-4</c:v>
                </c:pt>
                <c:pt idx="1">
                  <c:v>1.5107682834171793E-3</c:v>
                </c:pt>
                <c:pt idx="2">
                  <c:v>3.1643092274359825E-3</c:v>
                </c:pt>
                <c:pt idx="3">
                  <c:v>4.8178501714547855E-3</c:v>
                </c:pt>
                <c:pt idx="4">
                  <c:v>6.4713911154735881E-3</c:v>
                </c:pt>
                <c:pt idx="5">
                  <c:v>8.1249320594923916E-3</c:v>
                </c:pt>
                <c:pt idx="6">
                  <c:v>9.7784730035111959E-3</c:v>
                </c:pt>
                <c:pt idx="7">
                  <c:v>1.1432013947529998E-2</c:v>
                </c:pt>
                <c:pt idx="8">
                  <c:v>1.3085554891548801E-2</c:v>
                </c:pt>
                <c:pt idx="9">
                  <c:v>1.4739095835567604E-2</c:v>
                </c:pt>
                <c:pt idx="10">
                  <c:v>1.6392636779586404E-2</c:v>
                </c:pt>
                <c:pt idx="11">
                  <c:v>1.8046177723605207E-2</c:v>
                </c:pt>
                <c:pt idx="12">
                  <c:v>1.9699718667624013E-2</c:v>
                </c:pt>
                <c:pt idx="13">
                  <c:v>2.1353259611642816E-2</c:v>
                </c:pt>
                <c:pt idx="14">
                  <c:v>2.3006800555661618E-2</c:v>
                </c:pt>
                <c:pt idx="15">
                  <c:v>2.4660341499680421E-2</c:v>
                </c:pt>
              </c:numCache>
            </c:numRef>
          </c:yVal>
          <c:smooth val="1"/>
          <c:extLst>
            <c:ext xmlns:c16="http://schemas.microsoft.com/office/drawing/2014/chart" uri="{C3380CC4-5D6E-409C-BE32-E72D297353CC}">
              <c16:uniqueId val="{00000000-8B54-4765-9991-C6EB562EA6E1}"/>
            </c:ext>
          </c:extLst>
        </c:ser>
        <c:ser>
          <c:idx val="1"/>
          <c:order val="1"/>
          <c:tx>
            <c:strRef>
              <c:f>'Efficient Frontier'!$B$73</c:f>
              <c:strCache>
                <c:ptCount val="1"/>
                <c:pt idx="0">
                  <c:v>Test Portfolio</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'Efficient Frontier'!$U$39</c:f>
              <c:numCache>
                <c:formatCode>0.0000%</c:formatCode>
                <c:ptCount val="1"/>
                <c:pt idx="0">
                  <c:v>3.2951741381269814E-2</c:v>
                </c:pt>
              </c:numCache>
            </c:numRef>
          </c:xVal>
          <c:yVal>
            <c:numRef>
              <c:f>'Efficient Frontier'!$U$38</c:f>
              <c:numCache>
                <c:formatCode>0.0000%</c:formatCode>
                <c:ptCount val="1"/>
                <c:pt idx="0">
                  <c:v>8.0624481090666202E-3</c:v>
                </c:pt>
              </c:numCache>
            </c:numRef>
          </c:yVal>
          <c:smooth val="1"/>
          <c:extLst>
            <c:ext xmlns:c16="http://schemas.microsoft.com/office/drawing/2014/chart" uri="{C3380CC4-5D6E-409C-BE32-E72D297353CC}">
              <c16:uniqueId val="{00000003-CBC6-4C10-8B11-D7F399E3BEF3}"/>
            </c:ext>
          </c:extLst>
        </c:ser>
        <c:ser>
          <c:idx val="2"/>
          <c:order val="2"/>
          <c:tx>
            <c:strRef>
              <c:f>'Efficient Frontier'!$W$37</c:f>
              <c:strCache>
                <c:ptCount val="1"/>
                <c:pt idx="0">
                  <c:v>Tangency Portf.</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'Efficient Frontier'!$V$39:$X$39</c:f>
              <c:numCache>
                <c:formatCode>0.0000%</c:formatCode>
                <c:ptCount val="3"/>
                <c:pt idx="0">
                  <c:v>0</c:v>
                </c:pt>
                <c:pt idx="1">
                  <c:v>3.1229271963304352E-2</c:v>
                </c:pt>
                <c:pt idx="2">
                  <c:v>1.2E-2</c:v>
                </c:pt>
              </c:numCache>
            </c:numRef>
          </c:xVal>
          <c:yVal>
            <c:numRef>
              <c:f>'Efficient Frontier'!$V$38:$X$38</c:f>
              <c:numCache>
                <c:formatCode>0.0000%</c:formatCode>
                <c:ptCount val="3"/>
                <c:pt idx="0">
                  <c:v>3.4715593006939827E-5</c:v>
                </c:pt>
                <c:pt idx="1">
                  <c:v>2.109086175135555E-2</c:v>
                </c:pt>
                <c:pt idx="2">
                  <c:v>8.1256424067054824E-3</c:v>
                </c:pt>
              </c:numCache>
            </c:numRef>
          </c:yVal>
          <c:smooth val="1"/>
          <c:extLst>
            <c:ext xmlns:c16="http://schemas.microsoft.com/office/drawing/2014/chart" uri="{C3380CC4-5D6E-409C-BE32-E72D297353CC}">
              <c16:uniqueId val="{00000004-CBC6-4C10-8B11-D7F399E3BEF3}"/>
            </c:ext>
          </c:extLst>
        </c:ser>
        <c:dLbls>
          <c:showLegendKey val="0"/>
          <c:showVal val="0"/>
          <c:showCatName val="0"/>
          <c:showSerName val="0"/>
          <c:showPercent val="0"/>
          <c:showBubbleSize val="0"/>
        </c:dLbls>
        <c:axId val="1384739120"/>
        <c:axId val="1384747648"/>
      </c:scatterChart>
      <c:valAx>
        <c:axId val="1384739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47648"/>
        <c:crosses val="autoZero"/>
        <c:crossBetween val="midCat"/>
      </c:valAx>
      <c:valAx>
        <c:axId val="138474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a:t>
                </a:r>
                <a:r>
                  <a:rPr lang="en-US" baseline="0"/>
                  <a:t>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3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hyperlink" Target="https://www.quandl.com/account/api" TargetMode="External"/><Relationship Id="rId2" Type="http://schemas.openxmlformats.org/officeDocument/2006/relationships/hyperlink" Target="http://www.quandl.com" TargetMode="External"/><Relationship Id="rId1" Type="http://schemas.openxmlformats.org/officeDocument/2006/relationships/image" Target="../media/image1.png"/><Relationship Id="rId6" Type="http://schemas.openxmlformats.org/officeDocument/2006/relationships/hyperlink" Target="https://support.office.com/en-gb/article/Load-the-Solver-Add-in-612926fc-d53b-46b4-872c-e24772f078ca" TargetMode="Externa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485775</xdr:colOff>
      <xdr:row>3</xdr:row>
      <xdr:rowOff>28575</xdr:rowOff>
    </xdr:from>
    <xdr:to>
      <xdr:col>21</xdr:col>
      <xdr:colOff>516892</xdr:colOff>
      <xdr:row>25</xdr:row>
      <xdr:rowOff>31987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972175" y="600075"/>
          <a:ext cx="7346317" cy="4194412"/>
        </a:xfrm>
        <a:prstGeom prst="rect">
          <a:avLst/>
        </a:prstGeom>
      </xdr:spPr>
    </xdr:pic>
    <xdr:clientData/>
  </xdr:twoCellAnchor>
  <xdr:twoCellAnchor>
    <xdr:from>
      <xdr:col>1</xdr:col>
      <xdr:colOff>9525</xdr:colOff>
      <xdr:row>3</xdr:row>
      <xdr:rowOff>28573</xdr:rowOff>
    </xdr:from>
    <xdr:to>
      <xdr:col>9</xdr:col>
      <xdr:colOff>371475</xdr:colOff>
      <xdr:row>59</xdr:row>
      <xdr:rowOff>104775</xdr:rowOff>
    </xdr:to>
    <xdr:sp macro="" textlink="">
      <xdr:nvSpPr>
        <xdr:cNvPr id="6" name="Intro Text Box">
          <a:extLst>
            <a:ext uri="{FF2B5EF4-FFF2-40B4-BE49-F238E27FC236}">
              <a16:creationId xmlns:a16="http://schemas.microsoft.com/office/drawing/2014/main" id="{00000000-0008-0000-0000-000006000000}"/>
            </a:ext>
          </a:extLst>
        </xdr:cNvPr>
        <xdr:cNvSpPr txBox="1"/>
      </xdr:nvSpPr>
      <xdr:spPr>
        <a:xfrm>
          <a:off x="285750" y="1171573"/>
          <a:ext cx="5238750" cy="10744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uses the standard Excel Solver Add-in to optimise portfolios for a range of different expected return profiles, minimising risk, and then plotting the risk/return possibilities as an 'Efficient Frontier'.  As a sanity check we also include a scenario to minimise CAPM Beta, leading to the</a:t>
          </a:r>
          <a:r>
            <a:rPr lang="en-US" sz="1100" baseline="0"/>
            <a:t> </a:t>
          </a:r>
          <a:r>
            <a:rPr lang="en-US" sz="1100"/>
            <a:t>tangency line.  We then show where a test portfolio falls within this risk/reward frontier.  Right is a screenshot of</a:t>
          </a:r>
          <a:r>
            <a:rPr lang="en-US" sz="1100" baseline="0"/>
            <a:t> the resulting display you'll find on 'Efficient Frontier' tab.  Note if you wish to modify the data and re-run solver then you need to enable the solver add-in. You also need to allow macros/VBA.</a:t>
          </a:r>
        </a:p>
        <a:p>
          <a:endParaRPr lang="en-US" sz="1100" baseline="0"/>
        </a:p>
        <a:p>
          <a:endParaRPr lang="en-US" sz="1100" baseline="0"/>
        </a:p>
        <a:p>
          <a:endParaRPr lang="en-US" sz="1100"/>
        </a:p>
        <a:p>
          <a:r>
            <a:rPr lang="en-US" sz="1100" b="1"/>
            <a:t>Quandl</a:t>
          </a:r>
          <a:r>
            <a:rPr lang="en-US" sz="1100" b="1" baseline="0"/>
            <a:t> API Key</a:t>
          </a:r>
          <a:r>
            <a:rPr lang="en-US" sz="1100" baseline="0"/>
            <a:t>: To pull data from Quandl you'll need a Quandl API key and configure XL4J to use it, it's simple.  Sign up at:</a:t>
          </a:r>
        </a:p>
        <a:p>
          <a:endParaRPr lang="en-US" sz="1100" baseline="0"/>
        </a:p>
        <a:p>
          <a:pPr algn="ctr"/>
          <a:r>
            <a:rPr lang="en-US" sz="1100" baseline="0"/>
            <a:t>     once logged in, find your API key here</a:t>
          </a:r>
        </a:p>
        <a:p>
          <a:endParaRPr lang="en-US" sz="1100" baseline="0"/>
        </a:p>
        <a:p>
          <a:r>
            <a:rPr lang="en-US" sz="1100"/>
            <a:t>When you have your API key, Click the</a:t>
          </a:r>
          <a:r>
            <a:rPr lang="en-US" sz="1100" baseline="0"/>
            <a:t> Add-ins tab (if you don't see it, install XL4J!)</a:t>
          </a:r>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Then choose the Settings button</a:t>
          </a:r>
        </a:p>
        <a:p>
          <a:endParaRPr lang="en-US" sz="1100"/>
        </a:p>
        <a:p>
          <a:endParaRPr lang="en-US" sz="1100"/>
        </a:p>
        <a:p>
          <a:endParaRPr lang="en-US" sz="1100"/>
        </a:p>
        <a:p>
          <a:endParaRPr lang="en-US" sz="1100"/>
        </a:p>
        <a:p>
          <a:endParaRPr lang="en-US" sz="1100"/>
        </a:p>
        <a:p>
          <a:r>
            <a:rPr lang="en-US" sz="1100"/>
            <a:t>And</a:t>
          </a:r>
          <a:r>
            <a:rPr lang="en-US" sz="1100" baseline="0"/>
            <a:t> on </a:t>
          </a:r>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Go to the</a:t>
          </a:r>
          <a:r>
            <a:rPr lang="en-US" sz="1100" baseline="0"/>
            <a:t> </a:t>
          </a:r>
          <a:r>
            <a:rPr lang="en-US" sz="1100" b="1" baseline="0"/>
            <a:t>VM Options </a:t>
          </a:r>
          <a:r>
            <a:rPr lang="en-US" sz="1100" baseline="0"/>
            <a:t>tab, click </a:t>
          </a:r>
          <a:r>
            <a:rPr lang="en-US" sz="1100" b="1" baseline="0"/>
            <a:t>Add...</a:t>
          </a:r>
          <a:r>
            <a:rPr lang="en-US" sz="1100" b="0" baseline="0"/>
            <a:t> and put in</a:t>
          </a:r>
        </a:p>
        <a:p>
          <a:endParaRPr lang="en-US" sz="1100" b="0" baseline="0"/>
        </a:p>
        <a:p>
          <a:r>
            <a:rPr lang="en-US" sz="1100" b="0" baseline="0">
              <a:latin typeface="Consolas" panose="020B0609020204030204" pitchFamily="49" charset="0"/>
            </a:rPr>
            <a:t>  -Dquandl.auth.token=</a:t>
          </a:r>
          <a:r>
            <a:rPr lang="en-US" sz="1100" b="0" i="1" baseline="0">
              <a:latin typeface="Consolas" panose="020B0609020204030204" pitchFamily="49" charset="0"/>
            </a:rPr>
            <a:t>YOURTOKENYOURTOKEN</a:t>
          </a:r>
        </a:p>
        <a:p>
          <a:endParaRPr lang="en-US" sz="1100" b="0" baseline="0"/>
        </a:p>
        <a:p>
          <a:r>
            <a:rPr lang="en-US" sz="1100" b="0" baseline="0"/>
            <a:t>obviously, replacing </a:t>
          </a:r>
          <a:r>
            <a:rPr lang="en-US" sz="1100" b="0" i="1" baseline="0"/>
            <a:t>YOURTOKENYOURTOKEN</a:t>
          </a:r>
          <a:r>
            <a:rPr lang="en-US" sz="1100" b="0" baseline="0"/>
            <a:t> with the API token Quandl allocates you. You should then see the entry under the </a:t>
          </a:r>
          <a:r>
            <a:rPr lang="en-US" sz="1100" b="1" baseline="0"/>
            <a:t>Custom Options </a:t>
          </a:r>
          <a:r>
            <a:rPr lang="en-US" sz="1100" b="0" baseline="0"/>
            <a:t>list.  Click </a:t>
          </a:r>
          <a:r>
            <a:rPr lang="en-US" sz="1100" b="1" baseline="0"/>
            <a:t>OK</a:t>
          </a:r>
          <a:r>
            <a:rPr lang="en-US" sz="1100" b="0" baseline="0"/>
            <a:t> to save it.  You'll need to close down Excel and reload this sheet to continue.  The cell C6 on the Market Data tab should show TRUE if you've correctly set your API key.</a:t>
          </a:r>
          <a:endParaRPr lang="en-US" sz="1100" b="1"/>
        </a:p>
      </xdr:txBody>
    </xdr:sp>
    <xdr:clientData/>
  </xdr:twoCellAnchor>
  <xdr:twoCellAnchor>
    <xdr:from>
      <xdr:col>1</xdr:col>
      <xdr:colOff>180974</xdr:colOff>
      <xdr:row>14</xdr:row>
      <xdr:rowOff>152399</xdr:rowOff>
    </xdr:from>
    <xdr:to>
      <xdr:col>3</xdr:col>
      <xdr:colOff>304799</xdr:colOff>
      <xdr:row>16</xdr:row>
      <xdr:rowOff>28574</xdr:rowOff>
    </xdr:to>
    <xdr:sp macro="" textlink="">
      <xdr:nvSpPr>
        <xdr:cNvPr id="7" name="TextBox 6">
          <a:hlinkClick xmlns:r="http://schemas.openxmlformats.org/officeDocument/2006/relationships" r:id="rId2"/>
          <a:extLst>
            <a:ext uri="{FF2B5EF4-FFF2-40B4-BE49-F238E27FC236}">
              <a16:creationId xmlns:a16="http://schemas.microsoft.com/office/drawing/2014/main" id="{00000000-0008-0000-0000-000007000000}"/>
            </a:ext>
          </a:extLst>
        </xdr:cNvPr>
        <xdr:cNvSpPr txBox="1"/>
      </xdr:nvSpPr>
      <xdr:spPr>
        <a:xfrm>
          <a:off x="457199" y="3390899"/>
          <a:ext cx="13430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https://quandl.com</a:t>
          </a:r>
        </a:p>
      </xdr:txBody>
    </xdr:sp>
    <xdr:clientData/>
  </xdr:twoCellAnchor>
  <xdr:twoCellAnchor editAs="oneCell">
    <xdr:from>
      <xdr:col>1</xdr:col>
      <xdr:colOff>200025</xdr:colOff>
      <xdr:row>18</xdr:row>
      <xdr:rowOff>9524</xdr:rowOff>
    </xdr:from>
    <xdr:to>
      <xdr:col>6</xdr:col>
      <xdr:colOff>552025</xdr:colOff>
      <xdr:row>24</xdr:row>
      <xdr:rowOff>85572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476250" y="4010024"/>
          <a:ext cx="3400000" cy="1219048"/>
        </a:xfrm>
        <a:prstGeom prst="rect">
          <a:avLst/>
        </a:prstGeom>
      </xdr:spPr>
    </xdr:pic>
    <xdr:clientData/>
  </xdr:twoCellAnchor>
  <xdr:twoCellAnchor editAs="oneCell">
    <xdr:from>
      <xdr:col>1</xdr:col>
      <xdr:colOff>200025</xdr:colOff>
      <xdr:row>26</xdr:row>
      <xdr:rowOff>66674</xdr:rowOff>
    </xdr:from>
    <xdr:to>
      <xdr:col>3</xdr:col>
      <xdr:colOff>523682</xdr:colOff>
      <xdr:row>29</xdr:row>
      <xdr:rowOff>114222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476250" y="5591174"/>
          <a:ext cx="1542857" cy="619048"/>
        </a:xfrm>
        <a:prstGeom prst="rect">
          <a:avLst/>
        </a:prstGeom>
      </xdr:spPr>
    </xdr:pic>
    <xdr:clientData/>
  </xdr:twoCellAnchor>
  <xdr:twoCellAnchor>
    <xdr:from>
      <xdr:col>3</xdr:col>
      <xdr:colOff>587176</xdr:colOff>
      <xdr:row>20</xdr:row>
      <xdr:rowOff>91671</xdr:rowOff>
    </xdr:from>
    <xdr:to>
      <xdr:col>4</xdr:col>
      <xdr:colOff>158860</xdr:colOff>
      <xdr:row>22</xdr:row>
      <xdr:rowOff>46133</xdr:rowOff>
    </xdr:to>
    <xdr:sp macro="" textlink="">
      <xdr:nvSpPr>
        <xdr:cNvPr id="10" name="Arrow: Left 9">
          <a:extLst>
            <a:ext uri="{FF2B5EF4-FFF2-40B4-BE49-F238E27FC236}">
              <a16:creationId xmlns:a16="http://schemas.microsoft.com/office/drawing/2014/main" id="{00000000-0008-0000-0000-00000A000000}"/>
            </a:ext>
          </a:extLst>
        </xdr:cNvPr>
        <xdr:cNvSpPr/>
      </xdr:nvSpPr>
      <xdr:spPr>
        <a:xfrm rot="2888603">
          <a:off x="2005512" y="4550260"/>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406201</xdr:colOff>
      <xdr:row>28</xdr:row>
      <xdr:rowOff>53572</xdr:rowOff>
    </xdr:from>
    <xdr:to>
      <xdr:col>1</xdr:col>
      <xdr:colOff>587485</xdr:colOff>
      <xdr:row>30</xdr:row>
      <xdr:rowOff>8034</xdr:rowOff>
    </xdr:to>
    <xdr:sp macro="" textlink="">
      <xdr:nvSpPr>
        <xdr:cNvPr id="11" name="Arrow: Left 10">
          <a:extLst>
            <a:ext uri="{FF2B5EF4-FFF2-40B4-BE49-F238E27FC236}">
              <a16:creationId xmlns:a16="http://schemas.microsoft.com/office/drawing/2014/main" id="{00000000-0008-0000-0000-00000B000000}"/>
            </a:ext>
          </a:extLst>
        </xdr:cNvPr>
        <xdr:cNvSpPr/>
      </xdr:nvSpPr>
      <xdr:spPr>
        <a:xfrm rot="2888603">
          <a:off x="605337" y="6036161"/>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190500</xdr:colOff>
      <xdr:row>31</xdr:row>
      <xdr:rowOff>142874</xdr:rowOff>
    </xdr:from>
    <xdr:to>
      <xdr:col>9</xdr:col>
      <xdr:colOff>56557</xdr:colOff>
      <xdr:row>50</xdr:row>
      <xdr:rowOff>180517</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466725" y="6619874"/>
          <a:ext cx="4742857" cy="3657143"/>
        </a:xfrm>
        <a:prstGeom prst="rect">
          <a:avLst/>
        </a:prstGeom>
      </xdr:spPr>
    </xdr:pic>
    <xdr:clientData/>
  </xdr:twoCellAnchor>
  <xdr:twoCellAnchor>
    <xdr:from>
      <xdr:col>5</xdr:col>
      <xdr:colOff>234750</xdr:colOff>
      <xdr:row>47</xdr:row>
      <xdr:rowOff>72622</xdr:rowOff>
    </xdr:from>
    <xdr:to>
      <xdr:col>5</xdr:col>
      <xdr:colOff>416034</xdr:colOff>
      <xdr:row>49</xdr:row>
      <xdr:rowOff>27084</xdr:rowOff>
    </xdr:to>
    <xdr:sp macro="" textlink="">
      <xdr:nvSpPr>
        <xdr:cNvPr id="14" name="Arrow: Left 13">
          <a:extLst>
            <a:ext uri="{FF2B5EF4-FFF2-40B4-BE49-F238E27FC236}">
              <a16:creationId xmlns:a16="http://schemas.microsoft.com/office/drawing/2014/main" id="{00000000-0008-0000-0000-00000E000000}"/>
            </a:ext>
          </a:extLst>
        </xdr:cNvPr>
        <xdr:cNvSpPr/>
      </xdr:nvSpPr>
      <xdr:spPr>
        <a:xfrm rot="2888603">
          <a:off x="2872286" y="9674711"/>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387149</xdr:colOff>
      <xdr:row>32</xdr:row>
      <xdr:rowOff>34524</xdr:rowOff>
    </xdr:from>
    <xdr:to>
      <xdr:col>3</xdr:col>
      <xdr:colOff>568433</xdr:colOff>
      <xdr:row>33</xdr:row>
      <xdr:rowOff>179486</xdr:rowOff>
    </xdr:to>
    <xdr:sp macro="" textlink="">
      <xdr:nvSpPr>
        <xdr:cNvPr id="15" name="Arrow: Left 14">
          <a:extLst>
            <a:ext uri="{FF2B5EF4-FFF2-40B4-BE49-F238E27FC236}">
              <a16:creationId xmlns:a16="http://schemas.microsoft.com/office/drawing/2014/main" id="{00000000-0008-0000-0000-00000F000000}"/>
            </a:ext>
          </a:extLst>
        </xdr:cNvPr>
        <xdr:cNvSpPr/>
      </xdr:nvSpPr>
      <xdr:spPr>
        <a:xfrm rot="18661250">
          <a:off x="1805485" y="6779113"/>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476250</xdr:colOff>
      <xdr:row>25</xdr:row>
      <xdr:rowOff>123824</xdr:rowOff>
    </xdr:from>
    <xdr:to>
      <xdr:col>21</xdr:col>
      <xdr:colOff>504825</xdr:colOff>
      <xdr:row>59</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629275" y="5457824"/>
          <a:ext cx="7343775" cy="645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How it works</a:t>
          </a:r>
        </a:p>
        <a:p>
          <a:r>
            <a:rPr lang="en-US" sz="1100" baseline="0">
              <a:solidFill>
                <a:schemeClr val="dk1"/>
              </a:solidFill>
              <a:effectLst/>
              <a:latin typeface="+mn-lt"/>
              <a:ea typeface="+mn-ea"/>
              <a:cs typeface="+mn-cs"/>
            </a:rPr>
            <a:t>This workbook uses a set of custom user defined functions available once you install the XL4J Example add-in.</a:t>
          </a:r>
        </a:p>
        <a:p>
          <a:endParaRPr lang="en-US" sz="1100"/>
        </a:p>
        <a:p>
          <a:r>
            <a:rPr lang="en-US" sz="1100" b="1"/>
            <a:t>Market</a:t>
          </a:r>
          <a:r>
            <a:rPr lang="en-US" sz="1100" b="1" baseline="0"/>
            <a:t> Data</a:t>
          </a:r>
        </a:p>
        <a:p>
          <a:r>
            <a:rPr lang="en-US" sz="1100" baseline="0"/>
            <a:t>This sheet (tab) sources real market data from Quandl using the Quandl4J library exposed via some custom functions.  Quandl queries, by default, return all available time series in each data set in an object called a TabularResult.  This is done in column C of the main table using parameters provided at the top in the input cells.  Note we don't use a =TODAY() to set the dates because that is a volatile function and would cause the whole calculation chain to continually re-compute.  It's perfectly possible to expand TabularResult objects out to view the data, but in this case we're going to extract a TimeSeries object for each data field.  A list of available fields can be got via the GetHeaders function.  We then extract all the separate time series for each stock into columns D-J, although we're only going to use one of them later on (Adj. Close).  These series are then referred to from the next sheet</a:t>
          </a:r>
        </a:p>
        <a:p>
          <a:br>
            <a:rPr lang="en-US" sz="1100" baseline="0"/>
          </a:br>
          <a:r>
            <a:rPr lang="en-US" sz="1100" b="1" baseline="0"/>
            <a:t>Statistics</a:t>
          </a:r>
        </a:p>
        <a:p>
          <a:r>
            <a:rPr lang="en-US" sz="1100" baseline="0"/>
            <a:t>This sheet processes the raw time series into something usable for analysis.  In columns D, E and F of the main table we pad, sample and compute the return series from the raw data using the parameter objects specified in the input cells at the top.  We use a schedule function returned from Schedule.ReverseMonthly() to get the dates in the correct orderd (the reverse of what is returned by Quandl) and we use Schedule.ReverseMonthly.apply(...) with that function together with a start and end date to build the schedule.  We use TimeSeries.PreviousValueFill.apply(...) to pad the raw series, then use TimeSeries.Sample.apply(...) to sample the padded series according to the generated schedule.  We then use =TimeSeries.PercentageReturn.apply(...) to calculate the return series using a TimeSeries.PercentageReturn() calculator to the transformation.  We then compute a range of statistics using the calculators at the top of the sheet to produce Mean, Variance and Standard Deviation from the return series, and use Covariance and Correlation calculators to build a correlation matrix, displayed on the right.  Only the return series are fed into the next sheet.</a:t>
          </a:r>
        </a:p>
        <a:p>
          <a:endParaRPr lang="en-US" sz="1100" baseline="0"/>
        </a:p>
        <a:p>
          <a:r>
            <a:rPr lang="en-US" sz="1100" b="1" baseline="0"/>
            <a:t>Efficient Frontier</a:t>
          </a:r>
        </a:p>
        <a:p>
          <a:r>
            <a:rPr lang="en-US" sz="1100" baseline="0"/>
            <a:t>This sheet contains a set of portfolio scenarios, each optimised to a different target return.  The standard Solver add-in is used to vary the portfolio weights, with the aim to minimise the risk for each portfolio given the desired return.  A covariance matrix is built from the return series for each portfolio and each column is multiplied by the portfolio weights.  The result is then multiplied by the weight for that column, and the square root of the sum of these is the standard deviation, which we're attempting to minimise.  The results are correlated at the top of the sheet and a 'Test Portfolio' is available to see where a test portfolio is in relation to the 'ideal' efficient frontier.</a:t>
          </a:r>
          <a:endParaRPr lang="en-US" sz="1100"/>
        </a:p>
      </xdr:txBody>
    </xdr:sp>
    <xdr:clientData/>
  </xdr:twoCellAnchor>
  <xdr:twoCellAnchor>
    <xdr:from>
      <xdr:col>0</xdr:col>
      <xdr:colOff>266700</xdr:colOff>
      <xdr:row>2</xdr:row>
      <xdr:rowOff>142876</xdr:rowOff>
    </xdr:from>
    <xdr:to>
      <xdr:col>21</xdr:col>
      <xdr:colOff>514350</xdr:colOff>
      <xdr:row>2</xdr:row>
      <xdr:rowOff>447676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66700" y="733426"/>
          <a:ext cx="12715875" cy="3048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latin typeface="+mj-lt"/>
            </a:rPr>
            <a:t>This Workbook</a:t>
          </a:r>
          <a:r>
            <a:rPr lang="en-US" sz="1400" baseline="0">
              <a:solidFill>
                <a:schemeClr val="bg1"/>
              </a:solidFill>
              <a:latin typeface="+mj-lt"/>
            </a:rPr>
            <a:t> requires the XL4J Example Add-in to function correctly.  Please see the installation notes for details.</a:t>
          </a:r>
          <a:endParaRPr lang="en-US" sz="1400">
            <a:solidFill>
              <a:schemeClr val="bg1"/>
            </a:solidFill>
            <a:latin typeface="+mj-lt"/>
          </a:endParaRPr>
        </a:p>
      </xdr:txBody>
    </xdr:sp>
    <xdr:clientData/>
  </xdr:twoCellAnchor>
  <xdr:twoCellAnchor>
    <xdr:from>
      <xdr:col>1</xdr:col>
      <xdr:colOff>171449</xdr:colOff>
      <xdr:row>10</xdr:row>
      <xdr:rowOff>38100</xdr:rowOff>
    </xdr:from>
    <xdr:to>
      <xdr:col>4</xdr:col>
      <xdr:colOff>352424</xdr:colOff>
      <xdr:row>11</xdr:row>
      <xdr:rowOff>114300</xdr:rowOff>
    </xdr:to>
    <xdr:sp macro="" textlink="">
      <xdr:nvSpPr>
        <xdr:cNvPr id="4" name="TextBox 3">
          <a:hlinkClick xmlns:r="http://schemas.openxmlformats.org/officeDocument/2006/relationships" r:id="rId6"/>
          <a:extLst>
            <a:ext uri="{FF2B5EF4-FFF2-40B4-BE49-F238E27FC236}">
              <a16:creationId xmlns:a16="http://schemas.microsoft.com/office/drawing/2014/main" id="{598E3F7B-0D7A-495C-B23D-1DF2E217B6FF}"/>
            </a:ext>
          </a:extLst>
        </xdr:cNvPr>
        <xdr:cNvSpPr txBox="1"/>
      </xdr:nvSpPr>
      <xdr:spPr>
        <a:xfrm>
          <a:off x="447674" y="2514600"/>
          <a:ext cx="200977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How to</a:t>
          </a:r>
          <a:r>
            <a:rPr lang="en-US" sz="1100" u="sng" baseline="0">
              <a:solidFill>
                <a:srgbClr val="0070C0"/>
              </a:solidFill>
            </a:rPr>
            <a:t> enable the Solver add-in</a:t>
          </a:r>
          <a:endParaRPr lang="en-US" sz="1100" u="sng">
            <a:solidFill>
              <a:srgbClr val="0070C0"/>
            </a:solidFill>
          </a:endParaRPr>
        </a:p>
      </xdr:txBody>
    </xdr:sp>
    <xdr:clientData/>
  </xdr:twoCellAnchor>
  <xdr:twoCellAnchor>
    <xdr:from>
      <xdr:col>7</xdr:col>
      <xdr:colOff>200024</xdr:colOff>
      <xdr:row>14</xdr:row>
      <xdr:rowOff>142875</xdr:rowOff>
    </xdr:from>
    <xdr:to>
      <xdr:col>8</xdr:col>
      <xdr:colOff>504825</xdr:colOff>
      <xdr:row>16</xdr:row>
      <xdr:rowOff>28574</xdr:rowOff>
    </xdr:to>
    <xdr:sp macro="" textlink="">
      <xdr:nvSpPr>
        <xdr:cNvPr id="13" name="TextBox 12">
          <a:hlinkClick xmlns:r="http://schemas.openxmlformats.org/officeDocument/2006/relationships" r:id="rId7"/>
          <a:extLst>
            <a:ext uri="{FF2B5EF4-FFF2-40B4-BE49-F238E27FC236}">
              <a16:creationId xmlns:a16="http://schemas.microsoft.com/office/drawing/2014/main" id="{4112E159-FB31-4C41-8DA0-FA385E57CA2C}"/>
            </a:ext>
          </a:extLst>
        </xdr:cNvPr>
        <xdr:cNvSpPr txBox="1"/>
      </xdr:nvSpPr>
      <xdr:spPr>
        <a:xfrm>
          <a:off x="4133849" y="3381375"/>
          <a:ext cx="914401" cy="266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Your</a:t>
          </a:r>
          <a:r>
            <a:rPr lang="en-US" sz="1100" u="sng" baseline="0">
              <a:solidFill>
                <a:srgbClr val="0070C0"/>
              </a:solidFill>
            </a:rPr>
            <a:t> API Key</a:t>
          </a:r>
          <a:endParaRPr lang="en-US" sz="1100" u="sng">
            <a:solidFill>
              <a:srgbClr val="0070C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66674</xdr:colOff>
      <xdr:row>8</xdr:row>
      <xdr:rowOff>190499</xdr:rowOff>
    </xdr:from>
    <xdr:to>
      <xdr:col>8</xdr:col>
      <xdr:colOff>238125</xdr:colOff>
      <xdr:row>30</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147</xdr:row>
          <xdr:rowOff>0</xdr:rowOff>
        </xdr:from>
        <xdr:to>
          <xdr:col>5</xdr:col>
          <xdr:colOff>0</xdr:colOff>
          <xdr:row>147</xdr:row>
          <xdr:rowOff>247650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185</xdr:row>
          <xdr:rowOff>9525</xdr:rowOff>
        </xdr:from>
        <xdr:to>
          <xdr:col>5</xdr:col>
          <xdr:colOff>0</xdr:colOff>
          <xdr:row>185</xdr:row>
          <xdr:rowOff>238125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223</xdr:row>
          <xdr:rowOff>9525</xdr:rowOff>
        </xdr:from>
        <xdr:to>
          <xdr:col>5</xdr:col>
          <xdr:colOff>0</xdr:colOff>
          <xdr:row>223</xdr:row>
          <xdr:rowOff>247650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261</xdr:row>
          <xdr:rowOff>0</xdr:rowOff>
        </xdr:from>
        <xdr:to>
          <xdr:col>5</xdr:col>
          <xdr:colOff>0</xdr:colOff>
          <xdr:row>261</xdr:row>
          <xdr:rowOff>247650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 Solve TR4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299</xdr:row>
          <xdr:rowOff>0</xdr:rowOff>
        </xdr:from>
        <xdr:to>
          <xdr:col>4</xdr:col>
          <xdr:colOff>981075</xdr:colOff>
          <xdr:row>299</xdr:row>
          <xdr:rowOff>238125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337</xdr:row>
          <xdr:rowOff>9525</xdr:rowOff>
        </xdr:from>
        <xdr:to>
          <xdr:col>5</xdr:col>
          <xdr:colOff>0</xdr:colOff>
          <xdr:row>337</xdr:row>
          <xdr:rowOff>238125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375</xdr:row>
          <xdr:rowOff>9525</xdr:rowOff>
        </xdr:from>
        <xdr:to>
          <xdr:col>4</xdr:col>
          <xdr:colOff>981075</xdr:colOff>
          <xdr:row>375</xdr:row>
          <xdr:rowOff>247650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413</xdr:row>
          <xdr:rowOff>9525</xdr:rowOff>
        </xdr:from>
        <xdr:to>
          <xdr:col>5</xdr:col>
          <xdr:colOff>0</xdr:colOff>
          <xdr:row>413</xdr:row>
          <xdr:rowOff>247650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451</xdr:row>
          <xdr:rowOff>0</xdr:rowOff>
        </xdr:from>
        <xdr:to>
          <xdr:col>5</xdr:col>
          <xdr:colOff>0</xdr:colOff>
          <xdr:row>451</xdr:row>
          <xdr:rowOff>238125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489</xdr:row>
          <xdr:rowOff>9525</xdr:rowOff>
        </xdr:from>
        <xdr:to>
          <xdr:col>5</xdr:col>
          <xdr:colOff>0</xdr:colOff>
          <xdr:row>489</xdr:row>
          <xdr:rowOff>247650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527</xdr:row>
          <xdr:rowOff>9525</xdr:rowOff>
        </xdr:from>
        <xdr:to>
          <xdr:col>5</xdr:col>
          <xdr:colOff>0</xdr:colOff>
          <xdr:row>527</xdr:row>
          <xdr:rowOff>247650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565</xdr:row>
          <xdr:rowOff>0</xdr:rowOff>
        </xdr:from>
        <xdr:to>
          <xdr:col>5</xdr:col>
          <xdr:colOff>0</xdr:colOff>
          <xdr:row>565</xdr:row>
          <xdr:rowOff>238125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603</xdr:row>
          <xdr:rowOff>0</xdr:rowOff>
        </xdr:from>
        <xdr:to>
          <xdr:col>5</xdr:col>
          <xdr:colOff>0</xdr:colOff>
          <xdr:row>603</xdr:row>
          <xdr:rowOff>238125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641</xdr:row>
          <xdr:rowOff>9525</xdr:rowOff>
        </xdr:from>
        <xdr:to>
          <xdr:col>5</xdr:col>
          <xdr:colOff>0</xdr:colOff>
          <xdr:row>641</xdr:row>
          <xdr:rowOff>247650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679</xdr:row>
          <xdr:rowOff>9525</xdr:rowOff>
        </xdr:from>
        <xdr:to>
          <xdr:col>5</xdr:col>
          <xdr:colOff>0</xdr:colOff>
          <xdr:row>679</xdr:row>
          <xdr:rowOff>247650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717</xdr:row>
          <xdr:rowOff>0</xdr:rowOff>
        </xdr:from>
        <xdr:to>
          <xdr:col>5</xdr:col>
          <xdr:colOff>9525</xdr:colOff>
          <xdr:row>717</xdr:row>
          <xdr:rowOff>238125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Tangency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109</xdr:row>
          <xdr:rowOff>0</xdr:rowOff>
        </xdr:from>
        <xdr:to>
          <xdr:col>5</xdr:col>
          <xdr:colOff>9525</xdr:colOff>
          <xdr:row>109</xdr:row>
          <xdr:rowOff>238125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15</xdr:row>
          <xdr:rowOff>9525</xdr:rowOff>
        </xdr:from>
        <xdr:to>
          <xdr:col>12</xdr:col>
          <xdr:colOff>809625</xdr:colOff>
          <xdr:row>16</xdr:row>
          <xdr:rowOff>180975</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B3"/>
  <sheetViews>
    <sheetView tabSelected="1" workbookViewId="0">
      <selection activeCell="P62" sqref="P62"/>
    </sheetView>
  </sheetViews>
  <sheetFormatPr defaultRowHeight="15" customHeight="1" x14ac:dyDescent="0.25"/>
  <cols>
    <col min="1" max="1" width="4.140625" customWidth="1"/>
  </cols>
  <sheetData>
    <row r="2" spans="2:2" ht="31.5" x14ac:dyDescent="0.5">
      <c r="B2" s="190" t="s">
        <v>111</v>
      </c>
    </row>
    <row r="3" spans="2:2" ht="43.5" customHeight="1" x14ac:dyDescent="0.5">
      <c r="B3" s="19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1"/>
  <sheetViews>
    <sheetView topLeftCell="B19" workbookViewId="0">
      <selection activeCell="C35" sqref="C35"/>
    </sheetView>
  </sheetViews>
  <sheetFormatPr defaultRowHeight="15" customHeight="1" x14ac:dyDescent="0.25"/>
  <cols>
    <col min="1" max="1" width="3.140625" customWidth="1"/>
    <col min="2" max="2" width="19.7109375" customWidth="1"/>
    <col min="3" max="3" width="20.42578125" customWidth="1"/>
    <col min="4" max="4" width="17.7109375" customWidth="1"/>
    <col min="5" max="5" width="20.140625" bestFit="1" customWidth="1"/>
    <col min="6" max="6" width="15.28515625" customWidth="1"/>
    <col min="7" max="7" width="17.85546875" customWidth="1"/>
    <col min="8" max="8" width="17" customWidth="1"/>
    <col min="9" max="9" width="17.42578125" customWidth="1"/>
    <col min="10" max="10" width="16.42578125" customWidth="1"/>
    <col min="11" max="11" width="5" customWidth="1"/>
    <col min="12" max="12" width="17.5703125" customWidth="1"/>
    <col min="13" max="20" width="9.140625" customWidth="1"/>
  </cols>
  <sheetData>
    <row r="1" spans="2:12" ht="7.5" customHeight="1" x14ac:dyDescent="0.25"/>
    <row r="2" spans="2:12" ht="28.5" x14ac:dyDescent="0.45">
      <c r="B2" s="109" t="s">
        <v>82</v>
      </c>
    </row>
    <row r="3" spans="2:12" ht="12" customHeight="1" x14ac:dyDescent="0.35">
      <c r="B3" s="96"/>
    </row>
    <row r="4" spans="2:12" x14ac:dyDescent="0.25">
      <c r="B4" s="97" t="s">
        <v>83</v>
      </c>
    </row>
    <row r="6" spans="2:12" x14ac:dyDescent="0.25">
      <c r="B6" s="89" t="s">
        <v>51</v>
      </c>
      <c r="C6" s="20" t="b">
        <v>1</v>
      </c>
    </row>
    <row r="7" spans="2:12" x14ac:dyDescent="0.25">
      <c r="B7" s="90" t="s">
        <v>33</v>
      </c>
      <c r="C7" s="88">
        <f ca="1">TODAY()</f>
        <v>42985</v>
      </c>
    </row>
    <row r="8" spans="2:12" x14ac:dyDescent="0.25">
      <c r="C8" s="1" t="s">
        <v>31</v>
      </c>
    </row>
    <row r="9" spans="2:12" x14ac:dyDescent="0.25">
      <c r="B9" s="89" t="s">
        <v>34</v>
      </c>
      <c r="C9" s="12">
        <v>42821</v>
      </c>
    </row>
    <row r="10" spans="2:12" x14ac:dyDescent="0.25">
      <c r="B10" s="91" t="s">
        <v>35</v>
      </c>
      <c r="C10" s="12">
        <f>DATE(YEAR(C9) - 10, MONTH(C9), DAY(C9))</f>
        <v>39168</v>
      </c>
    </row>
    <row r="11" spans="2:12" x14ac:dyDescent="0.25">
      <c r="B11" s="90" t="s">
        <v>36</v>
      </c>
      <c r="C11" s="13" t="s">
        <v>0</v>
      </c>
    </row>
    <row r="13" spans="2:12" x14ac:dyDescent="0.25">
      <c r="B13" s="68" t="s">
        <v>76</v>
      </c>
      <c r="C13" s="69" t="s">
        <v>78</v>
      </c>
      <c r="D13" s="70" t="s">
        <v>79</v>
      </c>
      <c r="E13" s="66"/>
      <c r="F13" s="66"/>
      <c r="G13" s="66"/>
      <c r="H13" s="66"/>
      <c r="I13" s="66"/>
      <c r="J13" s="66"/>
    </row>
    <row r="14" spans="2:12" x14ac:dyDescent="0.25">
      <c r="B14" s="67"/>
      <c r="C14" s="65"/>
      <c r="D14" s="66"/>
      <c r="E14" s="66"/>
      <c r="F14" s="66"/>
      <c r="G14" s="66"/>
      <c r="H14" s="66"/>
      <c r="I14" s="66"/>
      <c r="J14" s="66"/>
      <c r="K14" t="s">
        <v>77</v>
      </c>
    </row>
    <row r="15" spans="2:12" x14ac:dyDescent="0.25">
      <c r="B15" s="71" t="s">
        <v>73</v>
      </c>
      <c r="C15" s="65"/>
      <c r="D15" s="66"/>
      <c r="E15" s="66"/>
      <c r="F15" s="66"/>
      <c r="G15" s="66"/>
      <c r="H15" s="66"/>
      <c r="I15" s="66"/>
      <c r="J15" s="66"/>
      <c r="K15" t="s">
        <v>77</v>
      </c>
    </row>
    <row r="16" spans="2:12" x14ac:dyDescent="0.25">
      <c r="B16" s="78" t="s">
        <v>32</v>
      </c>
      <c r="C16" s="75" t="s">
        <v>1</v>
      </c>
      <c r="D16" s="72" t="s">
        <v>37</v>
      </c>
      <c r="E16" s="73" t="s">
        <v>38</v>
      </c>
      <c r="F16" s="73" t="s">
        <v>3</v>
      </c>
      <c r="G16" s="73" t="s">
        <v>39</v>
      </c>
      <c r="H16" s="73" t="s">
        <v>40</v>
      </c>
      <c r="I16" s="73" t="s">
        <v>41</v>
      </c>
      <c r="J16" s="74" t="s">
        <v>3</v>
      </c>
      <c r="K16" t="s">
        <v>77</v>
      </c>
      <c r="L16" s="87" t="s">
        <v>2</v>
      </c>
    </row>
    <row r="17" spans="2:12" x14ac:dyDescent="0.25">
      <c r="B17" s="210" t="s">
        <v>5</v>
      </c>
      <c r="C17" s="76" t="str">
        <f>_xll.QuandlDataSet("WIKI/"&amp;B17, $C$10,$C$9,,$C$11,,,)</f>
        <v>»TabularResult-16705291694770987166</v>
      </c>
      <c r="D17" s="16" t="str">
        <f>_xll.TabularResultAsTimeSeries($C17,D$16)</f>
        <v>»TimeSeries-16705291694770987588</v>
      </c>
      <c r="E17" s="14" t="str">
        <f>_xll.TabularResultAsTimeSeries($C17,E$16)</f>
        <v>»TimeSeries-16705291694770987612</v>
      </c>
      <c r="F17" s="14" t="str">
        <f>_xll.TabularResultAsTimeSeries($C17,F$16)</f>
        <v>»TimeSeries-16705291694770987611</v>
      </c>
      <c r="G17" s="14" t="str">
        <f>_xll.TabularResultAsTimeSeries($C17,G$16)</f>
        <v>»TimeSeries-16705291694770987610</v>
      </c>
      <c r="H17" s="14" t="str">
        <f>_xll.TabularResultAsTimeSeries($C17,H$16)</f>
        <v>»TimeSeries-16705291694770987591</v>
      </c>
      <c r="I17" s="14" t="str">
        <f>_xll.TabularResultAsTimeSeries($C17,I$16)</f>
        <v>»TimeSeries-16705291694770987609</v>
      </c>
      <c r="J17" s="15" t="str">
        <f>_xll.TabularResultAsTimeSeries($C17,J$16)</f>
        <v>»TimeSeries-16705291694770987513</v>
      </c>
      <c r="K17" t="s">
        <v>77</v>
      </c>
      <c r="L17" s="84" t="str">
        <f t="array" ref="L17:L29">TRANSPOSE(_xll.GetHeaders(C17))</f>
        <v>Date</v>
      </c>
    </row>
    <row r="18" spans="2:12" x14ac:dyDescent="0.25">
      <c r="B18" s="79" t="s">
        <v>6</v>
      </c>
      <c r="C18" s="76" t="str">
        <f>_xll.QuandlDataSet("WIKI/"&amp;B18, $C$10,$C$9,,$C$11,,,)</f>
        <v>»TabularResult-16705291694770987163</v>
      </c>
      <c r="D18" s="16" t="str">
        <f>_xll.TabularResultAsTimeSeries($C18,D$16)</f>
        <v>»TimeSeries-16705291694770987670</v>
      </c>
      <c r="E18" s="14" t="str">
        <f>_xll.TabularResultAsTimeSeries($C18,E$16)</f>
        <v>»TimeSeries-16705291694770987665</v>
      </c>
      <c r="F18" s="14" t="str">
        <f>_xll.TabularResultAsTimeSeries($C18,F$16)</f>
        <v>»TimeSeries-16705291694770987664</v>
      </c>
      <c r="G18" s="14" t="str">
        <f>_xll.TabularResultAsTimeSeries($C18,G$16)</f>
        <v>»TimeSeries-16705291694770987663</v>
      </c>
      <c r="H18" s="14" t="str">
        <f>_xll.TabularResultAsTimeSeries($C18,H$16)</f>
        <v>»TimeSeries-16705291694770987668</v>
      </c>
      <c r="I18" s="14" t="str">
        <f>_xll.TabularResultAsTimeSeries($C18,I$16)</f>
        <v>»TimeSeries-16705291694770987521</v>
      </c>
      <c r="J18" s="15" t="str">
        <f>_xll.TabularResultAsTimeSeries($C18,J$16)</f>
        <v>»TimeSeries-16705291694770987658</v>
      </c>
      <c r="K18" t="s">
        <v>77</v>
      </c>
      <c r="L18" s="85" t="str">
        <v>Open</v>
      </c>
    </row>
    <row r="19" spans="2:12" x14ac:dyDescent="0.25">
      <c r="B19" s="79" t="s">
        <v>7</v>
      </c>
      <c r="C19" s="76" t="str">
        <f>_xll.QuandlDataSet("WIKI/"&amp;B19, $C$10,$C$9,,$C$11,,,)</f>
        <v>»TabularResult-16705291694770987156</v>
      </c>
      <c r="D19" s="16" t="str">
        <f>_xll.TabularResultAsTimeSeries($C19,D$16)</f>
        <v>»TimeSeries-16705291694770987538</v>
      </c>
      <c r="E19" s="14" t="str">
        <f>_xll.TabularResultAsTimeSeries($C19,E$16)</f>
        <v>»TimeSeries-16705291694770987542</v>
      </c>
      <c r="F19" s="14" t="str">
        <f>_xll.TabularResultAsTimeSeries($C19,F$16)</f>
        <v>»TimeSeries-16705291694770987530</v>
      </c>
      <c r="G19" s="14" t="str">
        <f>_xll.TabularResultAsTimeSeries($C19,G$16)</f>
        <v>»TimeSeries-16705291694770987537</v>
      </c>
      <c r="H19" s="14" t="str">
        <f>_xll.TabularResultAsTimeSeries($C19,H$16)</f>
        <v>»TimeSeries-16705291694770987551</v>
      </c>
      <c r="I19" s="14" t="str">
        <f>_xll.TabularResultAsTimeSeries($C19,I$16)</f>
        <v>»TimeSeries-16705291694770987548</v>
      </c>
      <c r="J19" s="15" t="str">
        <f>_xll.TabularResultAsTimeSeries($C19,J$16)</f>
        <v>»TimeSeries-16705291694770987544</v>
      </c>
      <c r="K19" t="s">
        <v>77</v>
      </c>
      <c r="L19" s="85" t="str">
        <v>High</v>
      </c>
    </row>
    <row r="20" spans="2:12" x14ac:dyDescent="0.25">
      <c r="B20" s="79" t="s">
        <v>8</v>
      </c>
      <c r="C20" s="76" t="str">
        <f>_xll.QuandlDataSet("WIKI/"&amp;B20, $C$10,$C$9,,$C$11,,,)</f>
        <v>»TabularResult-16705291694770987191</v>
      </c>
      <c r="D20" s="16" t="str">
        <f>_xll.TabularResultAsTimeSeries($C20,D$16)</f>
        <v>»TimeSeries-16705291694770987713</v>
      </c>
      <c r="E20" s="14" t="str">
        <f>_xll.TabularResultAsTimeSeries($C20,E$16)</f>
        <v>»TimeSeries-16705291694770987716</v>
      </c>
      <c r="F20" s="14" t="str">
        <f>_xll.TabularResultAsTimeSeries($C20,F$16)</f>
        <v>»TimeSeries-16705291694770987656</v>
      </c>
      <c r="G20" s="14" t="str">
        <f>_xll.TabularResultAsTimeSeries($C20,G$16)</f>
        <v>»TimeSeries-16705291694770987662</v>
      </c>
      <c r="H20" s="14" t="str">
        <f>_xll.TabularResultAsTimeSeries($C20,H$16)</f>
        <v>»TimeSeries-16705291694770987714</v>
      </c>
      <c r="I20" s="14" t="str">
        <f>_xll.TabularResultAsTimeSeries($C20,I$16)</f>
        <v>»TimeSeries-16705291694770987710</v>
      </c>
      <c r="J20" s="15" t="str">
        <f>_xll.TabularResultAsTimeSeries($C20,J$16)</f>
        <v>»TimeSeries-16705291694770987659</v>
      </c>
      <c r="K20" t="s">
        <v>77</v>
      </c>
      <c r="L20" s="85" t="str">
        <v>Low</v>
      </c>
    </row>
    <row r="21" spans="2:12" x14ac:dyDescent="0.25">
      <c r="B21" s="79" t="s">
        <v>9</v>
      </c>
      <c r="C21" s="76" t="str">
        <f>_xll.QuandlDataSet("WIKI/"&amp;B21, $C$10,$C$9,,$C$11,,,)</f>
        <v>»TabularResult-16705291694770987168</v>
      </c>
      <c r="D21" s="16" t="str">
        <f>_xll.TabularResultAsTimeSeries($C21,D$16)</f>
        <v>»TimeSeries-16705291694770987563</v>
      </c>
      <c r="E21" s="14" t="str">
        <f>_xll.TabularResultAsTimeSeries($C21,E$16)</f>
        <v>»TimeSeries-16705291694770987562</v>
      </c>
      <c r="F21" s="14" t="str">
        <f>_xll.TabularResultAsTimeSeries($C21,F$16)</f>
        <v>»TimeSeries-16705291694770987555</v>
      </c>
      <c r="G21" s="14" t="str">
        <f>_xll.TabularResultAsTimeSeries($C21,G$16)</f>
        <v>»TimeSeries-16705291694770987510</v>
      </c>
      <c r="H21" s="14" t="str">
        <f>_xll.TabularResultAsTimeSeries($C21,H$16)</f>
        <v>»TimeSeries-16705291694770987559</v>
      </c>
      <c r="I21" s="14" t="str">
        <f>_xll.TabularResultAsTimeSeries($C21,I$16)</f>
        <v>»TimeSeries-16705291694770987556</v>
      </c>
      <c r="J21" s="15" t="str">
        <f>_xll.TabularResultAsTimeSeries($C21,J$16)</f>
        <v>»TimeSeries-16705291694770987560</v>
      </c>
      <c r="K21" t="s">
        <v>77</v>
      </c>
      <c r="L21" s="85" t="str">
        <v>Close</v>
      </c>
    </row>
    <row r="22" spans="2:12" x14ac:dyDescent="0.25">
      <c r="B22" s="79" t="s">
        <v>10</v>
      </c>
      <c r="C22" s="76" t="str">
        <f>_xll.QuandlDataSet("WIKI/"&amp;B22, $C$10,$C$9,,$C$11,,,)</f>
        <v>»TabularResult-16705291694770987209</v>
      </c>
      <c r="D22" s="16" t="str">
        <f>_xll.TabularResultAsTimeSeries($C22,D$16)</f>
        <v>»TimeSeries-16705291694770987522</v>
      </c>
      <c r="E22" s="14" t="str">
        <f>_xll.TabularResultAsTimeSeries($C22,E$16)</f>
        <v>»TimeSeries-16705291694770987708</v>
      </c>
      <c r="F22" s="14" t="str">
        <f>_xll.TabularResultAsTimeSeries($C22,F$16)</f>
        <v>»TimeSeries-16705291694770987686</v>
      </c>
      <c r="G22" s="14" t="str">
        <f>_xll.TabularResultAsTimeSeries($C22,G$16)</f>
        <v>»TimeSeries-16705291694770987705</v>
      </c>
      <c r="H22" s="14" t="str">
        <f>_xll.TabularResultAsTimeSeries($C22,H$16)</f>
        <v>»TimeSeries-16705291694770987685</v>
      </c>
      <c r="I22" s="14" t="str">
        <f>_xll.TabularResultAsTimeSeries($C22,I$16)</f>
        <v>»TimeSeries-16705291694770987683</v>
      </c>
      <c r="J22" s="15" t="str">
        <f>_xll.TabularResultAsTimeSeries($C22,J$16)</f>
        <v>»TimeSeries-16705291694770987711</v>
      </c>
      <c r="K22" t="s">
        <v>77</v>
      </c>
      <c r="L22" s="85" t="str">
        <v>Volume</v>
      </c>
    </row>
    <row r="23" spans="2:12" x14ac:dyDescent="0.25">
      <c r="B23" s="79" t="s">
        <v>11</v>
      </c>
      <c r="C23" s="76" t="str">
        <f>_xll.QuandlDataSet("WIKI/"&amp;B23, $C$10,$C$9,,$C$11,,,)</f>
        <v>»TabularResult-16705291694770987162</v>
      </c>
      <c r="D23" s="16" t="str">
        <f>_xll.TabularResultAsTimeSeries($C23,D$16)</f>
        <v>»TimeSeries-16705291694770987647</v>
      </c>
      <c r="E23" s="14" t="str">
        <f>_xll.TabularResultAsTimeSeries($C23,E$16)</f>
        <v>»TimeSeries-16705291694770987648</v>
      </c>
      <c r="F23" s="14" t="str">
        <f>_xll.TabularResultAsTimeSeries($C23,F$16)</f>
        <v>»TimeSeries-16705291694770987651</v>
      </c>
      <c r="G23" s="14" t="str">
        <f>_xll.TabularResultAsTimeSeries($C23,G$16)</f>
        <v>»TimeSeries-16705291694770987645</v>
      </c>
      <c r="H23" s="14" t="str">
        <f>_xll.TabularResultAsTimeSeries($C23,H$16)</f>
        <v>»TimeSeries-16705291694770987669</v>
      </c>
      <c r="I23" s="14" t="str">
        <f>_xll.TabularResultAsTimeSeries($C23,I$16)</f>
        <v>»TimeSeries-16705291694770987667</v>
      </c>
      <c r="J23" s="15" t="str">
        <f>_xll.TabularResultAsTimeSeries($C23,J$16)</f>
        <v>»TimeSeries-16705291694770987672</v>
      </c>
      <c r="K23" t="s">
        <v>77</v>
      </c>
      <c r="L23" s="85" t="str">
        <v>Ex-Dividend</v>
      </c>
    </row>
    <row r="24" spans="2:12" x14ac:dyDescent="0.25">
      <c r="B24" s="79" t="s">
        <v>12</v>
      </c>
      <c r="C24" s="76" t="str">
        <f>_xll.QuandlDataSet("WIKI/"&amp;B24, $C$10,$C$9,,$C$11,,,)</f>
        <v>»TabularResult-16705291694770987165</v>
      </c>
      <c r="D24" s="16" t="str">
        <f>_xll.TabularResultAsTimeSeries($C24,D$16)</f>
        <v>»TimeSeries-16705291694770987632</v>
      </c>
      <c r="E24" s="14" t="str">
        <f>_xll.TabularResultAsTimeSeries($C24,E$16)</f>
        <v>»TimeSeries-16705291694770987583</v>
      </c>
      <c r="F24" s="14" t="str">
        <f>_xll.TabularResultAsTimeSeries($C24,F$16)</f>
        <v>»TimeSeries-16705291694770987517</v>
      </c>
      <c r="G24" s="14" t="str">
        <f>_xll.TabularResultAsTimeSeries($C24,G$16)</f>
        <v>»TimeSeries-16705291694770987636</v>
      </c>
      <c r="H24" s="14" t="str">
        <f>_xll.TabularResultAsTimeSeries($C24,H$16)</f>
        <v>»TimeSeries-16705291694770987585</v>
      </c>
      <c r="I24" s="14" t="str">
        <f>_xll.TabularResultAsTimeSeries($C24,I$16)</f>
        <v>»TimeSeries-16705291694770987638</v>
      </c>
      <c r="J24" s="15" t="str">
        <f>_xll.TabularResultAsTimeSeries($C24,J$16)</f>
        <v>»TimeSeries-16705291694770987630</v>
      </c>
      <c r="K24" t="s">
        <v>77</v>
      </c>
      <c r="L24" s="85" t="str">
        <v>Split Ratio</v>
      </c>
    </row>
    <row r="25" spans="2:12" x14ac:dyDescent="0.25">
      <c r="B25" s="79" t="s">
        <v>13</v>
      </c>
      <c r="C25" s="76" t="str">
        <f>_xll.QuandlDataSet("WIKI/"&amp;B25, $C$10,$C$9,,$C$11,,,)</f>
        <v>»TabularResult-16705291694770987786</v>
      </c>
      <c r="D25" s="16" t="str">
        <f>_xll.TabularResultAsTimeSeries($C25,D$16)</f>
        <v>»TimeSeries-16705291694770987793</v>
      </c>
      <c r="E25" s="14" t="str">
        <f>_xll.TabularResultAsTimeSeries($C25,E$16)</f>
        <v>»TimeSeries-16705291694770987794</v>
      </c>
      <c r="F25" s="14" t="str">
        <f>_xll.TabularResultAsTimeSeries($C25,F$16)</f>
        <v>»TimeSeries-16705291694770987792</v>
      </c>
      <c r="G25" s="14" t="str">
        <f>_xll.TabularResultAsTimeSeries($C25,G$16)</f>
        <v>»TimeSeries-16705291694770987790</v>
      </c>
      <c r="H25" s="14" t="str">
        <f>_xll.TabularResultAsTimeSeries($C25,H$16)</f>
        <v>»TimeSeries-16705291694770987789</v>
      </c>
      <c r="I25" s="14" t="str">
        <f>_xll.TabularResultAsTimeSeries($C25,I$16)</f>
        <v>»TimeSeries-16705291694770987791</v>
      </c>
      <c r="J25" s="15" t="str">
        <f>_xll.TabularResultAsTimeSeries($C25,J$16)</f>
        <v>»TimeSeries-16705291694770987788</v>
      </c>
      <c r="K25" t="s">
        <v>77</v>
      </c>
      <c r="L25" s="85" t="str">
        <v>Adj. Open</v>
      </c>
    </row>
    <row r="26" spans="2:12" x14ac:dyDescent="0.25">
      <c r="B26" s="79" t="s">
        <v>14</v>
      </c>
      <c r="C26" s="76" t="str">
        <f>_xll.QuandlDataSet("WIKI/"&amp;B26, $C$10,$C$9,,$C$11,,,)</f>
        <v>»TabularResult-16705291694770987285</v>
      </c>
      <c r="D26" s="16" t="str">
        <f>_xll.TabularResultAsTimeSeries($C26,D$16)</f>
        <v>»TimeSeries-16705291694770987723</v>
      </c>
      <c r="E26" s="14" t="str">
        <f>_xll.TabularResultAsTimeSeries($C26,E$16)</f>
        <v>»TimeSeries-16705291694770987733</v>
      </c>
      <c r="F26" s="14" t="str">
        <f>_xll.TabularResultAsTimeSeries($C26,F$16)</f>
        <v>»TimeSeries-16705291694770987731</v>
      </c>
      <c r="G26" s="14" t="str">
        <f>_xll.TabularResultAsTimeSeries($C26,G$16)</f>
        <v>»TimeSeries-16705291694770987545</v>
      </c>
      <c r="H26" s="14" t="str">
        <f>_xll.TabularResultAsTimeSeries($C26,H$16)</f>
        <v>»TimeSeries-16705291694770987736</v>
      </c>
      <c r="I26" s="14" t="str">
        <f>_xll.TabularResultAsTimeSeries($C26,I$16)</f>
        <v>»TimeSeries-16705291694770987732</v>
      </c>
      <c r="J26" s="15" t="str">
        <f>_xll.TabularResultAsTimeSeries($C26,J$16)</f>
        <v>»TimeSeries-16705291694770987734</v>
      </c>
      <c r="K26" t="s">
        <v>77</v>
      </c>
      <c r="L26" s="85" t="str">
        <v>Adj. High</v>
      </c>
    </row>
    <row r="27" spans="2:12" x14ac:dyDescent="0.25">
      <c r="B27" s="79" t="s">
        <v>15</v>
      </c>
      <c r="C27" s="76" t="str">
        <f>_xll.QuandlDataSet("WIKI/"&amp;B27, $C$10,$C$9,,$C$11,,,)</f>
        <v>»TabularResult-16705291694770987382</v>
      </c>
      <c r="D27" s="16" t="str">
        <f>_xll.TabularResultAsTimeSeries($C27,D$16)</f>
        <v>»TimeSeries-16705291694770987698</v>
      </c>
      <c r="E27" s="14" t="str">
        <f>_xll.TabularResultAsTimeSeries($C27,E$16)</f>
        <v>»TimeSeries-16705291694770987692</v>
      </c>
      <c r="F27" s="14" t="str">
        <f>_xll.TabularResultAsTimeSeries($C27,F$16)</f>
        <v>»TimeSeries-16705291694770987694</v>
      </c>
      <c r="G27" s="14" t="str">
        <f>_xll.TabularResultAsTimeSeries($C27,G$16)</f>
        <v>»TimeSeries-16705291694770987654</v>
      </c>
      <c r="H27" s="14" t="str">
        <f>_xll.TabularResultAsTimeSeries($C27,H$16)</f>
        <v>»TimeSeries-16705291694770987695</v>
      </c>
      <c r="I27" s="14" t="str">
        <f>_xll.TabularResultAsTimeSeries($C27,I$16)</f>
        <v>»TimeSeries-16705291694770987657</v>
      </c>
      <c r="J27" s="15" t="str">
        <f>_xll.TabularResultAsTimeSeries($C27,J$16)</f>
        <v>»TimeSeries-16705291694770987696</v>
      </c>
      <c r="K27" t="s">
        <v>77</v>
      </c>
      <c r="L27" s="85" t="str">
        <v>Adj. Low</v>
      </c>
    </row>
    <row r="28" spans="2:12" x14ac:dyDescent="0.25">
      <c r="B28" s="79" t="s">
        <v>16</v>
      </c>
      <c r="C28" s="76" t="str">
        <f>_xll.QuandlDataSet("WIKI/"&amp;B28, $C$10,$C$9,,$C$11,,,)</f>
        <v>»TabularResult-16705291694770987232</v>
      </c>
      <c r="D28" s="16" t="str">
        <f>_xll.TabularResultAsTimeSeries($C28,D$16)</f>
        <v>»TimeSeries-16705291694770987639</v>
      </c>
      <c r="E28" s="14" t="str">
        <f>_xll.TabularResultAsTimeSeries($C28,E$16)</f>
        <v>»TimeSeries-16705291694770987525</v>
      </c>
      <c r="F28" s="14" t="str">
        <f>_xll.TabularResultAsTimeSeries($C28,F$16)</f>
        <v>»TimeSeries-16705291694770987607</v>
      </c>
      <c r="G28" s="14" t="str">
        <f>_xll.TabularResultAsTimeSeries($C28,G$16)</f>
        <v>»TimeSeries-16705291694770987644</v>
      </c>
      <c r="H28" s="14" t="str">
        <f>_xll.TabularResultAsTimeSeries($C28,H$16)</f>
        <v>»TimeSeries-16705291694770987608</v>
      </c>
      <c r="I28" s="14" t="str">
        <f>_xll.TabularResultAsTimeSeries($C28,I$16)</f>
        <v>»TimeSeries-16705291694770987641</v>
      </c>
      <c r="J28" s="15" t="str">
        <f>_xll.TabularResultAsTimeSeries($C28,J$16)</f>
        <v>»TimeSeries-16705291694770987605</v>
      </c>
      <c r="K28" t="s">
        <v>77</v>
      </c>
      <c r="L28" s="85" t="str">
        <v>Adj. Close</v>
      </c>
    </row>
    <row r="29" spans="2:12" x14ac:dyDescent="0.25">
      <c r="B29" s="79" t="s">
        <v>17</v>
      </c>
      <c r="C29" s="76" t="str">
        <f>_xll.QuandlDataSet("WIKI/"&amp;B29, $C$10,$C$9,,$C$11,,,)</f>
        <v>»TabularResult-16705291694770987210</v>
      </c>
      <c r="D29" s="16" t="str">
        <f>_xll.TabularResultAsTimeSeries($C29,D$16)</f>
        <v>»TimeSeries-16705291694770987635</v>
      </c>
      <c r="E29" s="14" t="str">
        <f>_xll.TabularResultAsTimeSeries($C29,E$16)</f>
        <v>»TimeSeries-16705291694770987527</v>
      </c>
      <c r="F29" s="14" t="str">
        <f>_xll.TabularResultAsTimeSeries($C29,F$16)</f>
        <v>»TimeSeries-16705291694770987637</v>
      </c>
      <c r="G29" s="14" t="str">
        <f>_xll.TabularResultAsTimeSeries($C29,G$16)</f>
        <v>»TimeSeries-16705291694770987642</v>
      </c>
      <c r="H29" s="14" t="str">
        <f>_xll.TabularResultAsTimeSeries($C29,H$16)</f>
        <v>»TimeSeries-16705291694770987606</v>
      </c>
      <c r="I29" s="14" t="str">
        <f>_xll.TabularResultAsTimeSeries($C29,I$16)</f>
        <v>»TimeSeries-16705291694770987640</v>
      </c>
      <c r="J29" s="15" t="str">
        <f>_xll.TabularResultAsTimeSeries($C29,J$16)</f>
        <v>»TimeSeries-16705291694770987602</v>
      </c>
      <c r="K29" t="s">
        <v>77</v>
      </c>
      <c r="L29" s="86" t="str">
        <v>Adj. Volume</v>
      </c>
    </row>
    <row r="30" spans="2:12" x14ac:dyDescent="0.25">
      <c r="B30" s="79" t="s">
        <v>18</v>
      </c>
      <c r="C30" s="76" t="str">
        <f>_xll.QuandlDataSet("WIKI/"&amp;B30, $C$10,$C$9,,$C$11,,,)</f>
        <v>»TabularResult-16705291694770987169</v>
      </c>
      <c r="D30" s="16" t="str">
        <f>_xll.TabularResultAsTimeSeries($C30,D$16)</f>
        <v>»TimeSeries-16705291694770987625</v>
      </c>
      <c r="E30" s="14" t="str">
        <f>_xll.TabularResultAsTimeSeries($C30,E$16)</f>
        <v>»TimeSeries-16705291694770987631</v>
      </c>
      <c r="F30" s="14" t="str">
        <f>_xll.TabularResultAsTimeSeries($C30,F$16)</f>
        <v>»TimeSeries-16705291694770987596</v>
      </c>
      <c r="G30" s="14" t="str">
        <f>_xll.TabularResultAsTimeSeries($C30,G$16)</f>
        <v>»TimeSeries-16705291694770987629</v>
      </c>
      <c r="H30" s="14" t="str">
        <f>_xll.TabularResultAsTimeSeries($C30,H$16)</f>
        <v>»TimeSeries-16705291694770987628</v>
      </c>
      <c r="I30" s="14" t="str">
        <f>_xll.TabularResultAsTimeSeries($C30,I$16)</f>
        <v>»TimeSeries-16705291694770987597</v>
      </c>
      <c r="J30" s="15" t="str">
        <f>_xll.TabularResultAsTimeSeries($C30,J$16)</f>
        <v>»TimeSeries-16705291694770987633</v>
      </c>
      <c r="K30" t="s">
        <v>77</v>
      </c>
    </row>
    <row r="31" spans="2:12" x14ac:dyDescent="0.25">
      <c r="B31" s="79" t="s">
        <v>19</v>
      </c>
      <c r="C31" s="76" t="str">
        <f>_xll.QuandlDataSet("WIKI/"&amp;B31, $C$10,$C$9,,$C$11,,,)</f>
        <v>»TabularResult-16705291694770987787</v>
      </c>
      <c r="D31" s="16" t="str">
        <f>_xll.TabularResultAsTimeSeries($C31,D$16)</f>
        <v>»TimeSeries-16705291694770987798</v>
      </c>
      <c r="E31" s="14" t="str">
        <f>_xll.TabularResultAsTimeSeries($C31,E$16)</f>
        <v>»TimeSeries-16705291694770987801</v>
      </c>
      <c r="F31" s="14" t="str">
        <f>_xll.TabularResultAsTimeSeries($C31,F$16)</f>
        <v>»TimeSeries-16705291694770987805</v>
      </c>
      <c r="G31" s="14" t="str">
        <f>_xll.TabularResultAsTimeSeries($C31,G$16)</f>
        <v>»TimeSeries-16705291694770987800</v>
      </c>
      <c r="H31" s="14" t="str">
        <f>_xll.TabularResultAsTimeSeries($C31,H$16)</f>
        <v>»TimeSeries-16705291694770987799</v>
      </c>
      <c r="I31" s="14" t="str">
        <f>_xll.TabularResultAsTimeSeries($C31,I$16)</f>
        <v>»TimeSeries-16705291694770987802</v>
      </c>
      <c r="J31" s="15" t="str">
        <f>_xll.TabularResultAsTimeSeries($C31,J$16)</f>
        <v>»TimeSeries-16705291694770987803</v>
      </c>
      <c r="K31" t="s">
        <v>77</v>
      </c>
    </row>
    <row r="32" spans="2:12" x14ac:dyDescent="0.25">
      <c r="B32" s="79" t="s">
        <v>20</v>
      </c>
      <c r="C32" s="76" t="str">
        <f>_xll.QuandlDataSet("WIKI/"&amp;B32, $C$10,$C$9,,$C$11,,,)</f>
        <v>»TabularResult-16705291694770987167</v>
      </c>
      <c r="D32" s="16" t="str">
        <f>_xll.TabularResultAsTimeSeries($C32,D$16)</f>
        <v>»TimeSeries-16705291694770987577</v>
      </c>
      <c r="E32" s="14" t="str">
        <f>_xll.TabularResultAsTimeSeries($C32,E$16)</f>
        <v>»TimeSeries-16705291694770987573</v>
      </c>
      <c r="F32" s="14" t="str">
        <f>_xll.TabularResultAsTimeSeries($C32,F$16)</f>
        <v>»TimeSeries-16705291694770987579</v>
      </c>
      <c r="G32" s="14" t="str">
        <f>_xll.TabularResultAsTimeSeries($C32,G$16)</f>
        <v>»TimeSeries-16705291694770987575</v>
      </c>
      <c r="H32" s="14" t="str">
        <f>_xll.TabularResultAsTimeSeries($C32,H$16)</f>
        <v>»TimeSeries-16705291694770987578</v>
      </c>
      <c r="I32" s="14" t="str">
        <f>_xll.TabularResultAsTimeSeries($C32,I$16)</f>
        <v>»TimeSeries-16705291694770987574</v>
      </c>
      <c r="J32" s="15" t="str">
        <f>_xll.TabularResultAsTimeSeries($C32,J$16)</f>
        <v>»TimeSeries-16705291694770987576</v>
      </c>
      <c r="K32" t="s">
        <v>77</v>
      </c>
    </row>
    <row r="33" spans="2:11" x14ac:dyDescent="0.25">
      <c r="B33" s="79" t="s">
        <v>21</v>
      </c>
      <c r="C33" s="76" t="str">
        <f>_xll.QuandlDataSet("WIKI/"&amp;B33, $C$10,$C$9,,$C$11,,,)</f>
        <v>»TabularResult-16705291694770987418</v>
      </c>
      <c r="D33" s="16" t="str">
        <f>_xll.TabularResultAsTimeSeries($C33,D$16)</f>
        <v>»TimeSeries-16705291694770987526</v>
      </c>
      <c r="E33" s="14" t="str">
        <f>_xll.TabularResultAsTimeSeries($C33,E$16)</f>
        <v>»TimeSeries-16705291694770987703</v>
      </c>
      <c r="F33" s="14" t="str">
        <f>_xll.TabularResultAsTimeSeries($C33,F$16)</f>
        <v>»TimeSeries-16705291694770987684</v>
      </c>
      <c r="G33" s="14" t="str">
        <f>_xll.TabularResultAsTimeSeries($C33,G$16)</f>
        <v>»TimeSeries-16705291694770987701</v>
      </c>
      <c r="H33" s="14" t="str">
        <f>_xll.TabularResultAsTimeSeries($C33,H$16)</f>
        <v>»TimeSeries-16705291694770987682</v>
      </c>
      <c r="I33" s="14" t="str">
        <f>_xll.TabularResultAsTimeSeries($C33,I$16)</f>
        <v>»TimeSeries-16705291694770987681</v>
      </c>
      <c r="J33" s="15" t="str">
        <f>_xll.TabularResultAsTimeSeries($C33,J$16)</f>
        <v>»TimeSeries-16705291694770987699</v>
      </c>
      <c r="K33" t="s">
        <v>77</v>
      </c>
    </row>
    <row r="34" spans="2:11" x14ac:dyDescent="0.25">
      <c r="B34" s="79" t="s">
        <v>4</v>
      </c>
      <c r="C34" s="76" t="str">
        <f>_xll.QuandlDataSet("WIKI/"&amp;B34, $C$10,$C$9,,$C$11,,,)</f>
        <v>»TabularResult-16705291694770987158</v>
      </c>
      <c r="D34" s="16" t="str">
        <f>_xll.TabularResultAsTimeSeries($C34,D$16)</f>
        <v>»TimeSeries-16705291694770987512</v>
      </c>
      <c r="E34" s="14" t="str">
        <f>_xll.TabularResultAsTimeSeries($C34,E$16)</f>
        <v>»TimeSeries-16705291694770987566</v>
      </c>
      <c r="F34" s="14" t="str">
        <f>_xll.TabularResultAsTimeSeries($C34,F$16)</f>
        <v>»TimeSeries-16705291694770987567</v>
      </c>
      <c r="G34" s="14" t="str">
        <f>_xll.TabularResultAsTimeSeries($C34,G$16)</f>
        <v>»TimeSeries-16705291694770987557</v>
      </c>
      <c r="H34" s="14" t="str">
        <f>_xll.TabularResultAsTimeSeries($C34,H$16)</f>
        <v>»TimeSeries-16705291694770987558</v>
      </c>
      <c r="I34" s="14" t="str">
        <f>_xll.TabularResultAsTimeSeries($C34,I$16)</f>
        <v>»TimeSeries-16705291694770987572</v>
      </c>
      <c r="J34" s="15" t="str">
        <f>_xll.TabularResultAsTimeSeries($C34,J$16)</f>
        <v>»TimeSeries-16705291694770987568</v>
      </c>
      <c r="K34" t="s">
        <v>77</v>
      </c>
    </row>
    <row r="35" spans="2:11" x14ac:dyDescent="0.25">
      <c r="B35" s="79" t="s">
        <v>22</v>
      </c>
      <c r="C35" s="76" t="str">
        <f>_xll.QuandlDataSet("WIKI/"&amp;B35, $C$10,$C$9,,$C$11,,,)</f>
        <v>»TabularResult-16705291694770987286</v>
      </c>
      <c r="D35" s="16" t="str">
        <f>_xll.TabularResultAsTimeSeries($C35,D$16)</f>
        <v>»TimeSeries-16705291694770987643</v>
      </c>
      <c r="E35" s="14" t="str">
        <f>_xll.TabularResultAsTimeSeries($C35,E$16)</f>
        <v>»TimeSeries-16705291694770987693</v>
      </c>
      <c r="F35" s="14" t="str">
        <f>_xll.TabularResultAsTimeSeries($C35,F$16)</f>
        <v>»TimeSeries-16705291694770987680</v>
      </c>
      <c r="G35" s="14" t="str">
        <f>_xll.TabularResultAsTimeSeries($C35,G$16)</f>
        <v>»TimeSeries-16705291694770987646</v>
      </c>
      <c r="H35" s="14" t="str">
        <f>_xll.TabularResultAsTimeSeries($C35,H$16)</f>
        <v>»TimeSeries-16705291694770987690</v>
      </c>
      <c r="I35" s="14" t="str">
        <f>_xll.TabularResultAsTimeSeries($C35,I$16)</f>
        <v>»TimeSeries-16705291694770987691</v>
      </c>
      <c r="J35" s="15" t="str">
        <f>_xll.TabularResultAsTimeSeries($C35,J$16)</f>
        <v>»TimeSeries-16705291694770987678</v>
      </c>
      <c r="K35" t="s">
        <v>77</v>
      </c>
    </row>
    <row r="36" spans="2:11" x14ac:dyDescent="0.25">
      <c r="B36" s="79" t="s">
        <v>23</v>
      </c>
      <c r="C36" s="76" t="str">
        <f>_xll.QuandlDataSet("WIKI/"&amp;B36, $C$10,$C$9,,$C$11,,,)</f>
        <v>»TabularResult-16705291694770987157</v>
      </c>
      <c r="D36" s="16" t="str">
        <f>_xll.TabularResultAsTimeSeries($C36,D$16)</f>
        <v>»TimeSeries-16705291694770987550</v>
      </c>
      <c r="E36" s="14" t="str">
        <f>_xll.TabularResultAsTimeSeries($C36,E$16)</f>
        <v>»TimeSeries-16705291694770987552</v>
      </c>
      <c r="F36" s="14" t="str">
        <f>_xll.TabularResultAsTimeSeries($C36,F$16)</f>
        <v>»TimeSeries-16705291694770987511</v>
      </c>
      <c r="G36" s="14" t="str">
        <f>_xll.TabularResultAsTimeSeries($C36,G$16)</f>
        <v>»TimeSeries-16705291694770987540</v>
      </c>
      <c r="H36" s="14" t="str">
        <f>_xll.TabularResultAsTimeSeries($C36,H$16)</f>
        <v>»TimeSeries-16705291694770987549</v>
      </c>
      <c r="I36" s="14" t="str">
        <f>_xll.TabularResultAsTimeSeries($C36,I$16)</f>
        <v>»TimeSeries-16705291694770987547</v>
      </c>
      <c r="J36" s="15" t="str">
        <f>_xll.TabularResultAsTimeSeries($C36,J$16)</f>
        <v>»TimeSeries-16705291694770987553</v>
      </c>
      <c r="K36" t="s">
        <v>77</v>
      </c>
    </row>
    <row r="37" spans="2:11" x14ac:dyDescent="0.25">
      <c r="B37" s="79" t="s">
        <v>24</v>
      </c>
      <c r="C37" s="76" t="str">
        <f>_xll.QuandlDataSet("WIKI/"&amp;B37, $C$10,$C$9,,$C$11,,,)</f>
        <v>»TabularResult-16705291694770987208</v>
      </c>
      <c r="D37" s="16" t="str">
        <f>_xll.TabularResultAsTimeSeries($C37,D$16)</f>
        <v>»TimeSeries-16705291694770987529</v>
      </c>
      <c r="E37" s="14" t="str">
        <f>_xll.TabularResultAsTimeSeries($C37,E$16)</f>
        <v>»TimeSeries-16705291694770987604</v>
      </c>
      <c r="F37" s="14" t="str">
        <f>_xll.TabularResultAsTimeSeries($C37,F$16)</f>
        <v>»TimeSeries-16705291694770987652</v>
      </c>
      <c r="G37" s="14" t="str">
        <f>_xll.TabularResultAsTimeSeries($C37,G$16)</f>
        <v>»TimeSeries-16705291694770987653</v>
      </c>
      <c r="H37" s="14" t="str">
        <f>_xll.TabularResultAsTimeSeries($C37,H$16)</f>
        <v>»TimeSeries-16705291694770987600</v>
      </c>
      <c r="I37" s="14" t="str">
        <f>_xll.TabularResultAsTimeSeries($C37,I$16)</f>
        <v>»TimeSeries-16705291694770987655</v>
      </c>
      <c r="J37" s="15" t="str">
        <f>_xll.TabularResultAsTimeSeries($C37,J$16)</f>
        <v>»TimeSeries-16705291694770987649</v>
      </c>
      <c r="K37" t="s">
        <v>77</v>
      </c>
    </row>
    <row r="38" spans="2:11" x14ac:dyDescent="0.25">
      <c r="B38" s="79" t="s">
        <v>25</v>
      </c>
      <c r="C38" s="76" t="str">
        <f>_xll.QuandlDataSet("WIKI/"&amp;B38, $C$10,$C$9,,$C$11,,,)</f>
        <v>»TabularResult-16705291694770987212</v>
      </c>
      <c r="D38" s="16" t="str">
        <f>_xll.TabularResultAsTimeSeries($C38,D$16)</f>
        <v>»TimeSeries-16705291694770987580</v>
      </c>
      <c r="E38" s="14" t="str">
        <f>_xll.TabularResultAsTimeSeries($C38,E$16)</f>
        <v>»TimeSeries-16705291694770987622</v>
      </c>
      <c r="F38" s="14" t="str">
        <f>_xll.TabularResultAsTimeSeries($C38,F$16)</f>
        <v>»TimeSeries-16705291694770987581</v>
      </c>
      <c r="G38" s="14" t="str">
        <f>_xll.TabularResultAsTimeSeries($C38,G$16)</f>
        <v>»TimeSeries-16705291694770987619</v>
      </c>
      <c r="H38" s="14" t="str">
        <f>_xll.TabularResultAsTimeSeries($C38,H$16)</f>
        <v>»TimeSeries-16705291694770987594</v>
      </c>
      <c r="I38" s="14" t="str">
        <f>_xll.TabularResultAsTimeSeries($C38,I$16)</f>
        <v>»TimeSeries-16705291694770987590</v>
      </c>
      <c r="J38" s="15" t="str">
        <f>_xll.TabularResultAsTimeSeries($C38,J$16)</f>
        <v>»TimeSeries-16705291694770987592</v>
      </c>
      <c r="K38" t="s">
        <v>77</v>
      </c>
    </row>
    <row r="39" spans="2:11" x14ac:dyDescent="0.25">
      <c r="B39" s="79" t="s">
        <v>26</v>
      </c>
      <c r="C39" s="76" t="str">
        <f>_xll.QuandlDataSet("WIKI/"&amp;B39, $C$10,$C$9,,$C$11,,,)</f>
        <v>»TabularResult-16705291694770987160</v>
      </c>
      <c r="D39" s="16" t="str">
        <f>_xll.TabularResultAsTimeSeries($C39,D$16)</f>
        <v>»TimeSeries-16705291694770987519</v>
      </c>
      <c r="E39" s="14" t="str">
        <f>_xll.TabularResultAsTimeSeries($C39,E$16)</f>
        <v>»TimeSeries-16705291694770987587</v>
      </c>
      <c r="F39" s="14" t="str">
        <f>_xll.TabularResultAsTimeSeries($C39,F$16)</f>
        <v>»TimeSeries-16705291694770987586</v>
      </c>
      <c r="G39" s="14" t="str">
        <f>_xll.TabularResultAsTimeSeries($C39,G$16)</f>
        <v>»TimeSeries-16705291694770987564</v>
      </c>
      <c r="H39" s="14" t="str">
        <f>_xll.TabularResultAsTimeSeries($C39,H$16)</f>
        <v>»TimeSeries-16705291694770987565</v>
      </c>
      <c r="I39" s="14" t="str">
        <f>_xll.TabularResultAsTimeSeries($C39,I$16)</f>
        <v>»TimeSeries-16705291694770987589</v>
      </c>
      <c r="J39" s="15" t="str">
        <f>_xll.TabularResultAsTimeSeries($C39,J$16)</f>
        <v>»TimeSeries-16705291694770987531</v>
      </c>
      <c r="K39" t="s">
        <v>77</v>
      </c>
    </row>
    <row r="40" spans="2:11" x14ac:dyDescent="0.25">
      <c r="B40" s="79" t="s">
        <v>27</v>
      </c>
      <c r="C40" s="76" t="str">
        <f>_xll.QuandlDataSet("WIKI/"&amp;B40, $C$10,$C$9,,$C$11,,,)</f>
        <v>»TabularResult-16705291694770987155</v>
      </c>
      <c r="D40" s="16" t="str">
        <f>_xll.TabularResultAsTimeSeries($C40,D$16)</f>
        <v>»TimeSeries-16705291694770987528</v>
      </c>
      <c r="E40" s="14" t="str">
        <f>_xll.TabularResultAsTimeSeries($C40,E$16)</f>
        <v>»TimeSeries-16705291694770987539</v>
      </c>
      <c r="F40" s="14" t="str">
        <f>_xll.TabularResultAsTimeSeries($C40,F$16)</f>
        <v>»TimeSeries-16705291694770987541</v>
      </c>
      <c r="G40" s="14" t="str">
        <f>_xll.TabularResultAsTimeSeries($C40,G$16)</f>
        <v>»TimeSeries-16705291694770987536</v>
      </c>
      <c r="H40" s="14" t="str">
        <f>_xll.TabularResultAsTimeSeries($C40,H$16)</f>
        <v>»TimeSeries-16705291694770987533</v>
      </c>
      <c r="I40" s="14" t="str">
        <f>_xll.TabularResultAsTimeSeries($C40,I$16)</f>
        <v>»TimeSeries-16705291694770987543</v>
      </c>
      <c r="J40" s="15" t="str">
        <f>_xll.TabularResultAsTimeSeries($C40,J$16)</f>
        <v>»TimeSeries-16705291694770987534</v>
      </c>
      <c r="K40" t="s">
        <v>77</v>
      </c>
    </row>
    <row r="41" spans="2:11" x14ac:dyDescent="0.25">
      <c r="B41" s="79" t="s">
        <v>28</v>
      </c>
      <c r="C41" s="76" t="str">
        <f>_xll.QuandlDataSet("WIKI/"&amp;B41, $C$10,$C$9,,$C$11,,,)</f>
        <v>»TabularResult-16705291694770987161</v>
      </c>
      <c r="D41" s="16" t="str">
        <f>_xll.TabularResultAsTimeSeries($C41,D$16)</f>
        <v>»TimeSeries-16705291694770987601</v>
      </c>
      <c r="E41" s="14" t="str">
        <f>_xll.TabularResultAsTimeSeries($C41,E$16)</f>
        <v>»TimeSeries-16705291694770987676</v>
      </c>
      <c r="F41" s="14" t="str">
        <f>_xll.TabularResultAsTimeSeries($C41,F$16)</f>
        <v>»TimeSeries-16705291694770987599</v>
      </c>
      <c r="G41" s="14" t="str">
        <f>_xll.TabularResultAsTimeSeries($C41,G$16)</f>
        <v>»TimeSeries-16705291694770987677</v>
      </c>
      <c r="H41" s="14" t="str">
        <f>_xll.TabularResultAsTimeSeries($C41,H$16)</f>
        <v>»TimeSeries-16705291694770987675</v>
      </c>
      <c r="I41" s="14" t="str">
        <f>_xll.TabularResultAsTimeSeries($C41,I$16)</f>
        <v>»TimeSeries-16705291694770987598</v>
      </c>
      <c r="J41" s="15" t="str">
        <f>_xll.TabularResultAsTimeSeries($C41,J$16)</f>
        <v>»TimeSeries-16705291694770987671</v>
      </c>
      <c r="K41" t="s">
        <v>77</v>
      </c>
    </row>
    <row r="42" spans="2:11" x14ac:dyDescent="0.25">
      <c r="B42" s="79" t="s">
        <v>29</v>
      </c>
      <c r="C42" s="76" t="str">
        <f>_xll.QuandlDataSet("WIKI/"&amp;B42, $C$10,$C$9,,$C$11,,,)</f>
        <v>»TabularResult-16705291694770987211</v>
      </c>
      <c r="D42" s="16" t="str">
        <f>_xll.TabularResultAsTimeSeries($C42,D$16)</f>
        <v>»TimeSeries-16705291694770987520</v>
      </c>
      <c r="E42" s="14" t="str">
        <f>_xll.TabularResultAsTimeSeries($C42,E$16)</f>
        <v>»TimeSeries-16705291694770987582</v>
      </c>
      <c r="F42" s="14" t="str">
        <f>_xll.TabularResultAsTimeSeries($C42,F$16)</f>
        <v>»TimeSeries-16705291694770987584</v>
      </c>
      <c r="G42" s="14" t="str">
        <f>_xll.TabularResultAsTimeSeries($C42,G$16)</f>
        <v>»TimeSeries-16705291694770987613</v>
      </c>
      <c r="H42" s="14" t="str">
        <f>_xll.TabularResultAsTimeSeries($C42,H$16)</f>
        <v>»TimeSeries-16705291694770987616</v>
      </c>
      <c r="I42" s="14" t="str">
        <f>_xll.TabularResultAsTimeSeries($C42,I$16)</f>
        <v>»TimeSeries-16705291694770987617</v>
      </c>
      <c r="J42" s="15" t="str">
        <f>_xll.TabularResultAsTimeSeries($C42,J$16)</f>
        <v>»TimeSeries-16705291694770987618</v>
      </c>
      <c r="K42" t="s">
        <v>77</v>
      </c>
    </row>
    <row r="43" spans="2:11" x14ac:dyDescent="0.25">
      <c r="B43" s="79" t="s">
        <v>45</v>
      </c>
      <c r="C43" s="76" t="str">
        <f>_xll.QuandlDataSet("WIKI/"&amp;B43, $C$10,$C$9,,$C$11,,,)</f>
        <v>»TabularResult-16705291694770987260</v>
      </c>
      <c r="D43" s="16" t="str">
        <f>_xll.TabularResultAsTimeSeries($C43,D$16)</f>
        <v>»TimeSeries-16705291694770987518</v>
      </c>
      <c r="E43" s="14" t="str">
        <f>_xll.TabularResultAsTimeSeries($C43,E$16)</f>
        <v>»TimeSeries-16705291694770987621</v>
      </c>
      <c r="F43" s="14" t="str">
        <f>_xll.TabularResultAsTimeSeries($C43,F$16)</f>
        <v>»TimeSeries-16705291694770987623</v>
      </c>
      <c r="G43" s="14" t="str">
        <f>_xll.TabularResultAsTimeSeries($C43,G$16)</f>
        <v>»TimeSeries-16705291694770987595</v>
      </c>
      <c r="H43" s="14" t="str">
        <f>_xll.TabularResultAsTimeSeries($C43,H$16)</f>
        <v>»TimeSeries-16705291694770987593</v>
      </c>
      <c r="I43" s="14" t="str">
        <f>_xll.TabularResultAsTimeSeries($C43,I$16)</f>
        <v>»TimeSeries-16705291694770987624</v>
      </c>
      <c r="J43" s="15" t="str">
        <f>_xll.TabularResultAsTimeSeries($C43,J$16)</f>
        <v>»TimeSeries-16705291694770987626</v>
      </c>
      <c r="K43" t="s">
        <v>77</v>
      </c>
    </row>
    <row r="44" spans="2:11" x14ac:dyDescent="0.25">
      <c r="B44" s="79" t="s">
        <v>30</v>
      </c>
      <c r="C44" s="76" t="str">
        <f>_xll.QuandlDataSet("WIKI/"&amp;B44, $C$10,$C$9,,$C$11,,,)</f>
        <v>»TabularResult-16705291694770987164</v>
      </c>
      <c r="D44" s="16" t="str">
        <f>_xll.TabularResultAsTimeSeries($C44,D$16)</f>
        <v>»TimeSeries-16705291694770987523</v>
      </c>
      <c r="E44" s="14" t="str">
        <f>_xll.TabularResultAsTimeSeries($C44,E$16)</f>
        <v>»TimeSeries-16705291694770987715</v>
      </c>
      <c r="F44" s="14" t="str">
        <f>_xll.TabularResultAsTimeSeries($C44,F$16)</f>
        <v>»TimeSeries-16705291694770987689</v>
      </c>
      <c r="G44" s="14" t="str">
        <f>_xll.TabularResultAsTimeSeries($C44,G$16)</f>
        <v>»TimeSeries-16705291694770987724</v>
      </c>
      <c r="H44" s="14" t="str">
        <f>_xll.TabularResultAsTimeSeries($C44,H$16)</f>
        <v>»TimeSeries-16705291694770987717</v>
      </c>
      <c r="I44" s="14" t="str">
        <f>_xll.TabularResultAsTimeSeries($C44,I$16)</f>
        <v>»TimeSeries-16705291694770987722</v>
      </c>
      <c r="J44" s="15" t="str">
        <f>_xll.TabularResultAsTimeSeries($C44,J$16)</f>
        <v>»TimeSeries-16705291694770987687</v>
      </c>
      <c r="K44" t="s">
        <v>77</v>
      </c>
    </row>
    <row r="45" spans="2:11" x14ac:dyDescent="0.25">
      <c r="B45" s="80" t="s">
        <v>64</v>
      </c>
      <c r="C45" s="77" t="str">
        <f>_xll.QuandlDataSet("WIKI/"&amp;B45, $C$10,$C$9,,$C$11,,,)</f>
        <v>»TabularResult-16705291694770987284</v>
      </c>
      <c r="D45" s="17" t="str">
        <f>_xll.TabularResultAsTimeSeries($C45,D$16)</f>
        <v>»TimeSeries-16705291694770987661</v>
      </c>
      <c r="E45" s="18" t="str">
        <f>_xll.TabularResultAsTimeSeries($C45,E$16)</f>
        <v>»TimeSeries-16705291694770987702</v>
      </c>
      <c r="F45" s="18" t="str">
        <f>_xll.TabularResultAsTimeSeries($C45,F$16)</f>
        <v>»TimeSeries-16705291694770987666</v>
      </c>
      <c r="G45" s="18" t="str">
        <f>_xll.TabularResultAsTimeSeries($C45,G$16)</f>
        <v>»TimeSeries-16705291694770987704</v>
      </c>
      <c r="H45" s="18" t="str">
        <f>_xll.TabularResultAsTimeSeries($C45,H$16)</f>
        <v>»TimeSeries-16705291694770987524</v>
      </c>
      <c r="I45" s="18" t="str">
        <f>_xll.TabularResultAsTimeSeries($C45,I$16)</f>
        <v>»TimeSeries-16705291694770987706</v>
      </c>
      <c r="J45" s="19" t="str">
        <f>_xll.TabularResultAsTimeSeries($C45,J$16)</f>
        <v>»TimeSeries-16705291694770987707</v>
      </c>
      <c r="K45" t="s">
        <v>77</v>
      </c>
    </row>
    <row r="46" spans="2:11" x14ac:dyDescent="0.25">
      <c r="B46" s="67"/>
      <c r="C46" s="65"/>
      <c r="D46" s="66"/>
      <c r="E46" s="66"/>
      <c r="F46" s="66"/>
      <c r="G46" s="66"/>
      <c r="H46" s="66"/>
      <c r="I46" s="66"/>
      <c r="J46" s="66"/>
      <c r="K46" t="s">
        <v>77</v>
      </c>
    </row>
    <row r="47" spans="2:11" x14ac:dyDescent="0.25">
      <c r="B47" s="71" t="s">
        <v>74</v>
      </c>
      <c r="C47" s="65"/>
      <c r="D47" s="66"/>
      <c r="E47" s="66"/>
      <c r="F47" s="66"/>
      <c r="G47" s="66"/>
      <c r="H47" s="66"/>
      <c r="I47" s="66"/>
      <c r="J47" s="66"/>
      <c r="K47" t="s">
        <v>77</v>
      </c>
    </row>
    <row r="48" spans="2:11" x14ac:dyDescent="0.25">
      <c r="B48" s="78" t="s">
        <v>81</v>
      </c>
      <c r="C48" s="75" t="s">
        <v>1</v>
      </c>
      <c r="D48" s="72" t="s">
        <v>37</v>
      </c>
      <c r="E48" s="73" t="s">
        <v>38</v>
      </c>
      <c r="F48" s="73" t="s">
        <v>3</v>
      </c>
      <c r="G48" s="73" t="s">
        <v>39</v>
      </c>
      <c r="H48" s="73" t="s">
        <v>40</v>
      </c>
      <c r="I48" s="73" t="s">
        <v>41</v>
      </c>
      <c r="J48" s="74" t="s">
        <v>3</v>
      </c>
    </row>
    <row r="49" spans="1:11" x14ac:dyDescent="0.25">
      <c r="B49" s="41" t="s">
        <v>49</v>
      </c>
      <c r="C49" s="82" t="str">
        <f>_xll.QuandlDataSet("NASDAQOMX/NQNALC", $C$10,$C$9,,$C$11,,,)</f>
        <v>»TabularResult-16705291694770987159</v>
      </c>
      <c r="D49" s="83" t="s">
        <v>77</v>
      </c>
      <c r="E49" s="38"/>
      <c r="F49" s="38" t="str">
        <f>_xll.TabularResultAsTimeSeries($C49,"Index Value")</f>
        <v>»TimeSeries-16705291694770987515</v>
      </c>
      <c r="G49" s="83" t="s">
        <v>77</v>
      </c>
      <c r="H49" s="38"/>
      <c r="I49" s="38"/>
      <c r="J49" s="81"/>
      <c r="K49" t="s">
        <v>77</v>
      </c>
    </row>
    <row r="50" spans="1:11" x14ac:dyDescent="0.25">
      <c r="B50" s="67"/>
      <c r="C50" s="65"/>
      <c r="D50" s="66"/>
      <c r="E50" s="66"/>
      <c r="F50" s="66"/>
      <c r="G50" s="66"/>
      <c r="H50" s="66"/>
      <c r="I50" s="66"/>
      <c r="J50" s="66"/>
      <c r="K50" t="s">
        <v>77</v>
      </c>
    </row>
    <row r="51" spans="1:11" x14ac:dyDescent="0.25">
      <c r="A51" s="98"/>
      <c r="B51" s="98"/>
      <c r="C51" s="98"/>
      <c r="D51" s="98"/>
      <c r="E51" s="98"/>
      <c r="F51" s="98"/>
      <c r="G51" s="98"/>
      <c r="H51" s="98"/>
      <c r="I51" s="98"/>
      <c r="J51" s="98"/>
      <c r="K51" s="98" t="s">
        <v>77</v>
      </c>
    </row>
  </sheetData>
  <dataValidations count="1">
    <dataValidation type="list" allowBlank="1" showInputMessage="1" showErrorMessage="1" sqref="D16:J16 D48:J48">
      <formula1>DataFields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Q2715"/>
  <sheetViews>
    <sheetView topLeftCell="A20" workbookViewId="0">
      <selection activeCell="C7" sqref="C7"/>
    </sheetView>
  </sheetViews>
  <sheetFormatPr defaultRowHeight="15" customHeight="1" x14ac:dyDescent="0.25"/>
  <cols>
    <col min="1" max="1" width="4" customWidth="1"/>
    <col min="2" max="2" width="18.7109375" customWidth="1"/>
    <col min="3" max="3" width="17.5703125" bestFit="1" customWidth="1"/>
    <col min="4" max="4" width="14.5703125" customWidth="1"/>
    <col min="5" max="5" width="19.28515625" bestFit="1" customWidth="1"/>
    <col min="6" max="6" width="13.42578125" customWidth="1"/>
    <col min="7" max="7" width="13.7109375" customWidth="1"/>
    <col min="8" max="8" width="15.28515625" customWidth="1"/>
    <col min="9" max="9" width="13.85546875" customWidth="1"/>
    <col min="10" max="10" width="16" customWidth="1"/>
    <col min="11" max="11" width="15.28515625" customWidth="1"/>
    <col min="12" max="12" width="16.85546875" customWidth="1"/>
    <col min="13" max="13" width="3.5703125" customWidth="1"/>
    <col min="14" max="14" width="11.7109375" customWidth="1"/>
    <col min="15" max="15" width="9.42578125" customWidth="1"/>
    <col min="16" max="17" width="8.42578125" bestFit="1" customWidth="1"/>
  </cols>
  <sheetData>
    <row r="1" spans="2:43" ht="9.75" customHeight="1" x14ac:dyDescent="0.25"/>
    <row r="2" spans="2:43" ht="28.5" x14ac:dyDescent="0.45">
      <c r="B2" s="109" t="s">
        <v>84</v>
      </c>
    </row>
    <row r="3" spans="2:43" ht="14.25" customHeight="1" x14ac:dyDescent="0.35">
      <c r="B3" s="96"/>
    </row>
    <row r="4" spans="2:43" x14ac:dyDescent="0.25">
      <c r="B4" s="97" t="s">
        <v>83</v>
      </c>
    </row>
    <row r="5" spans="2:43" x14ac:dyDescent="0.25">
      <c r="B5" s="97"/>
    </row>
    <row r="6" spans="2:43" x14ac:dyDescent="0.25">
      <c r="B6" s="21" t="s">
        <v>43</v>
      </c>
      <c r="C6" s="107">
        <f>DATE(YEAR(C7)-4,MONTH(C7),DAY(C7))</f>
        <v>41360</v>
      </c>
      <c r="D6" s="106"/>
      <c r="E6" s="106"/>
      <c r="F6" s="106"/>
    </row>
    <row r="7" spans="2:43" x14ac:dyDescent="0.25">
      <c r="B7" s="23" t="s">
        <v>44</v>
      </c>
      <c r="C7" s="108">
        <f>DATE(2017, 3, 27)</f>
        <v>42821</v>
      </c>
      <c r="D7" s="106"/>
      <c r="E7" s="106"/>
      <c r="F7" s="106"/>
    </row>
    <row r="9" spans="2:43" x14ac:dyDescent="0.25">
      <c r="B9" s="21" t="s">
        <v>46</v>
      </c>
      <c r="C9" s="216" t="str">
        <f>_xll.Schedule.ReverseMonthly()</f>
        <v>»ReverseMonthlyScheduleFunction-16705291694770987500</v>
      </c>
      <c r="D9" s="216"/>
      <c r="E9" s="216"/>
      <c r="F9" s="105"/>
      <c r="K9" t="s">
        <v>110</v>
      </c>
    </row>
    <row r="10" spans="2:43" x14ac:dyDescent="0.25">
      <c r="B10" s="22" t="s">
        <v>42</v>
      </c>
      <c r="C10" s="216" t="str">
        <f>_xll.Schedule.ReverseMonthly.apply(C9,C6,C7)</f>
        <v>»Schedule-16705291694770987509</v>
      </c>
      <c r="D10" s="216"/>
      <c r="E10" s="216"/>
      <c r="F10" s="105"/>
      <c r="G10" s="166" t="s">
        <v>120</v>
      </c>
      <c r="H10" s="166" t="str">
        <f>_xll.TimeSeriesFill(C6,C7, 0)</f>
        <v>»TimeSeries-16705291694770987508</v>
      </c>
      <c r="I10" s="209" t="s">
        <v>121</v>
      </c>
    </row>
    <row r="11" spans="2:43" x14ac:dyDescent="0.25">
      <c r="B11" s="22" t="s">
        <v>50</v>
      </c>
      <c r="C11" s="216" t="str">
        <f>_xll.TimeSeries.Sample()</f>
        <v>»TimeSeriesSamplingFunction-16705291694770987503</v>
      </c>
      <c r="D11" s="216"/>
      <c r="E11" s="216"/>
      <c r="F11" s="105"/>
    </row>
    <row r="12" spans="2:43" x14ac:dyDescent="0.25">
      <c r="B12" s="22" t="s">
        <v>54</v>
      </c>
      <c r="C12" s="216" t="str">
        <f>_xll.TimeSeries.PreviousValueFill()</f>
        <v>»PreviousValueFill-16705291694770987499</v>
      </c>
      <c r="D12" s="216"/>
      <c r="E12" s="216"/>
      <c r="F12" s="105"/>
      <c r="G12" s="89" t="s">
        <v>90</v>
      </c>
      <c r="H12" s="20" t="str">
        <f>_xll.TimeSeries.Mean()</f>
        <v>»MeanCalculator-16705291694770987501</v>
      </c>
      <c r="I12" s="105" t="s">
        <v>77</v>
      </c>
      <c r="J12" s="89" t="s">
        <v>88</v>
      </c>
      <c r="K12" s="217" t="str">
        <f>_xll.TimeSeries.Covariance()</f>
        <v>»CovarianceCalculator-16705291694770987502</v>
      </c>
      <c r="L12" s="218"/>
      <c r="N12" s="89" t="s">
        <v>85</v>
      </c>
      <c r="O12" s="212" t="str">
        <f>_xll.TimeSeries.CorrelationMatrixCalculator()</f>
        <v>»CorrelationMatrixCalculator-16705291694770987507</v>
      </c>
      <c r="P12" s="212"/>
      <c r="Q12" s="212"/>
      <c r="R12" s="212"/>
      <c r="S12" s="212"/>
      <c r="T12" s="213"/>
    </row>
    <row r="13" spans="2:43" x14ac:dyDescent="0.25">
      <c r="B13" s="23" t="s">
        <v>52</v>
      </c>
      <c r="C13" s="216" t="str">
        <f>_xll.TimeSeries.PercentageReturn()</f>
        <v>»PercentageReturnCalculator-16705291694770987506</v>
      </c>
      <c r="D13" s="216"/>
      <c r="E13" s="216"/>
      <c r="F13" s="105"/>
      <c r="G13" s="90" t="s">
        <v>89</v>
      </c>
      <c r="H13" s="20" t="str">
        <f>_xll.TimeSeries.Variance()</f>
        <v>»VarianceCalculator-16705291694770987505</v>
      </c>
      <c r="I13" s="105" t="s">
        <v>77</v>
      </c>
      <c r="J13" s="90" t="s">
        <v>87</v>
      </c>
      <c r="K13" s="219" t="str">
        <f>_xll.TimeSeries.Correlation()</f>
        <v>»CorrelationCalculator-16705291694770987504</v>
      </c>
      <c r="L13" s="220"/>
      <c r="N13" s="90" t="s">
        <v>86</v>
      </c>
      <c r="O13" s="214" t="str">
        <f>_xll.TimeSeries.CorrelationMatrixCalculator.apply($O$12,$B$19:$B$47,$F$19:$F$47)</f>
        <v>»LabelledMatrix-16705291694770987816</v>
      </c>
      <c r="P13" s="214"/>
      <c r="Q13" s="214"/>
      <c r="R13" s="214"/>
      <c r="S13" s="214"/>
      <c r="T13" s="215"/>
    </row>
    <row r="15" spans="2:43" x14ac:dyDescent="0.25">
      <c r="B15" s="55" t="s">
        <v>76</v>
      </c>
      <c r="C15" s="56" t="s">
        <v>68</v>
      </c>
      <c r="D15" s="56"/>
      <c r="E15" s="56"/>
      <c r="F15" s="56"/>
      <c r="G15" s="57" t="s">
        <v>66</v>
      </c>
      <c r="H15" s="57"/>
      <c r="I15" s="57"/>
      <c r="J15" s="58" t="s">
        <v>67</v>
      </c>
      <c r="K15" s="10"/>
      <c r="L15" s="10"/>
      <c r="N15" s="58" t="s">
        <v>61</v>
      </c>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row>
    <row r="16" spans="2:43" x14ac:dyDescent="0.25">
      <c r="B16" s="9"/>
      <c r="C16" s="8"/>
      <c r="D16" s="8"/>
      <c r="E16" s="8"/>
      <c r="F16" s="8"/>
      <c r="G16" s="7"/>
      <c r="H16" s="7"/>
      <c r="I16" s="7"/>
      <c r="J16" s="10"/>
      <c r="K16" s="10"/>
      <c r="L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row>
    <row r="17" spans="2:43" x14ac:dyDescent="0.25">
      <c r="B17" s="59" t="s">
        <v>73</v>
      </c>
      <c r="C17" s="8"/>
      <c r="D17" s="8"/>
      <c r="E17" s="8"/>
      <c r="F17" s="8"/>
      <c r="G17" s="7"/>
      <c r="H17" s="7"/>
      <c r="I17" s="7"/>
      <c r="J17" s="10"/>
      <c r="K17" s="10"/>
      <c r="L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row>
    <row r="18" spans="2:43" x14ac:dyDescent="0.25">
      <c r="B18" s="44" t="str">
        <f>'Market Data'!B16</f>
        <v>Exg.Code</v>
      </c>
      <c r="C18" s="42" t="str">
        <f>'Market Data'!J16</f>
        <v>Adj. Close</v>
      </c>
      <c r="D18" s="40" t="s">
        <v>53</v>
      </c>
      <c r="E18" s="40" t="s">
        <v>47</v>
      </c>
      <c r="F18" s="50" t="s">
        <v>48</v>
      </c>
      <c r="G18" s="43" t="s">
        <v>65</v>
      </c>
      <c r="H18" s="39" t="s">
        <v>55</v>
      </c>
      <c r="I18" s="45" t="s">
        <v>75</v>
      </c>
      <c r="J18" s="36" t="s">
        <v>56</v>
      </c>
      <c r="K18" s="36" t="s">
        <v>59</v>
      </c>
      <c r="L18" s="37" t="s">
        <v>57</v>
      </c>
      <c r="N18" s="10" t="str">
        <f t="array" ref="N18:AQ47">_xll.Matrix.ExpandAsArray($O$13)</f>
        <v/>
      </c>
      <c r="O18" s="101" t="str">
        <v>AAPL</v>
      </c>
      <c r="P18" s="36" t="str">
        <v>AXP</v>
      </c>
      <c r="Q18" s="36" t="str">
        <v>BA</v>
      </c>
      <c r="R18" s="36" t="str">
        <v>CAT</v>
      </c>
      <c r="S18" s="36" t="str">
        <v>CSCO</v>
      </c>
      <c r="T18" s="36" t="str">
        <v>CVX</v>
      </c>
      <c r="U18" s="36" t="str">
        <v>DD</v>
      </c>
      <c r="V18" s="36" t="str">
        <v>DIS</v>
      </c>
      <c r="W18" s="36" t="str">
        <v>GE</v>
      </c>
      <c r="X18" s="36" t="str">
        <v>GS</v>
      </c>
      <c r="Y18" s="36" t="str">
        <v>HD</v>
      </c>
      <c r="Z18" s="36" t="str">
        <v>IBM</v>
      </c>
      <c r="AA18" s="36" t="str">
        <v>INTC</v>
      </c>
      <c r="AB18" s="36" t="str">
        <v>JNJ</v>
      </c>
      <c r="AC18" s="36" t="str">
        <v>JPM</v>
      </c>
      <c r="AD18" s="36" t="str">
        <v>KO</v>
      </c>
      <c r="AE18" s="36" t="str">
        <v>MCD</v>
      </c>
      <c r="AF18" s="36" t="str">
        <v>MMM</v>
      </c>
      <c r="AG18" s="36" t="str">
        <v>MRK</v>
      </c>
      <c r="AH18" s="36" t="str">
        <v>MSFT</v>
      </c>
      <c r="AI18" s="36" t="str">
        <v>NKE</v>
      </c>
      <c r="AJ18" s="36" t="str">
        <v>PFE</v>
      </c>
      <c r="AK18" s="36" t="str">
        <v>PG</v>
      </c>
      <c r="AL18" s="36" t="str">
        <v>UNH</v>
      </c>
      <c r="AM18" s="36" t="str">
        <v>UTX</v>
      </c>
      <c r="AN18" s="36" t="str">
        <v>VZ</v>
      </c>
      <c r="AO18" s="36" t="str">
        <v>V</v>
      </c>
      <c r="AP18" s="36" t="str">
        <v>WMT</v>
      </c>
      <c r="AQ18" s="37" t="str">
        <v>XOM</v>
      </c>
    </row>
    <row r="19" spans="2:43" x14ac:dyDescent="0.25">
      <c r="B19" s="29" t="str">
        <f>'Market Data'!B17</f>
        <v>AAPL</v>
      </c>
      <c r="C19" s="51" t="str">
        <f>'Market Data'!J17</f>
        <v>»TimeSeries-16705291694770987513</v>
      </c>
      <c r="D19" s="8" t="str">
        <f>_xll.TimeSeries.PreviousValueFill.apply($C$12,IFERROR(C19, ZERO_SERIES))</f>
        <v>»TimeSeries-16705291694770987514</v>
      </c>
      <c r="E19" s="8" t="str">
        <f>_xll.TimeSeries.Sample.apply($C$11,D19,$C$10)</f>
        <v>»TimeSeries-16705291694770987775</v>
      </c>
      <c r="F19" s="52" t="str">
        <f>_xll.TimeSeries.PercentageReturn.apply($C$13,E19)</f>
        <v>»TimeSeries-16705291694770987785</v>
      </c>
      <c r="G19" s="192">
        <f>_xll.TimeSeries.Mean.apply($H$12,$F19)</f>
        <v>2.1230184800142136E-2</v>
      </c>
      <c r="H19" s="7">
        <f>_xll.TimeSeries.Variance.apply($H$13,F19)</f>
        <v>4.5162973293162668E-3</v>
      </c>
      <c r="I19" s="47">
        <f>SQRT(H19)</f>
        <v>6.7203402661742268E-2</v>
      </c>
      <c r="J19" s="10">
        <f>_xll.TimeSeries.Covariance.apply($K$12,F19,$F$51)</f>
        <v>1.3971776089300391E-3</v>
      </c>
      <c r="K19" s="10">
        <f>_xll.TimeSeries.Correlation.apply($K$13,F19,$F$51)</f>
        <v>0.60888344952109219</v>
      </c>
      <c r="L19" s="30">
        <f t="shared" ref="L19:L47" si="0">J19/$H$51</f>
        <v>1.1983929557150443</v>
      </c>
      <c r="N19" s="102" t="str">
        <v>AAPL</v>
      </c>
      <c r="O19" s="94">
        <v>1</v>
      </c>
      <c r="P19" s="27">
        <v>0.38000959372992354</v>
      </c>
      <c r="Q19" s="27">
        <v>0.39419480500152448</v>
      </c>
      <c r="R19" s="27">
        <v>0.34799282528886444</v>
      </c>
      <c r="S19" s="27">
        <v>0.53373579180203345</v>
      </c>
      <c r="T19" s="27">
        <v>0.30605167561440449</v>
      </c>
      <c r="U19" s="27">
        <v>0.45372876955646096</v>
      </c>
      <c r="V19" s="27">
        <v>0.35823426723127333</v>
      </c>
      <c r="W19" s="27">
        <v>0.43573399198481461</v>
      </c>
      <c r="X19" s="27">
        <v>0.38568244115172895</v>
      </c>
      <c r="Y19" s="27">
        <v>0.33779658320416001</v>
      </c>
      <c r="Z19" s="27">
        <v>0.45517342401509897</v>
      </c>
      <c r="AA19" s="27">
        <v>0.38845687811603913</v>
      </c>
      <c r="AB19" s="27">
        <v>0.3354275139213817</v>
      </c>
      <c r="AC19" s="27">
        <v>0.30859021108286955</v>
      </c>
      <c r="AD19" s="27">
        <v>0.40935620232108366</v>
      </c>
      <c r="AE19" s="27">
        <v>0.15486160845701014</v>
      </c>
      <c r="AF19" s="27">
        <v>0.54753988513301943</v>
      </c>
      <c r="AG19" s="27">
        <v>0.19557437228185834</v>
      </c>
      <c r="AH19" s="27">
        <v>0.38813990707578205</v>
      </c>
      <c r="AI19" s="27">
        <v>0.21131374666346497</v>
      </c>
      <c r="AJ19" s="27">
        <v>0.33322099653942516</v>
      </c>
      <c r="AK19" s="27">
        <v>0.40942666891835811</v>
      </c>
      <c r="AL19" s="27">
        <v>0.18718237555241637</v>
      </c>
      <c r="AM19" s="27">
        <v>0.32788703114211448</v>
      </c>
      <c r="AN19" s="27">
        <v>6.0777460291628706E-2</v>
      </c>
      <c r="AO19" s="27">
        <v>0.38429786111500641</v>
      </c>
      <c r="AP19" s="27">
        <v>0.19661025236620083</v>
      </c>
      <c r="AQ19" s="28">
        <v>0.28791019816518126</v>
      </c>
    </row>
    <row r="20" spans="2:43" x14ac:dyDescent="0.25">
      <c r="B20" s="29" t="str">
        <f>'Market Data'!B18</f>
        <v>AXP</v>
      </c>
      <c r="C20" s="51" t="str">
        <f>'Market Data'!J18</f>
        <v>»TimeSeries-16705291694770987658</v>
      </c>
      <c r="D20" s="8" t="str">
        <f>_xll.TimeSeries.PreviousValueFill.apply($C$12,IFERROR(C20, ZERO_SERIES))</f>
        <v>»TimeSeries-16705291694770987737</v>
      </c>
      <c r="E20" s="8" t="str">
        <f>_xll.TimeSeries.Sample.apply($C$11,D20,$C$10)</f>
        <v>»TimeSeries-16705291694770987739</v>
      </c>
      <c r="F20" s="52" t="str">
        <f>_xll.TimeSeries.PercentageReturn.apply($C$13,E20)</f>
        <v>»TimeSeries-16705291694770987741</v>
      </c>
      <c r="G20" s="46">
        <f>_xll.TimeSeries.Mean.apply($H$12,$F20)</f>
        <v>6.4918343965214677E-3</v>
      </c>
      <c r="H20" s="7">
        <f>_xll.TimeSeries.Variance.apply($H$13,F20)</f>
        <v>4.0660324753009668E-3</v>
      </c>
      <c r="I20" s="47">
        <f t="shared" ref="I20:I51" si="1">SQRT(H20)</f>
        <v>6.3765448914760783E-2</v>
      </c>
      <c r="J20" s="10">
        <f>_xll.TimeSeries.Covariance.apply($K$12,F20,$F$51)</f>
        <v>1.5508048739078877E-3</v>
      </c>
      <c r="K20" s="10">
        <f>_xll.TimeSeries.Correlation.apply($K$13,F20,$F$51)</f>
        <v>0.71227147317355444</v>
      </c>
      <c r="L20" s="30">
        <f t="shared" si="0"/>
        <v>1.3301627686425583</v>
      </c>
      <c r="N20" s="103" t="str">
        <v>AXP</v>
      </c>
      <c r="O20" s="99">
        <v>0.38000959372992354</v>
      </c>
      <c r="P20" s="10">
        <v>1</v>
      </c>
      <c r="Q20" s="10">
        <v>0.59529118079052523</v>
      </c>
      <c r="R20" s="10">
        <v>0.57671565269153313</v>
      </c>
      <c r="S20" s="10">
        <v>0.54709184934146138</v>
      </c>
      <c r="T20" s="10">
        <v>0.38648110899611077</v>
      </c>
      <c r="U20" s="10">
        <v>0.55540974150253064</v>
      </c>
      <c r="V20" s="10">
        <v>0.54474033292885726</v>
      </c>
      <c r="W20" s="10">
        <v>0.48152292226927884</v>
      </c>
      <c r="X20" s="10">
        <v>0.70026486602959015</v>
      </c>
      <c r="Y20" s="10">
        <v>0.46412954470799034</v>
      </c>
      <c r="Z20" s="10">
        <v>0.53028550392683005</v>
      </c>
      <c r="AA20" s="10">
        <v>0.5205159398176219</v>
      </c>
      <c r="AB20" s="10">
        <v>0.31635493357902145</v>
      </c>
      <c r="AC20" s="10">
        <v>0.72262710577814415</v>
      </c>
      <c r="AD20" s="10">
        <v>0.25298361936870051</v>
      </c>
      <c r="AE20" s="10">
        <v>0.22029507636177401</v>
      </c>
      <c r="AF20" s="10">
        <v>0.49211894810758872</v>
      </c>
      <c r="AG20" s="10">
        <v>0.29752958276916208</v>
      </c>
      <c r="AH20" s="10">
        <v>0.40438370615539154</v>
      </c>
      <c r="AI20" s="10">
        <v>0.27492626998975589</v>
      </c>
      <c r="AJ20" s="10">
        <v>0.32035828432258384</v>
      </c>
      <c r="AK20" s="10">
        <v>0.17327260891473817</v>
      </c>
      <c r="AL20" s="10">
        <v>0.32014698706127315</v>
      </c>
      <c r="AM20" s="10">
        <v>0.54987449829951018</v>
      </c>
      <c r="AN20" s="10">
        <v>-2.6849208382594233E-2</v>
      </c>
      <c r="AO20" s="10">
        <v>0.55636438613484385</v>
      </c>
      <c r="AP20" s="10">
        <v>9.6404866134712254E-3</v>
      </c>
      <c r="AQ20" s="30">
        <v>0.32939970522908002</v>
      </c>
    </row>
    <row r="21" spans="2:43" x14ac:dyDescent="0.25">
      <c r="B21" s="29" t="str">
        <f>'Market Data'!B19</f>
        <v>BA</v>
      </c>
      <c r="C21" s="51" t="str">
        <f>'Market Data'!J19</f>
        <v>»TimeSeries-16705291694770987544</v>
      </c>
      <c r="D21" s="8" t="str">
        <f>_xll.TimeSeries.PreviousValueFill.apply($C$12,IFERROR(C21, ZERO_SERIES))</f>
        <v>»TimeSeries-16705291694770987546</v>
      </c>
      <c r="E21" s="8" t="str">
        <f>_xll.TimeSeries.Sample.apply($C$11,D21,$C$10)</f>
        <v>»TimeSeries-16705291694770987718</v>
      </c>
      <c r="F21" s="52" t="str">
        <f>_xll.TimeSeries.PercentageReturn.apply($C$13,E21)</f>
        <v>»TimeSeries-16705291694770987719</v>
      </c>
      <c r="G21" s="46">
        <f>_xll.TimeSeries.Mean.apply($H$12,$F21)</f>
        <v>1.9250861766613322E-2</v>
      </c>
      <c r="H21" s="7">
        <f>_xll.TimeSeries.Variance.apply($H$13,F21)</f>
        <v>3.7402935775721971E-3</v>
      </c>
      <c r="I21" s="47">
        <f t="shared" si="1"/>
        <v>6.1157939611895015E-2</v>
      </c>
      <c r="J21" s="10">
        <f>_xll.TimeSeries.Covariance.apply($K$12,F21,$F$51)</f>
        <v>1.3875635734231305E-3</v>
      </c>
      <c r="K21" s="10">
        <f>_xll.TimeSeries.Correlation.apply($K$13,F21,$F$51)</f>
        <v>0.6644676770868585</v>
      </c>
      <c r="L21" s="30">
        <f t="shared" si="0"/>
        <v>1.1901467654284017</v>
      </c>
      <c r="N21" s="103" t="str">
        <v>BA</v>
      </c>
      <c r="O21" s="99">
        <v>0.39419480500152448</v>
      </c>
      <c r="P21" s="10">
        <v>0.59529118079052523</v>
      </c>
      <c r="Q21" s="10">
        <v>1</v>
      </c>
      <c r="R21" s="10">
        <v>0.39106701723550363</v>
      </c>
      <c r="S21" s="10">
        <v>0.52997620436912973</v>
      </c>
      <c r="T21" s="10">
        <v>0.38332285115965836</v>
      </c>
      <c r="U21" s="10">
        <v>0.60911169961615208</v>
      </c>
      <c r="V21" s="10">
        <v>0.63183847382878033</v>
      </c>
      <c r="W21" s="10">
        <v>0.52869503996804146</v>
      </c>
      <c r="X21" s="10">
        <v>0.52401764215921165</v>
      </c>
      <c r="Y21" s="10">
        <v>0.48587032521691825</v>
      </c>
      <c r="Z21" s="10">
        <v>0.31967672367831762</v>
      </c>
      <c r="AA21" s="10">
        <v>0.38921616391865438</v>
      </c>
      <c r="AB21" s="10">
        <v>0.34556393790434548</v>
      </c>
      <c r="AC21" s="10">
        <v>0.48860296842908557</v>
      </c>
      <c r="AD21" s="10">
        <v>0.45481388853036497</v>
      </c>
      <c r="AE21" s="10">
        <v>0.39097499804485442</v>
      </c>
      <c r="AF21" s="10">
        <v>0.45758740630613093</v>
      </c>
      <c r="AG21" s="10">
        <v>0.43793731337531155</v>
      </c>
      <c r="AH21" s="10">
        <v>0.3531425892345314</v>
      </c>
      <c r="AI21" s="10">
        <v>0.37081151554658087</v>
      </c>
      <c r="AJ21" s="10">
        <v>0.42909861042856468</v>
      </c>
      <c r="AK21" s="10">
        <v>0.26103964468810154</v>
      </c>
      <c r="AL21" s="10">
        <v>0.24333082348181287</v>
      </c>
      <c r="AM21" s="10">
        <v>0.53789439776322068</v>
      </c>
      <c r="AN21" s="10">
        <v>0.13718912902753963</v>
      </c>
      <c r="AO21" s="10">
        <v>0.6046244238714813</v>
      </c>
      <c r="AP21" s="10">
        <v>6.6998947592626062E-2</v>
      </c>
      <c r="AQ21" s="30">
        <v>0.21231422190114227</v>
      </c>
    </row>
    <row r="22" spans="2:43" x14ac:dyDescent="0.25">
      <c r="B22" s="29" t="str">
        <f>'Market Data'!B20</f>
        <v>CAT</v>
      </c>
      <c r="C22" s="51" t="str">
        <f>'Market Data'!J20</f>
        <v>»TimeSeries-16705291694770987659</v>
      </c>
      <c r="D22" s="8" t="str">
        <f>_xll.TimeSeries.PreviousValueFill.apply($C$12,IFERROR(C22, ZERO_SERIES))</f>
        <v>»TimeSeries-16705291694770987660</v>
      </c>
      <c r="E22" s="8" t="str">
        <f>_xll.TimeSeries.Sample.apply($C$11,D22,$C$10)</f>
        <v>»TimeSeries-16705291694770987763</v>
      </c>
      <c r="F22" s="52" t="str">
        <f>_xll.TimeSeries.PercentageReturn.apply($C$13,E22)</f>
        <v>»TimeSeries-16705291694770987765</v>
      </c>
      <c r="G22" s="46">
        <f>_xll.TimeSeries.Mean.apply($H$12,$F22)</f>
        <v>6.3545919720494892E-3</v>
      </c>
      <c r="H22" s="7">
        <f>_xll.TimeSeries.Variance.apply($H$13,F22)</f>
        <v>4.5013491323716076E-3</v>
      </c>
      <c r="I22" s="47">
        <f t="shared" si="1"/>
        <v>6.7092094410381969E-2</v>
      </c>
      <c r="J22" s="10">
        <f>_xll.TimeSeries.Covariance.apply($K$12,F22,$F$51)</f>
        <v>1.5851064157470153E-3</v>
      </c>
      <c r="K22" s="10">
        <f>_xll.TimeSeries.Correlation.apply($K$13,F22,$F$51)</f>
        <v>0.69192797482748314</v>
      </c>
      <c r="L22" s="30">
        <f t="shared" si="0"/>
        <v>1.3595840289371997</v>
      </c>
      <c r="N22" s="103" t="str">
        <v>CAT</v>
      </c>
      <c r="O22" s="99">
        <v>0.34799282528886444</v>
      </c>
      <c r="P22" s="10">
        <v>0.57671565269153313</v>
      </c>
      <c r="Q22" s="10">
        <v>0.39106701723550363</v>
      </c>
      <c r="R22" s="10">
        <v>1</v>
      </c>
      <c r="S22" s="10">
        <v>0.42150662140977774</v>
      </c>
      <c r="T22" s="10">
        <v>0.58204783283961892</v>
      </c>
      <c r="U22" s="10">
        <v>0.53417667972334493</v>
      </c>
      <c r="V22" s="10">
        <v>0.44587114249173382</v>
      </c>
      <c r="W22" s="10">
        <v>0.61295517637382002</v>
      </c>
      <c r="X22" s="10">
        <v>0.50826356360060509</v>
      </c>
      <c r="Y22" s="10">
        <v>0.36317767365287795</v>
      </c>
      <c r="Z22" s="10">
        <v>0.5540648259930121</v>
      </c>
      <c r="AA22" s="10">
        <v>0.54940194615539606</v>
      </c>
      <c r="AB22" s="10">
        <v>0.36852341394475335</v>
      </c>
      <c r="AC22" s="10">
        <v>0.49632717169293894</v>
      </c>
      <c r="AD22" s="10">
        <v>0.28093206627023015</v>
      </c>
      <c r="AE22" s="10">
        <v>0.42992834831645205</v>
      </c>
      <c r="AF22" s="10">
        <v>0.47105539590011819</v>
      </c>
      <c r="AG22" s="10">
        <v>0.48633153752450425</v>
      </c>
      <c r="AH22" s="10">
        <v>0.50298473374737307</v>
      </c>
      <c r="AI22" s="10">
        <v>-3.1739909728658637E-2</v>
      </c>
      <c r="AJ22" s="10">
        <v>0.24044041428796675</v>
      </c>
      <c r="AK22" s="10">
        <v>0.19542743889603759</v>
      </c>
      <c r="AL22" s="10">
        <v>0.26393813492189905</v>
      </c>
      <c r="AM22" s="10">
        <v>0.58221399832158927</v>
      </c>
      <c r="AN22" s="10">
        <v>0.22735131338079184</v>
      </c>
      <c r="AO22" s="10">
        <v>0.35860756612083133</v>
      </c>
      <c r="AP22" s="10">
        <v>-7.3311092037259162E-2</v>
      </c>
      <c r="AQ22" s="30">
        <v>0.47492191624507735</v>
      </c>
    </row>
    <row r="23" spans="2:43" x14ac:dyDescent="0.25">
      <c r="B23" s="29" t="str">
        <f>'Market Data'!B21</f>
        <v>CSCO</v>
      </c>
      <c r="C23" s="51" t="str">
        <f>'Market Data'!J21</f>
        <v>»TimeSeries-16705291694770987560</v>
      </c>
      <c r="D23" s="8" t="str">
        <f>_xll.TimeSeries.PreviousValueFill.apply($C$12,IFERROR(C23, ZERO_SERIES))</f>
        <v>»TimeSeries-16705291694770987561</v>
      </c>
      <c r="E23" s="8" t="str">
        <f>_xll.TimeSeries.Sample.apply($C$11,D23,$C$10)</f>
        <v>»TimeSeries-16705291694770987774</v>
      </c>
      <c r="F23" s="52" t="str">
        <f>_xll.TimeSeries.PercentageReturn.apply($C$13,E23)</f>
        <v>»TimeSeries-16705291694770987776</v>
      </c>
      <c r="G23" s="46">
        <f>_xll.TimeSeries.Mean.apply($H$12,$F23)</f>
        <v>1.4928779568119917E-2</v>
      </c>
      <c r="H23" s="7">
        <f>_xll.TimeSeries.Variance.apply($H$13,F23)</f>
        <v>4.2943797540477393E-3</v>
      </c>
      <c r="I23" s="47">
        <f t="shared" si="1"/>
        <v>6.5531517257330002E-2</v>
      </c>
      <c r="J23" s="10">
        <f>_xll.TimeSeries.Covariance.apply($K$12,F23,$F$51)</f>
        <v>1.6253206432343581E-3</v>
      </c>
      <c r="K23" s="10">
        <f>_xll.TimeSeries.Correlation.apply($K$13,F23,$F$51)</f>
        <v>0.72637793504412129</v>
      </c>
      <c r="L23" s="30">
        <f t="shared" si="0"/>
        <v>1.3940767424135199</v>
      </c>
      <c r="N23" s="103" t="str">
        <v>CSCO</v>
      </c>
      <c r="O23" s="99">
        <v>0.53373579180203345</v>
      </c>
      <c r="P23" s="10">
        <v>0.54709184934146138</v>
      </c>
      <c r="Q23" s="10">
        <v>0.52997620436912973</v>
      </c>
      <c r="R23" s="10">
        <v>0.42150662140977774</v>
      </c>
      <c r="S23" s="10">
        <v>1</v>
      </c>
      <c r="T23" s="10">
        <v>0.43976673741003025</v>
      </c>
      <c r="U23" s="10">
        <v>0.66564948926812784</v>
      </c>
      <c r="V23" s="10">
        <v>0.51316657904683982</v>
      </c>
      <c r="W23" s="10">
        <v>0.57408971821387733</v>
      </c>
      <c r="X23" s="10">
        <v>0.48438298230152105</v>
      </c>
      <c r="Y23" s="10">
        <v>0.34594065721857481</v>
      </c>
      <c r="Z23" s="10">
        <v>0.5923518448251085</v>
      </c>
      <c r="AA23" s="10">
        <v>0.55319403309782933</v>
      </c>
      <c r="AB23" s="10">
        <v>0.46184080348954992</v>
      </c>
      <c r="AC23" s="10">
        <v>0.52614129435597545</v>
      </c>
      <c r="AD23" s="10">
        <v>0.4762250082736233</v>
      </c>
      <c r="AE23" s="10">
        <v>0.3220171896673088</v>
      </c>
      <c r="AF23" s="10">
        <v>0.58084396855932829</v>
      </c>
      <c r="AG23" s="10">
        <v>0.38967692424197881</v>
      </c>
      <c r="AH23" s="10">
        <v>0.4849680141348422</v>
      </c>
      <c r="AI23" s="10">
        <v>0.21109241785453892</v>
      </c>
      <c r="AJ23" s="10">
        <v>0.46953999326051249</v>
      </c>
      <c r="AK23" s="10">
        <v>0.43427106745410698</v>
      </c>
      <c r="AL23" s="10">
        <v>0.35587699410574664</v>
      </c>
      <c r="AM23" s="10">
        <v>0.56681812794435504</v>
      </c>
      <c r="AN23" s="10">
        <v>0.20223715747090365</v>
      </c>
      <c r="AO23" s="10">
        <v>0.71797675949268513</v>
      </c>
      <c r="AP23" s="10">
        <v>0.11324724601318666</v>
      </c>
      <c r="AQ23" s="30">
        <v>0.48667028630565468</v>
      </c>
    </row>
    <row r="24" spans="2:43" x14ac:dyDescent="0.25">
      <c r="B24" s="29" t="str">
        <f>'Market Data'!B22</f>
        <v>CVX</v>
      </c>
      <c r="C24" s="51" t="str">
        <f>'Market Data'!J22</f>
        <v>»TimeSeries-16705291694770987711</v>
      </c>
      <c r="D24" s="8" t="str">
        <f>_xll.TimeSeries.PreviousValueFill.apply($C$12,IFERROR(C24, ZERO_SERIES))</f>
        <v>»TimeSeries-16705291694770987712</v>
      </c>
      <c r="E24" s="8" t="str">
        <f>_xll.TimeSeries.Sample.apply($C$11,D24,$C$10)</f>
        <v>»TimeSeries-16705291694770987781</v>
      </c>
      <c r="F24" s="52" t="str">
        <f>_xll.TimeSeries.PercentageReturn.apply($C$13,E24)</f>
        <v>»TimeSeries-16705291694770987783</v>
      </c>
      <c r="G24" s="46">
        <f>_xll.TimeSeries.Mean.apply($H$12,$F24)</f>
        <v>2.6845541907593424E-3</v>
      </c>
      <c r="H24" s="7">
        <f>_xll.TimeSeries.Variance.apply($H$13,F24)</f>
        <v>3.2764948408559465E-3</v>
      </c>
      <c r="I24" s="47">
        <f t="shared" si="1"/>
        <v>5.7240674706505221E-2</v>
      </c>
      <c r="J24" s="10">
        <f>_xll.TimeSeries.Covariance.apply($K$12,F24,$F$51)</f>
        <v>1.3764398120064429E-3</v>
      </c>
      <c r="K24" s="10">
        <f>_xll.TimeSeries.Correlation.apply($K$13,F24,$F$51)</f>
        <v>0.70424909349063658</v>
      </c>
      <c r="L24" s="30">
        <f t="shared" si="0"/>
        <v>1.1806056467920805</v>
      </c>
      <c r="N24" s="103" t="str">
        <v>CVX</v>
      </c>
      <c r="O24" s="99">
        <v>0.30605167561440449</v>
      </c>
      <c r="P24" s="10">
        <v>0.38648110899611077</v>
      </c>
      <c r="Q24" s="10">
        <v>0.38332285115965836</v>
      </c>
      <c r="R24" s="10">
        <v>0.58204783283961892</v>
      </c>
      <c r="S24" s="10">
        <v>0.43976673741003025</v>
      </c>
      <c r="T24" s="10">
        <v>1</v>
      </c>
      <c r="U24" s="10">
        <v>0.58184181631065446</v>
      </c>
      <c r="V24" s="10">
        <v>0.56011111471714148</v>
      </c>
      <c r="W24" s="10">
        <v>0.68427107134838783</v>
      </c>
      <c r="X24" s="10">
        <v>0.62407718615150809</v>
      </c>
      <c r="Y24" s="10">
        <v>0.32108773055861173</v>
      </c>
      <c r="Z24" s="10">
        <v>0.51519068864970508</v>
      </c>
      <c r="AA24" s="10">
        <v>0.49330831522457252</v>
      </c>
      <c r="AB24" s="10">
        <v>0.47691824685756368</v>
      </c>
      <c r="AC24" s="10">
        <v>0.62445556299267335</v>
      </c>
      <c r="AD24" s="10">
        <v>0.3867214701783947</v>
      </c>
      <c r="AE24" s="10">
        <v>0.51750297653964294</v>
      </c>
      <c r="AF24" s="10">
        <v>0.5368340794801062</v>
      </c>
      <c r="AG24" s="10">
        <v>0.36543813252984908</v>
      </c>
      <c r="AH24" s="10">
        <v>0.49593732598696921</v>
      </c>
      <c r="AI24" s="10">
        <v>-0.10099334740444843</v>
      </c>
      <c r="AJ24" s="10">
        <v>0.38821669117873425</v>
      </c>
      <c r="AK24" s="10">
        <v>0.39243740422330831</v>
      </c>
      <c r="AL24" s="10">
        <v>0.35406900028238181</v>
      </c>
      <c r="AM24" s="10">
        <v>0.54954869645045168</v>
      </c>
      <c r="AN24" s="10">
        <v>0.29349169122355312</v>
      </c>
      <c r="AO24" s="10">
        <v>0.2670067401987819</v>
      </c>
      <c r="AP24" s="10">
        <v>5.7229207322924004E-2</v>
      </c>
      <c r="AQ24" s="30">
        <v>0.78424404307952034</v>
      </c>
    </row>
    <row r="25" spans="2:43" x14ac:dyDescent="0.25">
      <c r="B25" s="29" t="str">
        <f>'Market Data'!B23</f>
        <v>DD</v>
      </c>
      <c r="C25" s="51" t="str">
        <f>'Market Data'!J23</f>
        <v>»TimeSeries-16705291694770987672</v>
      </c>
      <c r="D25" s="8" t="str">
        <f>_xll.TimeSeries.PreviousValueFill.apply($C$12,IFERROR(C25, ZERO_SERIES))</f>
        <v>»TimeSeries-16705291694770987674</v>
      </c>
      <c r="E25" s="8" t="str">
        <f>_xll.TimeSeries.Sample.apply($C$11,D25,$C$10)</f>
        <v>»TimeSeries-16705291694770987727</v>
      </c>
      <c r="F25" s="52" t="str">
        <f>_xll.TimeSeries.PercentageReturn.apply($C$13,E25)</f>
        <v>»TimeSeries-16705291694770987728</v>
      </c>
      <c r="G25" s="46">
        <f>_xll.TimeSeries.Mean.apply($H$12,$F25)</f>
        <v>1.7349865519574785E-2</v>
      </c>
      <c r="H25" s="7">
        <f>_xll.TimeSeries.Variance.apply($H$13,F25)</f>
        <v>7.2090294001774871E-3</v>
      </c>
      <c r="I25" s="47">
        <f t="shared" si="1"/>
        <v>8.4906003322365184E-2</v>
      </c>
      <c r="J25" s="10">
        <f>_xll.TimeSeries.Covariance.apply($K$12,F25,$F$51)</f>
        <v>2.3301807745032955E-3</v>
      </c>
      <c r="K25" s="10">
        <f>_xll.TimeSeries.Correlation.apply($K$13,F25,$F$51)</f>
        <v>0.80375748741182829</v>
      </c>
      <c r="L25" s="30">
        <f t="shared" si="0"/>
        <v>1.9986522886276825</v>
      </c>
      <c r="N25" s="103" t="str">
        <v>DD</v>
      </c>
      <c r="O25" s="99">
        <v>0.45372876955646096</v>
      </c>
      <c r="P25" s="10">
        <v>0.55540974150253064</v>
      </c>
      <c r="Q25" s="10">
        <v>0.60911169961615208</v>
      </c>
      <c r="R25" s="10">
        <v>0.53417667972334493</v>
      </c>
      <c r="S25" s="10">
        <v>0.66564948926812784</v>
      </c>
      <c r="T25" s="10">
        <v>0.58184181631065446</v>
      </c>
      <c r="U25" s="10">
        <v>1</v>
      </c>
      <c r="V25" s="10">
        <v>0.66902574608953369</v>
      </c>
      <c r="W25" s="10">
        <v>0.71198862636679305</v>
      </c>
      <c r="X25" s="10">
        <v>0.52585179795881809</v>
      </c>
      <c r="Y25" s="10">
        <v>0.54586266726702726</v>
      </c>
      <c r="Z25" s="10">
        <v>0.48862502269168223</v>
      </c>
      <c r="AA25" s="10">
        <v>0.55354827932001538</v>
      </c>
      <c r="AB25" s="10">
        <v>0.5485595978256923</v>
      </c>
      <c r="AC25" s="10">
        <v>0.57317579186551593</v>
      </c>
      <c r="AD25" s="10">
        <v>0.46610597937351161</v>
      </c>
      <c r="AE25" s="10">
        <v>0.4363994216321973</v>
      </c>
      <c r="AF25" s="10">
        <v>0.65735329269830201</v>
      </c>
      <c r="AG25" s="10">
        <v>0.49126282488864359</v>
      </c>
      <c r="AH25" s="10">
        <v>0.60286959787313021</v>
      </c>
      <c r="AI25" s="10">
        <v>0.30970512578661841</v>
      </c>
      <c r="AJ25" s="10">
        <v>0.53795258092512588</v>
      </c>
      <c r="AK25" s="10">
        <v>0.36943231101512641</v>
      </c>
      <c r="AL25" s="10">
        <v>0.37030867140488638</v>
      </c>
      <c r="AM25" s="10">
        <v>0.73117100887191344</v>
      </c>
      <c r="AN25" s="10">
        <v>0.24167839534102351</v>
      </c>
      <c r="AO25" s="10">
        <v>0.59444339488780296</v>
      </c>
      <c r="AP25" s="10">
        <v>-6.2544502734023563E-3</v>
      </c>
      <c r="AQ25" s="30">
        <v>0.58068698297259047</v>
      </c>
    </row>
    <row r="26" spans="2:43" x14ac:dyDescent="0.25">
      <c r="B26" s="29" t="str">
        <f>'Market Data'!B24</f>
        <v>DIS</v>
      </c>
      <c r="C26" s="51" t="str">
        <f>'Market Data'!J24</f>
        <v>»TimeSeries-16705291694770987630</v>
      </c>
      <c r="D26" s="8" t="str">
        <f>_xll.TimeSeries.PreviousValueFill.apply($C$12,IFERROR(C26, ZERO_SERIES))</f>
        <v>»TimeSeries-16705291694770987744</v>
      </c>
      <c r="E26" s="8" t="str">
        <f>_xll.TimeSeries.Sample.apply($C$11,D26,$C$10)</f>
        <v>»TimeSeries-16705291694770987746</v>
      </c>
      <c r="F26" s="52" t="str">
        <f>_xll.TimeSeries.PercentageReturn.apply($C$13,E26)</f>
        <v>»TimeSeries-16705291694770987748</v>
      </c>
      <c r="G26" s="46">
        <f>_xll.TimeSeries.Mean.apply($H$12,$F26)</f>
        <v>1.7109009470709015E-2</v>
      </c>
      <c r="H26" s="7">
        <f>_xll.TimeSeries.Variance.apply($H$13,F26)</f>
        <v>3.2225637954133132E-3</v>
      </c>
      <c r="I26" s="47">
        <f t="shared" si="1"/>
        <v>5.6767629820288545E-2</v>
      </c>
      <c r="J26" s="10">
        <f>_xll.TimeSeries.Covariance.apply($K$12,F26,$F$51)</f>
        <v>1.537204250340647E-3</v>
      </c>
      <c r="K26" s="10">
        <f>_xll.TimeSeries.Correlation.apply($K$13,F26,$F$51)</f>
        <v>0.79305741492770021</v>
      </c>
      <c r="L26" s="30">
        <f t="shared" si="0"/>
        <v>1.3184971855612526</v>
      </c>
      <c r="N26" s="103" t="str">
        <v>DIS</v>
      </c>
      <c r="O26" s="99">
        <v>0.35823426723127333</v>
      </c>
      <c r="P26" s="10">
        <v>0.54474033292885726</v>
      </c>
      <c r="Q26" s="10">
        <v>0.63183847382878033</v>
      </c>
      <c r="R26" s="10">
        <v>0.44587114249173382</v>
      </c>
      <c r="S26" s="10">
        <v>0.51316657904683982</v>
      </c>
      <c r="T26" s="10">
        <v>0.56011111471714148</v>
      </c>
      <c r="U26" s="10">
        <v>0.66902574608953369</v>
      </c>
      <c r="V26" s="10">
        <v>1</v>
      </c>
      <c r="W26" s="10">
        <v>0.59081238484972387</v>
      </c>
      <c r="X26" s="10">
        <v>0.65327608152220129</v>
      </c>
      <c r="Y26" s="10">
        <v>0.58535567235498798</v>
      </c>
      <c r="Z26" s="10">
        <v>0.38077952954133965</v>
      </c>
      <c r="AA26" s="10">
        <v>0.41977952596227136</v>
      </c>
      <c r="AB26" s="10">
        <v>0.3656584954394802</v>
      </c>
      <c r="AC26" s="10">
        <v>0.67496983088066942</v>
      </c>
      <c r="AD26" s="10">
        <v>0.36880258761279888</v>
      </c>
      <c r="AE26" s="10">
        <v>0.43751109783953879</v>
      </c>
      <c r="AF26" s="10">
        <v>0.56308324760635242</v>
      </c>
      <c r="AG26" s="10">
        <v>0.39056186486433392</v>
      </c>
      <c r="AH26" s="10">
        <v>0.45580866886294913</v>
      </c>
      <c r="AI26" s="10">
        <v>0.39570291232981591</v>
      </c>
      <c r="AJ26" s="10">
        <v>0.53219895877247325</v>
      </c>
      <c r="AK26" s="10">
        <v>0.31381108523835527</v>
      </c>
      <c r="AL26" s="10">
        <v>0.39531508414270372</v>
      </c>
      <c r="AM26" s="10">
        <v>0.52155901873927457</v>
      </c>
      <c r="AN26" s="10">
        <v>0.22853149173319787</v>
      </c>
      <c r="AO26" s="10">
        <v>0.64350882162871181</v>
      </c>
      <c r="AP26" s="10">
        <v>-4.6862026284872016E-2</v>
      </c>
      <c r="AQ26" s="30">
        <v>0.54501192837534373</v>
      </c>
    </row>
    <row r="27" spans="2:43" x14ac:dyDescent="0.25">
      <c r="B27" s="29" t="str">
        <f>'Market Data'!B25</f>
        <v>GE</v>
      </c>
      <c r="C27" s="51" t="str">
        <f>'Market Data'!J25</f>
        <v>»TimeSeries-16705291694770987788</v>
      </c>
      <c r="D27" s="8" t="str">
        <f>_xll.TimeSeries.PreviousValueFill.apply($C$12,IFERROR(C27, ZERO_SERIES))</f>
        <v>»TimeSeries-16705291694770987795</v>
      </c>
      <c r="E27" s="8" t="str">
        <f>_xll.TimeSeries.Sample.apply($C$11,D27,$C$10)</f>
        <v>»TimeSeries-16705291694770987796</v>
      </c>
      <c r="F27" s="52" t="str">
        <f>_xll.TimeSeries.PercentageReturn.apply($C$13,E27)</f>
        <v>»TimeSeries-16705291694770987797</v>
      </c>
      <c r="G27" s="46">
        <f>_xll.TimeSeries.Mean.apply($H$12,$F27)</f>
        <v>9.2719197536449416E-3</v>
      </c>
      <c r="H27" s="7">
        <f>_xll.TimeSeries.Variance.apply($H$13,F27)</f>
        <v>2.8739818723832944E-3</v>
      </c>
      <c r="I27" s="47">
        <f t="shared" si="1"/>
        <v>5.3609531544150747E-2</v>
      </c>
      <c r="J27" s="10">
        <f>_xll.TimeSeries.Covariance.apply($K$12,F27,$F$51)</f>
        <v>1.4474153535959857E-3</v>
      </c>
      <c r="K27" s="10">
        <f>_xll.TimeSeries.Correlation.apply($K$13,F27,$F$51)</f>
        <v>0.79072410460672382</v>
      </c>
      <c r="L27" s="30">
        <f t="shared" si="0"/>
        <v>1.2414830817905591</v>
      </c>
      <c r="N27" s="103" t="str">
        <v>GE</v>
      </c>
      <c r="O27" s="99">
        <v>0.43573399198481461</v>
      </c>
      <c r="P27" s="10">
        <v>0.48152292226927884</v>
      </c>
      <c r="Q27" s="10">
        <v>0.52869503996804146</v>
      </c>
      <c r="R27" s="10">
        <v>0.61295517637382002</v>
      </c>
      <c r="S27" s="10">
        <v>0.57408971821387733</v>
      </c>
      <c r="T27" s="10">
        <v>0.68427107134838783</v>
      </c>
      <c r="U27" s="10">
        <v>0.71198862636679305</v>
      </c>
      <c r="V27" s="10">
        <v>0.59081238484972387</v>
      </c>
      <c r="W27" s="10">
        <v>1</v>
      </c>
      <c r="X27" s="10">
        <v>0.59419264590752652</v>
      </c>
      <c r="Y27" s="10">
        <v>0.50566806263264474</v>
      </c>
      <c r="Z27" s="10">
        <v>0.46988398629714945</v>
      </c>
      <c r="AA27" s="10">
        <v>0.55033951093356581</v>
      </c>
      <c r="AB27" s="10">
        <v>0.57699731360881945</v>
      </c>
      <c r="AC27" s="10">
        <v>0.61208152327704335</v>
      </c>
      <c r="AD27" s="10">
        <v>0.58188133063929537</v>
      </c>
      <c r="AE27" s="10">
        <v>0.6251630227335393</v>
      </c>
      <c r="AF27" s="10">
        <v>0.70495119892545788</v>
      </c>
      <c r="AG27" s="10">
        <v>0.27401793304888256</v>
      </c>
      <c r="AH27" s="10">
        <v>0.60028547997777448</v>
      </c>
      <c r="AI27" s="10">
        <v>0.24377665571203086</v>
      </c>
      <c r="AJ27" s="10">
        <v>0.43833722391696467</v>
      </c>
      <c r="AK27" s="10">
        <v>0.43049791292287787</v>
      </c>
      <c r="AL27" s="10">
        <v>0.29252457403076104</v>
      </c>
      <c r="AM27" s="10">
        <v>0.63843116765330699</v>
      </c>
      <c r="AN27" s="10">
        <v>0.42336386673101556</v>
      </c>
      <c r="AO27" s="10">
        <v>0.54156375910889343</v>
      </c>
      <c r="AP27" s="10">
        <v>1.3597946240028559E-2</v>
      </c>
      <c r="AQ27" s="30">
        <v>0.70614626301229466</v>
      </c>
    </row>
    <row r="28" spans="2:43" x14ac:dyDescent="0.25">
      <c r="B28" s="29" t="str">
        <f>'Market Data'!B26</f>
        <v>GS</v>
      </c>
      <c r="C28" s="51" t="str">
        <f>'Market Data'!J26</f>
        <v>»TimeSeries-16705291694770987734</v>
      </c>
      <c r="D28" s="8" t="str">
        <f>_xll.TimeSeries.PreviousValueFill.apply($C$12,IFERROR(C28, ZERO_SERIES))</f>
        <v>»TimeSeries-16705291694770987735</v>
      </c>
      <c r="E28" s="8" t="str">
        <f>_xll.TimeSeries.Sample.apply($C$11,D28,$C$10)</f>
        <v>»TimeSeries-16705291694770987751</v>
      </c>
      <c r="F28" s="52" t="str">
        <f>_xll.TimeSeries.PercentageReturn.apply($C$13,E28)</f>
        <v>»TimeSeries-16705291694770987752</v>
      </c>
      <c r="G28" s="46">
        <f>_xll.TimeSeries.Mean.apply($H$12,$F28)</f>
        <v>1.2775975133106521E-2</v>
      </c>
      <c r="H28" s="7">
        <f>_xll.TimeSeries.Variance.apply($H$13,F28)</f>
        <v>4.8815099105356504E-3</v>
      </c>
      <c r="I28" s="47">
        <f t="shared" si="1"/>
        <v>6.9867803103687537E-2</v>
      </c>
      <c r="J28" s="10">
        <f>_xll.TimeSeries.Covariance.apply($K$12,F28,$F$51)</f>
        <v>1.7730588982816276E-3</v>
      </c>
      <c r="K28" s="10">
        <f>_xll.TimeSeries.Correlation.apply($K$13,F28,$F$51)</f>
        <v>0.7432242817818534</v>
      </c>
      <c r="L28" s="30">
        <f t="shared" si="0"/>
        <v>1.520795409393779</v>
      </c>
      <c r="N28" s="103" t="str">
        <v>GS</v>
      </c>
      <c r="O28" s="99">
        <v>0.38568244115172895</v>
      </c>
      <c r="P28" s="10">
        <v>0.70026486602959015</v>
      </c>
      <c r="Q28" s="10">
        <v>0.52401764215921165</v>
      </c>
      <c r="R28" s="10">
        <v>0.50826356360060509</v>
      </c>
      <c r="S28" s="10">
        <v>0.48438298230152105</v>
      </c>
      <c r="T28" s="10">
        <v>0.62407718615150809</v>
      </c>
      <c r="U28" s="10">
        <v>0.52585179795881809</v>
      </c>
      <c r="V28" s="10">
        <v>0.65327608152220129</v>
      </c>
      <c r="W28" s="10">
        <v>0.59419264590752652</v>
      </c>
      <c r="X28" s="10">
        <v>1</v>
      </c>
      <c r="Y28" s="10">
        <v>0.5086595872565367</v>
      </c>
      <c r="Z28" s="10">
        <v>0.55066377852702175</v>
      </c>
      <c r="AA28" s="10">
        <v>0.41272185395241151</v>
      </c>
      <c r="AB28" s="10">
        <v>0.29228444279625365</v>
      </c>
      <c r="AC28" s="10">
        <v>0.90652528007598165</v>
      </c>
      <c r="AD28" s="10">
        <v>0.20842265434538235</v>
      </c>
      <c r="AE28" s="10">
        <v>0.40350223200424679</v>
      </c>
      <c r="AF28" s="10">
        <v>0.511492236804586</v>
      </c>
      <c r="AG28" s="10">
        <v>0.26979431145597993</v>
      </c>
      <c r="AH28" s="10">
        <v>0.42039585336514945</v>
      </c>
      <c r="AI28" s="10">
        <v>0.25473644508307841</v>
      </c>
      <c r="AJ28" s="10">
        <v>0.37629637745252309</v>
      </c>
      <c r="AK28" s="10">
        <v>0.26211830316859175</v>
      </c>
      <c r="AL28" s="10">
        <v>0.40372729258672324</v>
      </c>
      <c r="AM28" s="10">
        <v>0.55270793548127151</v>
      </c>
      <c r="AN28" s="10">
        <v>0.11884929243626412</v>
      </c>
      <c r="AO28" s="10">
        <v>0.48369857037165409</v>
      </c>
      <c r="AP28" s="10">
        <v>-1.7710693608748194E-2</v>
      </c>
      <c r="AQ28" s="30">
        <v>0.47931404214299866</v>
      </c>
    </row>
    <row r="29" spans="2:43" x14ac:dyDescent="0.25">
      <c r="B29" s="29" t="str">
        <f>'Market Data'!B27</f>
        <v>HD</v>
      </c>
      <c r="C29" s="51" t="str">
        <f>'Market Data'!J27</f>
        <v>»TimeSeries-16705291694770987696</v>
      </c>
      <c r="D29" s="8" t="str">
        <f>_xll.TimeSeries.PreviousValueFill.apply($C$12,IFERROR(C29, ZERO_SERIES))</f>
        <v>»TimeSeries-16705291694770987697</v>
      </c>
      <c r="E29" s="8" t="str">
        <f>_xll.TimeSeries.Sample.apply($C$11,D29,$C$10)</f>
        <v>»TimeSeries-16705291694770987759</v>
      </c>
      <c r="F29" s="52" t="str">
        <f>_xll.TimeSeries.PercentageReturn.apply($C$13,E29)</f>
        <v>»TimeSeries-16705291694770987761</v>
      </c>
      <c r="G29" s="46">
        <f>_xll.TimeSeries.Mean.apply($H$12,$F29)</f>
        <v>1.8352985528230569E-2</v>
      </c>
      <c r="H29" s="7">
        <f>_xll.TimeSeries.Variance.apply($H$13,F29)</f>
        <v>1.8880219117441428E-3</v>
      </c>
      <c r="I29" s="47">
        <f t="shared" si="1"/>
        <v>4.3451374106512938E-2</v>
      </c>
      <c r="J29" s="10">
        <f>_xll.TimeSeries.Covariance.apply($K$12,F29,$F$51)</f>
        <v>9.075998191922476E-4</v>
      </c>
      <c r="K29" s="10">
        <f>_xll.TimeSeries.Correlation.apply($K$13,F29,$F$51)</f>
        <v>0.61173693218747593</v>
      </c>
      <c r="L29" s="30">
        <f t="shared" si="0"/>
        <v>0.7784702696181699</v>
      </c>
      <c r="N29" s="103" t="str">
        <v>HD</v>
      </c>
      <c r="O29" s="99">
        <v>0.33779658320416001</v>
      </c>
      <c r="P29" s="10">
        <v>0.46412954470799034</v>
      </c>
      <c r="Q29" s="10">
        <v>0.48587032521691825</v>
      </c>
      <c r="R29" s="10">
        <v>0.36317767365287795</v>
      </c>
      <c r="S29" s="10">
        <v>0.34594065721857481</v>
      </c>
      <c r="T29" s="10">
        <v>0.32108773055861173</v>
      </c>
      <c r="U29" s="10">
        <v>0.54586266726702726</v>
      </c>
      <c r="V29" s="10">
        <v>0.58535567235498798</v>
      </c>
      <c r="W29" s="10">
        <v>0.50566806263264474</v>
      </c>
      <c r="X29" s="10">
        <v>0.5086595872565367</v>
      </c>
      <c r="Y29" s="10">
        <v>1</v>
      </c>
      <c r="Z29" s="10">
        <v>0.36980985307088893</v>
      </c>
      <c r="AA29" s="10">
        <v>0.34182916531680613</v>
      </c>
      <c r="AB29" s="10">
        <v>0.39227466744151129</v>
      </c>
      <c r="AC29" s="10">
        <v>0.54410985203316364</v>
      </c>
      <c r="AD29" s="10">
        <v>0.36750518838165486</v>
      </c>
      <c r="AE29" s="10">
        <v>0.4043457403592351</v>
      </c>
      <c r="AF29" s="10">
        <v>0.56134976632002875</v>
      </c>
      <c r="AG29" s="10">
        <v>0.32682179190519467</v>
      </c>
      <c r="AH29" s="10">
        <v>0.34060441888704229</v>
      </c>
      <c r="AI29" s="10">
        <v>0.32472468328299603</v>
      </c>
      <c r="AJ29" s="10">
        <v>0.39748190634525282</v>
      </c>
      <c r="AK29" s="10">
        <v>0.29084729237598045</v>
      </c>
      <c r="AL29" s="10">
        <v>0.33755665962897857</v>
      </c>
      <c r="AM29" s="10">
        <v>0.50790345731406783</v>
      </c>
      <c r="AN29" s="10">
        <v>5.6984502348261842E-2</v>
      </c>
      <c r="AO29" s="10">
        <v>0.45647778200388706</v>
      </c>
      <c r="AP29" s="10">
        <v>0.103932841296968</v>
      </c>
      <c r="AQ29" s="30">
        <v>0.30542306745803355</v>
      </c>
    </row>
    <row r="30" spans="2:43" x14ac:dyDescent="0.25">
      <c r="B30" s="29" t="str">
        <f>'Market Data'!B28</f>
        <v>IBM</v>
      </c>
      <c r="C30" s="51" t="str">
        <f>'Market Data'!J28</f>
        <v>»TimeSeries-16705291694770987605</v>
      </c>
      <c r="D30" s="8" t="str">
        <f>_xll.TimeSeries.PreviousValueFill.apply($C$12,IFERROR(C30, ZERO_SERIES))</f>
        <v>»TimeSeries-16705291694770987743</v>
      </c>
      <c r="E30" s="8" t="str">
        <f>_xll.TimeSeries.Sample.apply($C$11,D30,$C$10)</f>
        <v>»TimeSeries-16705291694770987745</v>
      </c>
      <c r="F30" s="52" t="str">
        <f>_xll.TimeSeries.PercentageReturn.apply($C$13,E30)</f>
        <v>»TimeSeries-16705291694770987747</v>
      </c>
      <c r="G30" s="46">
        <f>_xll.TimeSeries.Mean.apply($H$12,$F30)</f>
        <v>-1.0805706759468385E-4</v>
      </c>
      <c r="H30" s="7">
        <f>_xll.TimeSeries.Variance.apply($H$13,F30)</f>
        <v>3.3622126456479009E-3</v>
      </c>
      <c r="I30" s="47">
        <f t="shared" si="1"/>
        <v>5.7984589725615036E-2</v>
      </c>
      <c r="J30" s="10">
        <f>_xll.TimeSeries.Covariance.apply($K$12,F30,$F$51)</f>
        <v>1.2444538737476985E-3</v>
      </c>
      <c r="K30" s="10">
        <f>_xll.TimeSeries.Correlation.apply($K$13,F30,$F$51)</f>
        <v>0.62855028918293709</v>
      </c>
      <c r="L30" s="30">
        <f t="shared" si="0"/>
        <v>1.0673981220996058</v>
      </c>
      <c r="N30" s="103" t="str">
        <v>IBM</v>
      </c>
      <c r="O30" s="99">
        <v>0.45517342401509897</v>
      </c>
      <c r="P30" s="10">
        <v>0.53028550392683005</v>
      </c>
      <c r="Q30" s="10">
        <v>0.31967672367831762</v>
      </c>
      <c r="R30" s="10">
        <v>0.5540648259930121</v>
      </c>
      <c r="S30" s="10">
        <v>0.5923518448251085</v>
      </c>
      <c r="T30" s="10">
        <v>0.51519068864970508</v>
      </c>
      <c r="U30" s="10">
        <v>0.48862502269168223</v>
      </c>
      <c r="V30" s="10">
        <v>0.38077952954133965</v>
      </c>
      <c r="W30" s="10">
        <v>0.46988398629714945</v>
      </c>
      <c r="X30" s="10">
        <v>0.55066377852702175</v>
      </c>
      <c r="Y30" s="10">
        <v>0.36980985307088893</v>
      </c>
      <c r="Z30" s="10">
        <v>1</v>
      </c>
      <c r="AA30" s="10">
        <v>0.38805794517927966</v>
      </c>
      <c r="AB30" s="10">
        <v>0.27921385046464436</v>
      </c>
      <c r="AC30" s="10">
        <v>0.59623474464942916</v>
      </c>
      <c r="AD30" s="10">
        <v>0.2814146295902637</v>
      </c>
      <c r="AE30" s="10">
        <v>0.22377354521678305</v>
      </c>
      <c r="AF30" s="10">
        <v>0.40646501580849215</v>
      </c>
      <c r="AG30" s="10">
        <v>0.34532785429958385</v>
      </c>
      <c r="AH30" s="10">
        <v>0.36571553272986218</v>
      </c>
      <c r="AI30" s="10">
        <v>4.5497786603421422E-2</v>
      </c>
      <c r="AJ30" s="10">
        <v>0.27797659157515253</v>
      </c>
      <c r="AK30" s="10">
        <v>0.25415651386867122</v>
      </c>
      <c r="AL30" s="10">
        <v>0.34406851814793082</v>
      </c>
      <c r="AM30" s="10">
        <v>0.46609815068336408</v>
      </c>
      <c r="AN30" s="10">
        <v>7.7613504988176554E-2</v>
      </c>
      <c r="AO30" s="10">
        <v>0.3491880740927551</v>
      </c>
      <c r="AP30" s="10">
        <v>0.14782292626150048</v>
      </c>
      <c r="AQ30" s="30">
        <v>0.44035840258752768</v>
      </c>
    </row>
    <row r="31" spans="2:43" x14ac:dyDescent="0.25">
      <c r="B31" s="29" t="str">
        <f>'Market Data'!B29</f>
        <v>INTC</v>
      </c>
      <c r="C31" s="51" t="str">
        <f>'Market Data'!J29</f>
        <v>»TimeSeries-16705291694770987602</v>
      </c>
      <c r="D31" s="8" t="str">
        <f>_xll.TimeSeries.PreviousValueFill.apply($C$12,IFERROR(C31, ZERO_SERIES))</f>
        <v>»TimeSeries-16705291694770987603</v>
      </c>
      <c r="E31" s="8" t="str">
        <f>_xll.TimeSeries.Sample.apply($C$11,D31,$C$10)</f>
        <v>»TimeSeries-16705291694770987771</v>
      </c>
      <c r="F31" s="52" t="str">
        <f>_xll.TimeSeries.PercentageReturn.apply($C$13,E31)</f>
        <v>»TimeSeries-16705291694770987773</v>
      </c>
      <c r="G31" s="46">
        <f>_xll.TimeSeries.Mean.apply($H$12,$F31)</f>
        <v>1.4825313209679855E-2</v>
      </c>
      <c r="H31" s="7">
        <f>_xll.TimeSeries.Variance.apply($H$13,F31)</f>
        <v>3.8953291630483993E-3</v>
      </c>
      <c r="I31" s="47">
        <f t="shared" si="1"/>
        <v>6.2412572155363048E-2</v>
      </c>
      <c r="J31" s="10">
        <f>_xll.TimeSeries.Covariance.apply($K$12,F31,$F$51)</f>
        <v>1.3852196919872716E-3</v>
      </c>
      <c r="K31" s="10">
        <f>_xll.TimeSeries.Correlation.apply($K$13,F31,$F$51)</f>
        <v>0.65001052804187187</v>
      </c>
      <c r="L31" s="30">
        <f t="shared" si="0"/>
        <v>1.1881363617518672</v>
      </c>
      <c r="N31" s="103" t="str">
        <v>INTC</v>
      </c>
      <c r="O31" s="99">
        <v>0.38845687811603913</v>
      </c>
      <c r="P31" s="10">
        <v>0.5205159398176219</v>
      </c>
      <c r="Q31" s="10">
        <v>0.38921616391865438</v>
      </c>
      <c r="R31" s="10">
        <v>0.54940194615539606</v>
      </c>
      <c r="S31" s="10">
        <v>0.55319403309782933</v>
      </c>
      <c r="T31" s="10">
        <v>0.49330831522457252</v>
      </c>
      <c r="U31" s="10">
        <v>0.55354827932001538</v>
      </c>
      <c r="V31" s="10">
        <v>0.41977952596227136</v>
      </c>
      <c r="W31" s="10">
        <v>0.55033951093356581</v>
      </c>
      <c r="X31" s="10">
        <v>0.41272185395241151</v>
      </c>
      <c r="Y31" s="10">
        <v>0.34182916531680613</v>
      </c>
      <c r="Z31" s="10">
        <v>0.38805794517927966</v>
      </c>
      <c r="AA31" s="10">
        <v>1</v>
      </c>
      <c r="AB31" s="10">
        <v>0.38095165863378389</v>
      </c>
      <c r="AC31" s="10">
        <v>0.43327132938820295</v>
      </c>
      <c r="AD31" s="10">
        <v>0.50931806119280298</v>
      </c>
      <c r="AE31" s="10">
        <v>0.34995351658014112</v>
      </c>
      <c r="AF31" s="10">
        <v>0.48848919185285705</v>
      </c>
      <c r="AG31" s="10">
        <v>0.39657618035582515</v>
      </c>
      <c r="AH31" s="10">
        <v>0.66853342298364893</v>
      </c>
      <c r="AI31" s="10">
        <v>0.17671930903794958</v>
      </c>
      <c r="AJ31" s="10">
        <v>0.32201898872888379</v>
      </c>
      <c r="AK31" s="10">
        <v>0.337667716727995</v>
      </c>
      <c r="AL31" s="10">
        <v>0.20502287368527272</v>
      </c>
      <c r="AM31" s="10">
        <v>0.34635367931095246</v>
      </c>
      <c r="AN31" s="10">
        <v>0.29133157920649289</v>
      </c>
      <c r="AO31" s="10">
        <v>0.49237324452112918</v>
      </c>
      <c r="AP31" s="10">
        <v>-6.7759065296701141E-3</v>
      </c>
      <c r="AQ31" s="30">
        <v>0.40245138598650992</v>
      </c>
    </row>
    <row r="32" spans="2:43" x14ac:dyDescent="0.25">
      <c r="B32" s="29" t="str">
        <f>'Market Data'!B30</f>
        <v>JNJ</v>
      </c>
      <c r="C32" s="51" t="str">
        <f>'Market Data'!J30</f>
        <v>»TimeSeries-16705291694770987633</v>
      </c>
      <c r="D32" s="8" t="str">
        <f>_xll.TimeSeries.PreviousValueFill.apply($C$12,IFERROR(C32, ZERO_SERIES))</f>
        <v>»TimeSeries-16705291694770987634</v>
      </c>
      <c r="E32" s="8" t="str">
        <f>_xll.TimeSeries.Sample.apply($C$11,D32,$C$10)</f>
        <v>»TimeSeries-16705291694770987782</v>
      </c>
      <c r="F32" s="52" t="str">
        <f>_xll.TimeSeries.PercentageReturn.apply($C$13,E32)</f>
        <v>»TimeSeries-16705291694770987784</v>
      </c>
      <c r="G32" s="46">
        <f>_xll.TimeSeries.Mean.apply($H$12,$F32)</f>
        <v>1.2075919577819831E-2</v>
      </c>
      <c r="H32" s="7">
        <f>_xll.TimeSeries.Variance.apply($H$13,F32)</f>
        <v>1.3437205064186324E-3</v>
      </c>
      <c r="I32" s="47">
        <f t="shared" si="1"/>
        <v>3.6656793455219626E-2</v>
      </c>
      <c r="J32" s="10">
        <f>_xll.TimeSeries.Covariance.apply($K$12,F32,$F$51)</f>
        <v>7.9561471308557598E-4</v>
      </c>
      <c r="K32" s="10">
        <f>_xll.TimeSeries.Correlation.apply($K$13,F32,$F$51)</f>
        <v>0.63565599692871988</v>
      </c>
      <c r="L32" s="30">
        <f t="shared" si="0"/>
        <v>0.68241794137766132</v>
      </c>
      <c r="N32" s="103" t="str">
        <v>JNJ</v>
      </c>
      <c r="O32" s="99">
        <v>0.3354275139213817</v>
      </c>
      <c r="P32" s="10">
        <v>0.31635493357902145</v>
      </c>
      <c r="Q32" s="10">
        <v>0.34556393790434548</v>
      </c>
      <c r="R32" s="10">
        <v>0.36852341394475335</v>
      </c>
      <c r="S32" s="10">
        <v>0.46184080348954992</v>
      </c>
      <c r="T32" s="10">
        <v>0.47691824685756368</v>
      </c>
      <c r="U32" s="10">
        <v>0.5485595978256923</v>
      </c>
      <c r="V32" s="10">
        <v>0.3656584954394802</v>
      </c>
      <c r="W32" s="10">
        <v>0.57699731360881945</v>
      </c>
      <c r="X32" s="10">
        <v>0.29228444279625365</v>
      </c>
      <c r="Y32" s="10">
        <v>0.39227466744151129</v>
      </c>
      <c r="Z32" s="10">
        <v>0.27921385046464436</v>
      </c>
      <c r="AA32" s="10">
        <v>0.38095165863378389</v>
      </c>
      <c r="AB32" s="10">
        <v>1</v>
      </c>
      <c r="AC32" s="10">
        <v>0.41688660720954801</v>
      </c>
      <c r="AD32" s="10">
        <v>0.6264988912624726</v>
      </c>
      <c r="AE32" s="10">
        <v>0.46793778597702651</v>
      </c>
      <c r="AF32" s="10">
        <v>0.57346371512519567</v>
      </c>
      <c r="AG32" s="10">
        <v>0.42698927855924346</v>
      </c>
      <c r="AH32" s="10">
        <v>0.33833988676173143</v>
      </c>
      <c r="AI32" s="10">
        <v>0.12595222014805682</v>
      </c>
      <c r="AJ32" s="10">
        <v>0.64947491127298607</v>
      </c>
      <c r="AK32" s="10">
        <v>0.57134615147577394</v>
      </c>
      <c r="AL32" s="10">
        <v>0.27505995683965589</v>
      </c>
      <c r="AM32" s="10">
        <v>0.49174308502539543</v>
      </c>
      <c r="AN32" s="10">
        <v>0.4419875284220689</v>
      </c>
      <c r="AO32" s="10">
        <v>0.37138387118347693</v>
      </c>
      <c r="AP32" s="10">
        <v>0.4443502480606224</v>
      </c>
      <c r="AQ32" s="30">
        <v>0.4738637842018103</v>
      </c>
    </row>
    <row r="33" spans="2:43" x14ac:dyDescent="0.25">
      <c r="B33" s="29" t="str">
        <f>'Market Data'!B31</f>
        <v>JPM</v>
      </c>
      <c r="C33" s="51" t="str">
        <f>'Market Data'!J31</f>
        <v>»TimeSeries-16705291694770987803</v>
      </c>
      <c r="D33" s="8" t="str">
        <f>_xll.TimeSeries.PreviousValueFill.apply($C$12,IFERROR(C33, ZERO_SERIES))</f>
        <v>»TimeSeries-16705291694770987804</v>
      </c>
      <c r="E33" s="8" t="str">
        <f>_xll.TimeSeries.Sample.apply($C$11,D33,$C$10)</f>
        <v>»TimeSeries-16705291694770987806</v>
      </c>
      <c r="F33" s="52" t="str">
        <f>_xll.TimeSeries.PercentageReturn.apply($C$13,E33)</f>
        <v>»TimeSeries-16705291694770987807</v>
      </c>
      <c r="G33" s="46">
        <f>_xll.TimeSeries.Mean.apply($H$12,$F33)</f>
        <v>1.7183196749963128E-2</v>
      </c>
      <c r="H33" s="7">
        <f>_xll.TimeSeries.Variance.apply($H$13,F33)</f>
        <v>3.6504820104783621E-3</v>
      </c>
      <c r="I33" s="47">
        <f t="shared" si="1"/>
        <v>6.04192188833848E-2</v>
      </c>
      <c r="J33" s="10">
        <f>_xll.TimeSeries.Covariance.apply($K$12,F33,$F$51)</f>
        <v>1.5814650257640044E-3</v>
      </c>
      <c r="K33" s="10">
        <f>_xll.TimeSeries.Correlation.apply($K$13,F33,$F$51)</f>
        <v>0.76658144118851901</v>
      </c>
      <c r="L33" s="30">
        <f t="shared" si="0"/>
        <v>1.3564607208647255</v>
      </c>
      <c r="N33" s="103" t="str">
        <v>JPM</v>
      </c>
      <c r="O33" s="99">
        <v>0.30859021108286955</v>
      </c>
      <c r="P33" s="10">
        <v>0.72262710577814415</v>
      </c>
      <c r="Q33" s="10">
        <v>0.48860296842908557</v>
      </c>
      <c r="R33" s="10">
        <v>0.49632717169293894</v>
      </c>
      <c r="S33" s="10">
        <v>0.52614129435597545</v>
      </c>
      <c r="T33" s="10">
        <v>0.62445556299267335</v>
      </c>
      <c r="U33" s="10">
        <v>0.57317579186551593</v>
      </c>
      <c r="V33" s="10">
        <v>0.67496983088066942</v>
      </c>
      <c r="W33" s="10">
        <v>0.61208152327704335</v>
      </c>
      <c r="X33" s="10">
        <v>0.90652528007598165</v>
      </c>
      <c r="Y33" s="10">
        <v>0.54410985203316364</v>
      </c>
      <c r="Z33" s="10">
        <v>0.59623474464942916</v>
      </c>
      <c r="AA33" s="10">
        <v>0.43327132938820295</v>
      </c>
      <c r="AB33" s="10">
        <v>0.41688660720954801</v>
      </c>
      <c r="AC33" s="10">
        <v>1</v>
      </c>
      <c r="AD33" s="10">
        <v>0.2980582912239893</v>
      </c>
      <c r="AE33" s="10">
        <v>0.44728329180248161</v>
      </c>
      <c r="AF33" s="10">
        <v>0.50222003203054255</v>
      </c>
      <c r="AG33" s="10">
        <v>0.32503507884304428</v>
      </c>
      <c r="AH33" s="10">
        <v>0.51419887645295292</v>
      </c>
      <c r="AI33" s="10">
        <v>0.21531497185409032</v>
      </c>
      <c r="AJ33" s="10">
        <v>0.45585274305250001</v>
      </c>
      <c r="AK33" s="10">
        <v>0.32142615982455996</v>
      </c>
      <c r="AL33" s="10">
        <v>0.47183575684483481</v>
      </c>
      <c r="AM33" s="10">
        <v>0.54416998654996784</v>
      </c>
      <c r="AN33" s="10">
        <v>0.14590438402011144</v>
      </c>
      <c r="AO33" s="10">
        <v>0.53000421879066806</v>
      </c>
      <c r="AP33" s="10">
        <v>2.8302483670514467E-2</v>
      </c>
      <c r="AQ33" s="30">
        <v>0.53772272066661186</v>
      </c>
    </row>
    <row r="34" spans="2:43" x14ac:dyDescent="0.25">
      <c r="B34" s="29" t="str">
        <f>'Market Data'!B32</f>
        <v>KO</v>
      </c>
      <c r="C34" s="51" t="str">
        <f>'Market Data'!J32</f>
        <v>»TimeSeries-16705291694770987576</v>
      </c>
      <c r="D34" s="8" t="str">
        <f>_xll.TimeSeries.PreviousValueFill.apply($C$12,IFERROR(C34, ZERO_SERIES))</f>
        <v>»TimeSeries-16705291694770987738</v>
      </c>
      <c r="E34" s="8" t="str">
        <f>_xll.TimeSeries.Sample.apply($C$11,D34,$C$10)</f>
        <v>»TimeSeries-16705291694770987740</v>
      </c>
      <c r="F34" s="52" t="str">
        <f>_xll.TimeSeries.PercentageReturn.apply($C$13,E34)</f>
        <v>»TimeSeries-16705291694770987742</v>
      </c>
      <c r="G34" s="46">
        <f>_xll.TimeSeries.Mean.apply($H$12,$F34)</f>
        <v>4.1810541872704362E-3</v>
      </c>
      <c r="H34" s="7">
        <f>_xll.TimeSeries.Variance.apply($H$13,F34)</f>
        <v>1.2210270669043683E-3</v>
      </c>
      <c r="I34" s="47">
        <f t="shared" si="1"/>
        <v>3.4943197720076626E-2</v>
      </c>
      <c r="J34" s="10">
        <f>_xll.TimeSeries.Covariance.apply($K$12,F34,$F$51)</f>
        <v>6.2846686443511967E-4</v>
      </c>
      <c r="K34" s="10">
        <f>_xll.TimeSeries.Correlation.apply($K$13,F34,$F$51)</f>
        <v>0.52673667060896068</v>
      </c>
      <c r="L34" s="30">
        <f t="shared" si="0"/>
        <v>0.53905119751821162</v>
      </c>
      <c r="N34" s="103" t="str">
        <v>KO</v>
      </c>
      <c r="O34" s="99">
        <v>0.40935620232108366</v>
      </c>
      <c r="P34" s="10">
        <v>0.25298361936870051</v>
      </c>
      <c r="Q34" s="10">
        <v>0.45481388853036497</v>
      </c>
      <c r="R34" s="10">
        <v>0.28093206627023015</v>
      </c>
      <c r="S34" s="10">
        <v>0.4762250082736233</v>
      </c>
      <c r="T34" s="10">
        <v>0.3867214701783947</v>
      </c>
      <c r="U34" s="10">
        <v>0.46610597937351161</v>
      </c>
      <c r="V34" s="10">
        <v>0.36880258761279888</v>
      </c>
      <c r="W34" s="10">
        <v>0.58188133063929537</v>
      </c>
      <c r="X34" s="10">
        <v>0.20842265434538235</v>
      </c>
      <c r="Y34" s="10">
        <v>0.36750518838165486</v>
      </c>
      <c r="Z34" s="10">
        <v>0.2814146295902637</v>
      </c>
      <c r="AA34" s="10">
        <v>0.50931806119280298</v>
      </c>
      <c r="AB34" s="10">
        <v>0.6264988912624726</v>
      </c>
      <c r="AC34" s="10">
        <v>0.2980582912239893</v>
      </c>
      <c r="AD34" s="10">
        <v>1</v>
      </c>
      <c r="AE34" s="10">
        <v>0.53812765675624674</v>
      </c>
      <c r="AF34" s="10">
        <v>0.42929582732218347</v>
      </c>
      <c r="AG34" s="10">
        <v>0.32304444013524602</v>
      </c>
      <c r="AH34" s="10">
        <v>0.45285246243853255</v>
      </c>
      <c r="AI34" s="10">
        <v>0.23921233444085507</v>
      </c>
      <c r="AJ34" s="10">
        <v>0.36889396940008068</v>
      </c>
      <c r="AK34" s="10">
        <v>0.50081466984619394</v>
      </c>
      <c r="AL34" s="10">
        <v>8.2361779029227603E-2</v>
      </c>
      <c r="AM34" s="10">
        <v>0.29107163817614484</v>
      </c>
      <c r="AN34" s="10">
        <v>0.31092158731137848</v>
      </c>
      <c r="AO34" s="10">
        <v>0.44728236738465149</v>
      </c>
      <c r="AP34" s="10">
        <v>0.42200411108482871</v>
      </c>
      <c r="AQ34" s="30">
        <v>0.34508163630096189</v>
      </c>
    </row>
    <row r="35" spans="2:43" x14ac:dyDescent="0.25">
      <c r="B35" s="29" t="str">
        <f>'Market Data'!B33</f>
        <v>MCD</v>
      </c>
      <c r="C35" s="51" t="str">
        <f>'Market Data'!J33</f>
        <v>»TimeSeries-16705291694770987699</v>
      </c>
      <c r="D35" s="8" t="str">
        <f>_xll.TimeSeries.PreviousValueFill.apply($C$12,IFERROR(C35, ZERO_SERIES))</f>
        <v>»TimeSeries-16705291694770987700</v>
      </c>
      <c r="E35" s="8" t="str">
        <f>_xll.TimeSeries.Sample.apply($C$11,D35,$C$10)</f>
        <v>»TimeSeries-16705291694770987770</v>
      </c>
      <c r="F35" s="52" t="str">
        <f>_xll.TimeSeries.PercentageReturn.apply($C$13,E35)</f>
        <v>»TimeSeries-16705291694770987772</v>
      </c>
      <c r="G35" s="46">
        <f>_xll.TimeSeries.Mean.apply($H$12,$F35)</f>
        <v>8.998422120903465E-3</v>
      </c>
      <c r="H35" s="7">
        <f>_xll.TimeSeries.Variance.apply($H$13,F35)</f>
        <v>1.7650690545216805E-3</v>
      </c>
      <c r="I35" s="47">
        <f t="shared" si="1"/>
        <v>4.20127249118845E-2</v>
      </c>
      <c r="J35" s="10">
        <f>_xll.TimeSeries.Covariance.apply($K$12,F35,$F$51)</f>
        <v>7.4714989616848535E-4</v>
      </c>
      <c r="K35" s="10">
        <f>_xll.TimeSeries.Correlation.apply($K$13,F35,$F$51)</f>
        <v>0.52083565263384435</v>
      </c>
      <c r="L35" s="30">
        <f t="shared" si="0"/>
        <v>0.6408484982215128</v>
      </c>
      <c r="N35" s="103" t="str">
        <v>MCD</v>
      </c>
      <c r="O35" s="99">
        <v>0.15486160845701014</v>
      </c>
      <c r="P35" s="10">
        <v>0.22029507636177401</v>
      </c>
      <c r="Q35" s="10">
        <v>0.39097499804485442</v>
      </c>
      <c r="R35" s="10">
        <v>0.42992834831645205</v>
      </c>
      <c r="S35" s="10">
        <v>0.3220171896673088</v>
      </c>
      <c r="T35" s="10">
        <v>0.51750297653964294</v>
      </c>
      <c r="U35" s="10">
        <v>0.4363994216321973</v>
      </c>
      <c r="V35" s="10">
        <v>0.43751109783953879</v>
      </c>
      <c r="W35" s="10">
        <v>0.6251630227335393</v>
      </c>
      <c r="X35" s="10">
        <v>0.40350223200424679</v>
      </c>
      <c r="Y35" s="10">
        <v>0.4043457403592351</v>
      </c>
      <c r="Z35" s="10">
        <v>0.22377354521678305</v>
      </c>
      <c r="AA35" s="10">
        <v>0.34995351658014112</v>
      </c>
      <c r="AB35" s="10">
        <v>0.46793778597702651</v>
      </c>
      <c r="AC35" s="10">
        <v>0.44728329180248161</v>
      </c>
      <c r="AD35" s="10">
        <v>0.53812765675624674</v>
      </c>
      <c r="AE35" s="10">
        <v>1</v>
      </c>
      <c r="AF35" s="10">
        <v>0.43453283175169383</v>
      </c>
      <c r="AG35" s="10">
        <v>0.27784349452475032</v>
      </c>
      <c r="AH35" s="10">
        <v>0.43198588274796679</v>
      </c>
      <c r="AI35" s="10">
        <v>0.19789452347678946</v>
      </c>
      <c r="AJ35" s="10">
        <v>0.45790110402955703</v>
      </c>
      <c r="AK35" s="10">
        <v>0.25732278169433354</v>
      </c>
      <c r="AL35" s="10">
        <v>0.19293190308619704</v>
      </c>
      <c r="AM35" s="10">
        <v>0.37271474760143558</v>
      </c>
      <c r="AN35" s="10">
        <v>0.35677475955212323</v>
      </c>
      <c r="AO35" s="10">
        <v>0.39239060369549505</v>
      </c>
      <c r="AP35" s="10">
        <v>2.2984468932336504E-2</v>
      </c>
      <c r="AQ35" s="30">
        <v>0.36781259516360187</v>
      </c>
    </row>
    <row r="36" spans="2:43" x14ac:dyDescent="0.25">
      <c r="B36" s="29" t="str">
        <f>'Market Data'!B34</f>
        <v>MMM</v>
      </c>
      <c r="C36" s="51" t="str">
        <f>'Market Data'!J34</f>
        <v>»TimeSeries-16705291694770987568</v>
      </c>
      <c r="D36" s="8" t="str">
        <f>_xll.TimeSeries.PreviousValueFill.apply($C$12,IFERROR(C36, ZERO_SERIES))</f>
        <v>»TimeSeries-16705291694770987569</v>
      </c>
      <c r="E36" s="8" t="str">
        <f>_xll.TimeSeries.Sample.apply($C$11,D36,$C$10)</f>
        <v>»TimeSeries-16705291694770987777</v>
      </c>
      <c r="F36" s="52" t="str">
        <f>_xll.TimeSeries.PercentageReturn.apply($C$13,E36)</f>
        <v>»TimeSeries-16705291694770987779</v>
      </c>
      <c r="G36" s="46">
        <f>_xll.TimeSeries.Mean.apply($H$12,$F36)</f>
        <v>1.5280500930100561E-2</v>
      </c>
      <c r="H36" s="7">
        <f>_xll.TimeSeries.Variance.apply($H$13,F36)</f>
        <v>1.9007159701372343E-3</v>
      </c>
      <c r="I36" s="47">
        <f t="shared" si="1"/>
        <v>4.3597201402581269E-2</v>
      </c>
      <c r="J36" s="10">
        <f>_xll.TimeSeries.Covariance.apply($K$12,F36,$F$51)</f>
        <v>1.1718422639065539E-3</v>
      </c>
      <c r="K36" s="10">
        <f>_xll.TimeSeries.Correlation.apply($K$13,F36,$F$51)</f>
        <v>0.7871986863302769</v>
      </c>
      <c r="L36" s="30">
        <f t="shared" si="0"/>
        <v>1.005117391875626</v>
      </c>
      <c r="N36" s="103" t="str">
        <v>MMM</v>
      </c>
      <c r="O36" s="99">
        <v>0.54753988513301943</v>
      </c>
      <c r="P36" s="10">
        <v>0.49211894810758872</v>
      </c>
      <c r="Q36" s="10">
        <v>0.45758740630613093</v>
      </c>
      <c r="R36" s="10">
        <v>0.47105539590011819</v>
      </c>
      <c r="S36" s="10">
        <v>0.58084396855932829</v>
      </c>
      <c r="T36" s="10">
        <v>0.5368340794801062</v>
      </c>
      <c r="U36" s="10">
        <v>0.65735329269830201</v>
      </c>
      <c r="V36" s="10">
        <v>0.56308324760635242</v>
      </c>
      <c r="W36" s="10">
        <v>0.70495119892545788</v>
      </c>
      <c r="X36" s="10">
        <v>0.511492236804586</v>
      </c>
      <c r="Y36" s="10">
        <v>0.56134976632002875</v>
      </c>
      <c r="Z36" s="10">
        <v>0.40646501580849215</v>
      </c>
      <c r="AA36" s="10">
        <v>0.48848919185285705</v>
      </c>
      <c r="AB36" s="10">
        <v>0.57346371512519567</v>
      </c>
      <c r="AC36" s="10">
        <v>0.50222003203054255</v>
      </c>
      <c r="AD36" s="10">
        <v>0.42929582732218347</v>
      </c>
      <c r="AE36" s="10">
        <v>0.43453283175169383</v>
      </c>
      <c r="AF36" s="10">
        <v>1</v>
      </c>
      <c r="AG36" s="10">
        <v>0.42339701270606328</v>
      </c>
      <c r="AH36" s="10">
        <v>0.32199481559605891</v>
      </c>
      <c r="AI36" s="10">
        <v>0.33086373880852304</v>
      </c>
      <c r="AJ36" s="10">
        <v>0.51630674257792797</v>
      </c>
      <c r="AK36" s="10">
        <v>0.47640672227129838</v>
      </c>
      <c r="AL36" s="10">
        <v>0.50981042946876665</v>
      </c>
      <c r="AM36" s="10">
        <v>0.75486713564889529</v>
      </c>
      <c r="AN36" s="10">
        <v>0.30221315938345705</v>
      </c>
      <c r="AO36" s="10">
        <v>0.60372909630843918</v>
      </c>
      <c r="AP36" s="10">
        <v>0.23550586485113675</v>
      </c>
      <c r="AQ36" s="30">
        <v>0.67788469658637041</v>
      </c>
    </row>
    <row r="37" spans="2:43" x14ac:dyDescent="0.25">
      <c r="B37" s="29" t="str">
        <f>'Market Data'!B35</f>
        <v>MRK</v>
      </c>
      <c r="C37" s="51" t="str">
        <f>'Market Data'!J35</f>
        <v>»TimeSeries-16705291694770987678</v>
      </c>
      <c r="D37" s="8" t="str">
        <f>_xll.TimeSeries.PreviousValueFill.apply($C$12,IFERROR(C37, ZERO_SERIES))</f>
        <v>»TimeSeries-16705291694770987679</v>
      </c>
      <c r="E37" s="8" t="str">
        <f>_xll.TimeSeries.Sample.apply($C$11,D37,$C$10)</f>
        <v>»TimeSeries-16705291694770987720</v>
      </c>
      <c r="F37" s="52" t="str">
        <f>_xll.TimeSeries.PercentageReturn.apply($C$13,E37)</f>
        <v>»TimeSeries-16705291694770987721</v>
      </c>
      <c r="G37" s="46">
        <f>_xll.TimeSeries.Mean.apply($H$12,$F37)</f>
        <v>1.1473476041634185E-2</v>
      </c>
      <c r="H37" s="7">
        <f>_xll.TimeSeries.Variance.apply($H$13,F37)</f>
        <v>2.5431403633519077E-3</v>
      </c>
      <c r="I37" s="47">
        <f t="shared" si="1"/>
        <v>5.0429558429079147E-2</v>
      </c>
      <c r="J37" s="10">
        <f>_xll.TimeSeries.Covariance.apply($K$12,F37,$F$51)</f>
        <v>9.5681216137032089E-4</v>
      </c>
      <c r="K37" s="10">
        <f>_xll.TimeSeries.Correlation.apply($K$13,F37,$F$51)</f>
        <v>0.55566793515588397</v>
      </c>
      <c r="L37" s="30">
        <f t="shared" si="0"/>
        <v>0.82068088323200039</v>
      </c>
      <c r="N37" s="103" t="str">
        <v>MRK</v>
      </c>
      <c r="O37" s="99">
        <v>0.19557437228185834</v>
      </c>
      <c r="P37" s="10">
        <v>0.29752958276916208</v>
      </c>
      <c r="Q37" s="10">
        <v>0.43793731337531155</v>
      </c>
      <c r="R37" s="10">
        <v>0.48633153752450425</v>
      </c>
      <c r="S37" s="10">
        <v>0.38967692424197881</v>
      </c>
      <c r="T37" s="10">
        <v>0.36543813252984908</v>
      </c>
      <c r="U37" s="10">
        <v>0.49126282488864359</v>
      </c>
      <c r="V37" s="10">
        <v>0.39056186486433392</v>
      </c>
      <c r="W37" s="10">
        <v>0.27401793304888256</v>
      </c>
      <c r="X37" s="10">
        <v>0.26979431145597993</v>
      </c>
      <c r="Y37" s="10">
        <v>0.32682179190519467</v>
      </c>
      <c r="Z37" s="10">
        <v>0.34532785429958385</v>
      </c>
      <c r="AA37" s="10">
        <v>0.39657618035582515</v>
      </c>
      <c r="AB37" s="10">
        <v>0.42698927855924346</v>
      </c>
      <c r="AC37" s="10">
        <v>0.32503507884304428</v>
      </c>
      <c r="AD37" s="10">
        <v>0.32304444013524602</v>
      </c>
      <c r="AE37" s="10">
        <v>0.27784349452475032</v>
      </c>
      <c r="AF37" s="10">
        <v>0.42339701270606328</v>
      </c>
      <c r="AG37" s="10">
        <v>1</v>
      </c>
      <c r="AH37" s="10">
        <v>0.29411551461359264</v>
      </c>
      <c r="AI37" s="10">
        <v>0.12960822573068093</v>
      </c>
      <c r="AJ37" s="10">
        <v>0.53892367424260523</v>
      </c>
      <c r="AK37" s="10">
        <v>0.19810816211825047</v>
      </c>
      <c r="AL37" s="10">
        <v>0.38525025997863382</v>
      </c>
      <c r="AM37" s="10">
        <v>0.51744400455570894</v>
      </c>
      <c r="AN37" s="10">
        <v>0.14483612145073005</v>
      </c>
      <c r="AO37" s="10">
        <v>0.39096908853791107</v>
      </c>
      <c r="AP37" s="10">
        <v>0.19839003500661895</v>
      </c>
      <c r="AQ37" s="30">
        <v>0.26869036430019522</v>
      </c>
    </row>
    <row r="38" spans="2:43" x14ac:dyDescent="0.25">
      <c r="B38" s="29" t="str">
        <f>'Market Data'!B36</f>
        <v>MSFT</v>
      </c>
      <c r="C38" s="51" t="str">
        <f>'Market Data'!J36</f>
        <v>»TimeSeries-16705291694770987553</v>
      </c>
      <c r="D38" s="8" t="str">
        <f>_xll.TimeSeries.PreviousValueFill.apply($C$12,IFERROR(C38, ZERO_SERIES))</f>
        <v>»TimeSeries-16705291694770987554</v>
      </c>
      <c r="E38" s="8" t="str">
        <f>_xll.TimeSeries.Sample.apply($C$11,D38,$C$10)</f>
        <v>»TimeSeries-16705291694770987725</v>
      </c>
      <c r="F38" s="52" t="str">
        <f>_xll.TimeSeries.PercentageReturn.apply($C$13,E38)</f>
        <v>»TimeSeries-16705291694770987726</v>
      </c>
      <c r="G38" s="46">
        <f>_xll.TimeSeries.Mean.apply($H$12,$F38)</f>
        <v>2.1777833497491961E-2</v>
      </c>
      <c r="H38" s="7">
        <f>_xll.TimeSeries.Variance.apply($H$13,F38)</f>
        <v>4.5817164894349687E-3</v>
      </c>
      <c r="I38" s="47">
        <f t="shared" si="1"/>
        <v>6.7688377801768659E-2</v>
      </c>
      <c r="J38" s="10">
        <f>_xll.TimeSeries.Covariance.apply($K$12,F38,$F$51)</f>
        <v>1.3820417883967178E-3</v>
      </c>
      <c r="K38" s="10">
        <f>_xll.TimeSeries.Correlation.apply($K$13,F38,$F$51)</f>
        <v>0.59797204874618981</v>
      </c>
      <c r="L38" s="30">
        <f t="shared" si="0"/>
        <v>1.1854105971443327</v>
      </c>
      <c r="N38" s="103" t="str">
        <v>MSFT</v>
      </c>
      <c r="O38" s="99">
        <v>0.38813990707578205</v>
      </c>
      <c r="P38" s="10">
        <v>0.40438370615539154</v>
      </c>
      <c r="Q38" s="10">
        <v>0.3531425892345314</v>
      </c>
      <c r="R38" s="10">
        <v>0.50298473374737307</v>
      </c>
      <c r="S38" s="10">
        <v>0.4849680141348422</v>
      </c>
      <c r="T38" s="10">
        <v>0.49593732598696921</v>
      </c>
      <c r="U38" s="10">
        <v>0.60286959787313021</v>
      </c>
      <c r="V38" s="10">
        <v>0.45580866886294913</v>
      </c>
      <c r="W38" s="10">
        <v>0.60028547997777448</v>
      </c>
      <c r="X38" s="10">
        <v>0.42039585336514945</v>
      </c>
      <c r="Y38" s="10">
        <v>0.34060441888704229</v>
      </c>
      <c r="Z38" s="10">
        <v>0.36571553272986218</v>
      </c>
      <c r="AA38" s="10">
        <v>0.66853342298364893</v>
      </c>
      <c r="AB38" s="10">
        <v>0.33833988676173143</v>
      </c>
      <c r="AC38" s="10">
        <v>0.51419887645295292</v>
      </c>
      <c r="AD38" s="10">
        <v>0.45285246243853255</v>
      </c>
      <c r="AE38" s="10">
        <v>0.43198588274796679</v>
      </c>
      <c r="AF38" s="10">
        <v>0.32199481559605891</v>
      </c>
      <c r="AG38" s="10">
        <v>0.29411551461359264</v>
      </c>
      <c r="AH38" s="10">
        <v>1</v>
      </c>
      <c r="AI38" s="10">
        <v>0.25812350780072307</v>
      </c>
      <c r="AJ38" s="10">
        <v>0.32951414115237865</v>
      </c>
      <c r="AK38" s="10">
        <v>0.40509605221642914</v>
      </c>
      <c r="AL38" s="10">
        <v>8.0308431955736462E-2</v>
      </c>
      <c r="AM38" s="10">
        <v>0.24480888383883018</v>
      </c>
      <c r="AN38" s="10">
        <v>0.24374233777419502</v>
      </c>
      <c r="AO38" s="10">
        <v>0.37175280251715304</v>
      </c>
      <c r="AP38" s="10">
        <v>-0.11774501984773991</v>
      </c>
      <c r="AQ38" s="30">
        <v>0.42019927531220452</v>
      </c>
    </row>
    <row r="39" spans="2:43" x14ac:dyDescent="0.25">
      <c r="B39" s="29" t="str">
        <f>'Market Data'!B37</f>
        <v>NKE</v>
      </c>
      <c r="C39" s="51" t="str">
        <f>'Market Data'!J37</f>
        <v>»TimeSeries-16705291694770987649</v>
      </c>
      <c r="D39" s="8" t="str">
        <f>_xll.TimeSeries.PreviousValueFill.apply($C$12,IFERROR(C39, ZERO_SERIES))</f>
        <v>»TimeSeries-16705291694770987650</v>
      </c>
      <c r="E39" s="8" t="str">
        <f>_xll.TimeSeries.Sample.apply($C$11,D39,$C$10)</f>
        <v>»TimeSeries-16705291694770987766</v>
      </c>
      <c r="F39" s="52" t="str">
        <f>_xll.TimeSeries.PercentageReturn.apply($C$13,E39)</f>
        <v>»TimeSeries-16705291694770987769</v>
      </c>
      <c r="G39" s="46">
        <f>_xll.TimeSeries.Mean.apply($H$12,$F39)</f>
        <v>1.5970247269241938E-2</v>
      </c>
      <c r="H39" s="7">
        <f>_xll.TimeSeries.Variance.apply($H$13,F39)</f>
        <v>2.7193308407813446E-3</v>
      </c>
      <c r="I39" s="47">
        <f t="shared" si="1"/>
        <v>5.2147203575851932E-2</v>
      </c>
      <c r="J39" s="10">
        <f>_xll.TimeSeries.Covariance.apply($K$12,F39,$F$51)</f>
        <v>5.3200840937748508E-4</v>
      </c>
      <c r="K39" s="10">
        <f>_xll.TimeSeries.Correlation.apply($K$13,F39,$F$51)</f>
        <v>0.29878671834142351</v>
      </c>
      <c r="L39" s="30">
        <f t="shared" si="0"/>
        <v>0.45631645261434189</v>
      </c>
      <c r="N39" s="103" t="str">
        <v>NKE</v>
      </c>
      <c r="O39" s="99">
        <v>0.21131374666346497</v>
      </c>
      <c r="P39" s="10">
        <v>0.27492626998975589</v>
      </c>
      <c r="Q39" s="10">
        <v>0.37081151554658087</v>
      </c>
      <c r="R39" s="10">
        <v>-3.1739909728658637E-2</v>
      </c>
      <c r="S39" s="10">
        <v>0.21109241785453892</v>
      </c>
      <c r="T39" s="10">
        <v>-0.10099334740444843</v>
      </c>
      <c r="U39" s="10">
        <v>0.30970512578661841</v>
      </c>
      <c r="V39" s="10">
        <v>0.39570291232981591</v>
      </c>
      <c r="W39" s="10">
        <v>0.24377665571203086</v>
      </c>
      <c r="X39" s="10">
        <v>0.25473644508307841</v>
      </c>
      <c r="Y39" s="10">
        <v>0.32472468328299603</v>
      </c>
      <c r="Z39" s="10">
        <v>4.5497786603421422E-2</v>
      </c>
      <c r="AA39" s="10">
        <v>0.17671930903794958</v>
      </c>
      <c r="AB39" s="10">
        <v>0.12595222014805682</v>
      </c>
      <c r="AC39" s="10">
        <v>0.21531497185409032</v>
      </c>
      <c r="AD39" s="10">
        <v>0.23921233444085507</v>
      </c>
      <c r="AE39" s="10">
        <v>0.19789452347678946</v>
      </c>
      <c r="AF39" s="10">
        <v>0.33086373880852304</v>
      </c>
      <c r="AG39" s="10">
        <v>0.12960822573068093</v>
      </c>
      <c r="AH39" s="10">
        <v>0.25812350780072307</v>
      </c>
      <c r="AI39" s="10">
        <v>1</v>
      </c>
      <c r="AJ39" s="10">
        <v>0.21999377834585343</v>
      </c>
      <c r="AK39" s="10">
        <v>0.18652160215667551</v>
      </c>
      <c r="AL39" s="10">
        <v>3.8852314094025273E-2</v>
      </c>
      <c r="AM39" s="10">
        <v>0.16789355697922442</v>
      </c>
      <c r="AN39" s="10">
        <v>4.3619436975521463E-3</v>
      </c>
      <c r="AO39" s="10">
        <v>0.38371794553785915</v>
      </c>
      <c r="AP39" s="10">
        <v>5.7980757362981411E-3</v>
      </c>
      <c r="AQ39" s="30">
        <v>-8.8032490216713249E-2</v>
      </c>
    </row>
    <row r="40" spans="2:43" x14ac:dyDescent="0.25">
      <c r="B40" s="29" t="str">
        <f>'Market Data'!B38</f>
        <v>PFE</v>
      </c>
      <c r="C40" s="51" t="str">
        <f>'Market Data'!J38</f>
        <v>»TimeSeries-16705291694770987592</v>
      </c>
      <c r="D40" s="8" t="str">
        <f>_xll.TimeSeries.PreviousValueFill.apply($C$12,IFERROR(C40, ZERO_SERIES))</f>
        <v>»TimeSeries-16705291694770987749</v>
      </c>
      <c r="E40" s="8" t="str">
        <f>_xll.TimeSeries.Sample.apply($C$11,D40,$C$10)</f>
        <v>»TimeSeries-16705291694770987750</v>
      </c>
      <c r="F40" s="52" t="str">
        <f>_xll.TimeSeries.PercentageReturn.apply($C$13,E40)</f>
        <v>»TimeSeries-16705291694770987753</v>
      </c>
      <c r="G40" s="46">
        <f>_xll.TimeSeries.Mean.apply($H$12,$F40)</f>
        <v>7.6042605716081235E-3</v>
      </c>
      <c r="H40" s="7">
        <f>_xll.TimeSeries.Variance.apply($H$13,F40)</f>
        <v>2.4354805215546461E-3</v>
      </c>
      <c r="I40" s="47">
        <f t="shared" si="1"/>
        <v>4.9350587854195271E-2</v>
      </c>
      <c r="J40" s="10">
        <f>_xll.TimeSeries.Covariance.apply($K$12,F40,$F$51)</f>
        <v>1.0995373501851027E-3</v>
      </c>
      <c r="K40" s="10">
        <f>_xll.TimeSeries.Correlation.apply($K$13,F40,$F$51)</f>
        <v>0.65251646010001674</v>
      </c>
      <c r="L40" s="30">
        <f t="shared" si="0"/>
        <v>0.94309972231554229</v>
      </c>
      <c r="N40" s="103" t="str">
        <v>PFE</v>
      </c>
      <c r="O40" s="99">
        <v>0.33322099653942516</v>
      </c>
      <c r="P40" s="10">
        <v>0.32035828432258384</v>
      </c>
      <c r="Q40" s="10">
        <v>0.42909861042856468</v>
      </c>
      <c r="R40" s="10">
        <v>0.24044041428796675</v>
      </c>
      <c r="S40" s="10">
        <v>0.46953999326051249</v>
      </c>
      <c r="T40" s="10">
        <v>0.38821669117873425</v>
      </c>
      <c r="U40" s="10">
        <v>0.53795258092512588</v>
      </c>
      <c r="V40" s="10">
        <v>0.53219895877247325</v>
      </c>
      <c r="W40" s="10">
        <v>0.43833722391696467</v>
      </c>
      <c r="X40" s="10">
        <v>0.37629637745252309</v>
      </c>
      <c r="Y40" s="10">
        <v>0.39748190634525282</v>
      </c>
      <c r="Z40" s="10">
        <v>0.27797659157515253</v>
      </c>
      <c r="AA40" s="10">
        <v>0.32201898872888379</v>
      </c>
      <c r="AB40" s="10">
        <v>0.64947491127298607</v>
      </c>
      <c r="AC40" s="10">
        <v>0.45585274305250001</v>
      </c>
      <c r="AD40" s="10">
        <v>0.36889396940008068</v>
      </c>
      <c r="AE40" s="10">
        <v>0.45790110402955703</v>
      </c>
      <c r="AF40" s="10">
        <v>0.51630674257792797</v>
      </c>
      <c r="AG40" s="10">
        <v>0.53892367424260523</v>
      </c>
      <c r="AH40" s="10">
        <v>0.32951414115237865</v>
      </c>
      <c r="AI40" s="10">
        <v>0.21999377834585343</v>
      </c>
      <c r="AJ40" s="10">
        <v>1</v>
      </c>
      <c r="AK40" s="10">
        <v>0.41911024022309262</v>
      </c>
      <c r="AL40" s="10">
        <v>0.34531969342290553</v>
      </c>
      <c r="AM40" s="10">
        <v>0.48826573221181757</v>
      </c>
      <c r="AN40" s="10">
        <v>0.31269193123138983</v>
      </c>
      <c r="AO40" s="10">
        <v>0.53816059691182605</v>
      </c>
      <c r="AP40" s="10">
        <v>0.28519415626581363</v>
      </c>
      <c r="AQ40" s="30">
        <v>0.38597484697557333</v>
      </c>
    </row>
    <row r="41" spans="2:43" x14ac:dyDescent="0.25">
      <c r="B41" s="29" t="str">
        <f>'Market Data'!B39</f>
        <v>PG</v>
      </c>
      <c r="C41" s="51" t="str">
        <f>'Market Data'!J39</f>
        <v>»TimeSeries-16705291694770987531</v>
      </c>
      <c r="D41" s="8" t="str">
        <f>_xll.TimeSeries.PreviousValueFill.apply($C$12,IFERROR(C41, ZERO_SERIES))</f>
        <v>»TimeSeries-16705291694770987532</v>
      </c>
      <c r="E41" s="8" t="str">
        <f>_xll.TimeSeries.Sample.apply($C$11,D41,$C$10)</f>
        <v>»TimeSeries-16705291694770987755</v>
      </c>
      <c r="F41" s="52" t="str">
        <f>_xll.TimeSeries.PercentageReturn.apply($C$13,E41)</f>
        <v>»TimeSeries-16705291694770987757</v>
      </c>
      <c r="G41" s="46">
        <f>_xll.TimeSeries.Mean.apply($H$12,$F41)</f>
        <v>6.7668222923833359E-3</v>
      </c>
      <c r="H41" s="7">
        <f>_xll.TimeSeries.Variance.apply($H$13,F41)</f>
        <v>1.4111752678343567E-3</v>
      </c>
      <c r="I41" s="47">
        <f t="shared" si="1"/>
        <v>3.756561283719935E-2</v>
      </c>
      <c r="J41" s="10">
        <f>_xll.TimeSeries.Covariance.apply($K$12,F41,$F$51)</f>
        <v>6.498686300321321E-4</v>
      </c>
      <c r="K41" s="10">
        <f>_xll.TimeSeries.Correlation.apply($K$13,F41,$F$51)</f>
        <v>0.50665100744969915</v>
      </c>
      <c r="L41" s="30">
        <f t="shared" si="0"/>
        <v>0.55740800839708438</v>
      </c>
      <c r="N41" s="103" t="str">
        <v>PG</v>
      </c>
      <c r="O41" s="99">
        <v>0.40942666891835811</v>
      </c>
      <c r="P41" s="10">
        <v>0.17327260891473817</v>
      </c>
      <c r="Q41" s="10">
        <v>0.26103964468810154</v>
      </c>
      <c r="R41" s="10">
        <v>0.19542743889603759</v>
      </c>
      <c r="S41" s="10">
        <v>0.43427106745410698</v>
      </c>
      <c r="T41" s="10">
        <v>0.39243740422330831</v>
      </c>
      <c r="U41" s="10">
        <v>0.36943231101512641</v>
      </c>
      <c r="V41" s="10">
        <v>0.31381108523835527</v>
      </c>
      <c r="W41" s="10">
        <v>0.43049791292287787</v>
      </c>
      <c r="X41" s="10">
        <v>0.26211830316859175</v>
      </c>
      <c r="Y41" s="10">
        <v>0.29084729237598045</v>
      </c>
      <c r="Z41" s="10">
        <v>0.25415651386867122</v>
      </c>
      <c r="AA41" s="10">
        <v>0.337667716727995</v>
      </c>
      <c r="AB41" s="10">
        <v>0.57134615147577394</v>
      </c>
      <c r="AC41" s="10">
        <v>0.32142615982455996</v>
      </c>
      <c r="AD41" s="10">
        <v>0.50081466984619394</v>
      </c>
      <c r="AE41" s="10">
        <v>0.25732278169433354</v>
      </c>
      <c r="AF41" s="10">
        <v>0.47640672227129838</v>
      </c>
      <c r="AG41" s="10">
        <v>0.19810816211825047</v>
      </c>
      <c r="AH41" s="10">
        <v>0.40509605221642914</v>
      </c>
      <c r="AI41" s="10">
        <v>0.18652160215667551</v>
      </c>
      <c r="AJ41" s="10">
        <v>0.41911024022309262</v>
      </c>
      <c r="AK41" s="10">
        <v>1</v>
      </c>
      <c r="AL41" s="10">
        <v>0.10364990499769174</v>
      </c>
      <c r="AM41" s="10">
        <v>0.30358064032652105</v>
      </c>
      <c r="AN41" s="10">
        <v>0.13864172314353143</v>
      </c>
      <c r="AO41" s="10">
        <v>0.40367773608507235</v>
      </c>
      <c r="AP41" s="10">
        <v>0.43978318506475095</v>
      </c>
      <c r="AQ41" s="30">
        <v>0.3785365719434296</v>
      </c>
    </row>
    <row r="42" spans="2:43" x14ac:dyDescent="0.25">
      <c r="B42" s="29" t="str">
        <f>'Market Data'!B40</f>
        <v>UNH</v>
      </c>
      <c r="C42" s="51" t="str">
        <f>'Market Data'!J40</f>
        <v>»TimeSeries-16705291694770987534</v>
      </c>
      <c r="D42" s="8" t="str">
        <f>_xll.TimeSeries.PreviousValueFill.apply($C$12,IFERROR(C42, ZERO_SERIES))</f>
        <v>»TimeSeries-16705291694770987535</v>
      </c>
      <c r="E42" s="8" t="str">
        <f>_xll.TimeSeries.Sample.apply($C$11,D42,$C$10)</f>
        <v>»TimeSeries-16705291694770987729</v>
      </c>
      <c r="F42" s="52" t="str">
        <f>_xll.TimeSeries.PercentageReturn.apply($C$13,E42)</f>
        <v>»TimeSeries-16705291694770987730</v>
      </c>
      <c r="G42" s="46">
        <f>_xll.TimeSeries.Mean.apply($H$12,$F42)</f>
        <v>2.4695057092687361E-2</v>
      </c>
      <c r="H42" s="7">
        <f>_xll.TimeSeries.Variance.apply($H$13,F42)</f>
        <v>1.9588021355587989E-3</v>
      </c>
      <c r="I42" s="47">
        <f t="shared" si="1"/>
        <v>4.4258356674856322E-2</v>
      </c>
      <c r="J42" s="10">
        <f>_xll.TimeSeries.Covariance.apply($K$12,F42,$F$51)</f>
        <v>6.8053629975220356E-4</v>
      </c>
      <c r="K42" s="10">
        <f>_xll.TimeSeries.Correlation.apply($K$13,F42,$F$51)</f>
        <v>0.45032890764589828</v>
      </c>
      <c r="L42" s="30">
        <f t="shared" si="0"/>
        <v>0.58371240887260722</v>
      </c>
      <c r="N42" s="103" t="str">
        <v>UNH</v>
      </c>
      <c r="O42" s="99">
        <v>0.18718237555241637</v>
      </c>
      <c r="P42" s="10">
        <v>0.32014698706127315</v>
      </c>
      <c r="Q42" s="10">
        <v>0.24333082348181287</v>
      </c>
      <c r="R42" s="10">
        <v>0.26393813492189905</v>
      </c>
      <c r="S42" s="10">
        <v>0.35587699410574664</v>
      </c>
      <c r="T42" s="10">
        <v>0.35406900028238181</v>
      </c>
      <c r="U42" s="10">
        <v>0.37030867140488638</v>
      </c>
      <c r="V42" s="10">
        <v>0.39531508414270372</v>
      </c>
      <c r="W42" s="10">
        <v>0.29252457403076104</v>
      </c>
      <c r="X42" s="10">
        <v>0.40372729258672324</v>
      </c>
      <c r="Y42" s="10">
        <v>0.33755665962897857</v>
      </c>
      <c r="Z42" s="10">
        <v>0.34406851814793082</v>
      </c>
      <c r="AA42" s="10">
        <v>0.20502287368527272</v>
      </c>
      <c r="AB42" s="10">
        <v>0.27505995683965589</v>
      </c>
      <c r="AC42" s="10">
        <v>0.47183575684483481</v>
      </c>
      <c r="AD42" s="10">
        <v>8.2361779029227603E-2</v>
      </c>
      <c r="AE42" s="10">
        <v>0.19293190308619704</v>
      </c>
      <c r="AF42" s="10">
        <v>0.50981042946876665</v>
      </c>
      <c r="AG42" s="10">
        <v>0.38525025997863382</v>
      </c>
      <c r="AH42" s="10">
        <v>8.0308431955736462E-2</v>
      </c>
      <c r="AI42" s="10">
        <v>3.8852314094025273E-2</v>
      </c>
      <c r="AJ42" s="10">
        <v>0.34531969342290553</v>
      </c>
      <c r="AK42" s="10">
        <v>0.10364990499769174</v>
      </c>
      <c r="AL42" s="10">
        <v>1</v>
      </c>
      <c r="AM42" s="10">
        <v>0.5238811826115507</v>
      </c>
      <c r="AN42" s="10">
        <v>0.21781215052859512</v>
      </c>
      <c r="AO42" s="10">
        <v>0.25001031279078045</v>
      </c>
      <c r="AP42" s="10">
        <v>0.13116815595990133</v>
      </c>
      <c r="AQ42" s="30">
        <v>0.39989066639593085</v>
      </c>
    </row>
    <row r="43" spans="2:43" x14ac:dyDescent="0.25">
      <c r="B43" s="29" t="str">
        <f>'Market Data'!B41</f>
        <v>UTX</v>
      </c>
      <c r="C43" s="51" t="str">
        <f>'Market Data'!J41</f>
        <v>»TimeSeries-16705291694770987671</v>
      </c>
      <c r="D43" s="8" t="str">
        <f>_xll.TimeSeries.PreviousValueFill.apply($C$12,IFERROR(C43, ZERO_SERIES))</f>
        <v>»TimeSeries-16705291694770987673</v>
      </c>
      <c r="E43" s="8" t="str">
        <f>_xll.TimeSeries.Sample.apply($C$11,D43,$C$10)</f>
        <v>»TimeSeries-16705291694770987767</v>
      </c>
      <c r="F43" s="52" t="str">
        <f>_xll.TimeSeries.PercentageReturn.apply($C$13,E43)</f>
        <v>»TimeSeries-16705291694770987768</v>
      </c>
      <c r="G43" s="46">
        <f>_xll.TimeSeries.Mean.apply($H$12,$F43)</f>
        <v>7.3861111519648165E-3</v>
      </c>
      <c r="H43" s="7">
        <f>_xll.TimeSeries.Variance.apply($H$13,F43)</f>
        <v>3.1502830070701034E-3</v>
      </c>
      <c r="I43" s="47">
        <f t="shared" si="1"/>
        <v>5.6127381972350211E-2</v>
      </c>
      <c r="J43" s="10">
        <f>_xll.TimeSeries.Covariance.apply($K$12,F43,$F$51)</f>
        <v>1.3886759709887575E-3</v>
      </c>
      <c r="K43" s="10">
        <f>_xll.TimeSeries.Correlation.apply($K$13,F43,$F$51)</f>
        <v>0.72460270454908848</v>
      </c>
      <c r="L43" s="30">
        <f t="shared" si="0"/>
        <v>1.1911008956678799</v>
      </c>
      <c r="N43" s="103" t="str">
        <v>UTX</v>
      </c>
      <c r="O43" s="99">
        <v>0.32788703114211448</v>
      </c>
      <c r="P43" s="10">
        <v>0.54987449829951018</v>
      </c>
      <c r="Q43" s="10">
        <v>0.53789439776322068</v>
      </c>
      <c r="R43" s="10">
        <v>0.58221399832158927</v>
      </c>
      <c r="S43" s="10">
        <v>0.56681812794435504</v>
      </c>
      <c r="T43" s="10">
        <v>0.54954869645045168</v>
      </c>
      <c r="U43" s="10">
        <v>0.73117100887191344</v>
      </c>
      <c r="V43" s="10">
        <v>0.52155901873927457</v>
      </c>
      <c r="W43" s="10">
        <v>0.63843116765330699</v>
      </c>
      <c r="X43" s="10">
        <v>0.55270793548127151</v>
      </c>
      <c r="Y43" s="10">
        <v>0.50790345731406783</v>
      </c>
      <c r="Z43" s="10">
        <v>0.46609815068336408</v>
      </c>
      <c r="AA43" s="10">
        <v>0.34635367931095246</v>
      </c>
      <c r="AB43" s="10">
        <v>0.49174308502539543</v>
      </c>
      <c r="AC43" s="10">
        <v>0.54416998654996784</v>
      </c>
      <c r="AD43" s="10">
        <v>0.29107163817614484</v>
      </c>
      <c r="AE43" s="10">
        <v>0.37271474760143558</v>
      </c>
      <c r="AF43" s="10">
        <v>0.75486713564889529</v>
      </c>
      <c r="AG43" s="10">
        <v>0.51744400455570894</v>
      </c>
      <c r="AH43" s="10">
        <v>0.24480888383883018</v>
      </c>
      <c r="AI43" s="10">
        <v>0.16789355697922442</v>
      </c>
      <c r="AJ43" s="10">
        <v>0.48826573221181757</v>
      </c>
      <c r="AK43" s="10">
        <v>0.30358064032652105</v>
      </c>
      <c r="AL43" s="10">
        <v>0.5238811826115507</v>
      </c>
      <c r="AM43" s="10">
        <v>1</v>
      </c>
      <c r="AN43" s="10">
        <v>0.12664084751878507</v>
      </c>
      <c r="AO43" s="10">
        <v>0.49726055078900044</v>
      </c>
      <c r="AP43" s="10">
        <v>0.11700011206657192</v>
      </c>
      <c r="AQ43" s="30">
        <v>0.54984940629576451</v>
      </c>
    </row>
    <row r="44" spans="2:43" x14ac:dyDescent="0.25">
      <c r="B44" s="29" t="str">
        <f>'Market Data'!B42</f>
        <v>VZ</v>
      </c>
      <c r="C44" s="51" t="str">
        <f>'Market Data'!J42</f>
        <v>»TimeSeries-16705291694770987618</v>
      </c>
      <c r="D44" s="8" t="str">
        <f>_xll.TimeSeries.PreviousValueFill.apply($C$12,IFERROR(C44, ZERO_SERIES))</f>
        <v>»TimeSeries-16705291694770987620</v>
      </c>
      <c r="E44" s="8" t="str">
        <f>_xll.TimeSeries.Sample.apply($C$11,D44,$C$10)</f>
        <v>»TimeSeries-16705291694770987778</v>
      </c>
      <c r="F44" s="52" t="str">
        <f>_xll.TimeSeries.PercentageReturn.apply($C$13,E44)</f>
        <v>»TimeSeries-16705291694770987780</v>
      </c>
      <c r="G44" s="46">
        <f>_xll.TimeSeries.Mean.apply($H$12,$F44)</f>
        <v>5.0086030759070753E-3</v>
      </c>
      <c r="H44" s="7">
        <f>_xll.TimeSeries.Variance.apply($H$13,F44)</f>
        <v>2.0420562729853461E-3</v>
      </c>
      <c r="I44" s="47">
        <f t="shared" si="1"/>
        <v>4.5189116753764351E-2</v>
      </c>
      <c r="J44" s="10">
        <f>_xll.TimeSeries.Covariance.apply($K$12,F44,$F$51)</f>
        <v>4.6958170448025652E-4</v>
      </c>
      <c r="K44" s="10">
        <f>_xll.TimeSeries.Correlation.apply($K$13,F44,$F$51)</f>
        <v>0.30433445974358242</v>
      </c>
      <c r="L44" s="30">
        <f t="shared" si="0"/>
        <v>0.40277156117091867</v>
      </c>
      <c r="N44" s="103" t="str">
        <v>VZ</v>
      </c>
      <c r="O44" s="99">
        <v>6.0777460291628706E-2</v>
      </c>
      <c r="P44" s="10">
        <v>-2.6849208382594233E-2</v>
      </c>
      <c r="Q44" s="10">
        <v>0.13718912902753963</v>
      </c>
      <c r="R44" s="10">
        <v>0.22735131338079184</v>
      </c>
      <c r="S44" s="10">
        <v>0.20223715747090365</v>
      </c>
      <c r="T44" s="10">
        <v>0.29349169122355312</v>
      </c>
      <c r="U44" s="10">
        <v>0.24167839534102351</v>
      </c>
      <c r="V44" s="10">
        <v>0.22853149173319787</v>
      </c>
      <c r="W44" s="10">
        <v>0.42336386673101556</v>
      </c>
      <c r="X44" s="10">
        <v>0.11884929243626412</v>
      </c>
      <c r="Y44" s="10">
        <v>5.6984502348261842E-2</v>
      </c>
      <c r="Z44" s="10">
        <v>7.7613504988176554E-2</v>
      </c>
      <c r="AA44" s="10">
        <v>0.29133157920649289</v>
      </c>
      <c r="AB44" s="10">
        <v>0.4419875284220689</v>
      </c>
      <c r="AC44" s="10">
        <v>0.14590438402011144</v>
      </c>
      <c r="AD44" s="10">
        <v>0.31092158731137848</v>
      </c>
      <c r="AE44" s="10">
        <v>0.35677475955212323</v>
      </c>
      <c r="AF44" s="10">
        <v>0.30221315938345705</v>
      </c>
      <c r="AG44" s="10">
        <v>0.14483612145073005</v>
      </c>
      <c r="AH44" s="10">
        <v>0.24374233777419502</v>
      </c>
      <c r="AI44" s="10">
        <v>4.3619436975521463E-3</v>
      </c>
      <c r="AJ44" s="10">
        <v>0.31269193123138983</v>
      </c>
      <c r="AK44" s="10">
        <v>0.13864172314353143</v>
      </c>
      <c r="AL44" s="10">
        <v>0.21781215052859512</v>
      </c>
      <c r="AM44" s="10">
        <v>0.12664084751878507</v>
      </c>
      <c r="AN44" s="10">
        <v>1</v>
      </c>
      <c r="AO44" s="10">
        <v>0.12841199673382692</v>
      </c>
      <c r="AP44" s="10">
        <v>0.23046268390061297</v>
      </c>
      <c r="AQ44" s="30">
        <v>0.33235420022661227</v>
      </c>
    </row>
    <row r="45" spans="2:43" x14ac:dyDescent="0.25">
      <c r="B45" s="29" t="str">
        <f>'Market Data'!B43</f>
        <v>V</v>
      </c>
      <c r="C45" s="51" t="str">
        <f>'Market Data'!J43</f>
        <v>»TimeSeries-16705291694770987626</v>
      </c>
      <c r="D45" s="8" t="str">
        <f>_xll.TimeSeries.PreviousValueFill.apply($C$12,IFERROR(C45, ZERO_SERIES))</f>
        <v>»TimeSeries-16705291694770987627</v>
      </c>
      <c r="E45" s="8" t="str">
        <f>_xll.TimeSeries.Sample.apply($C$11,D45,$C$10)</f>
        <v>»TimeSeries-16705291694770987754</v>
      </c>
      <c r="F45" s="52" t="str">
        <f>_xll.TimeSeries.PercentageReturn.apply($C$13,E45)</f>
        <v>»TimeSeries-16705291694770987756</v>
      </c>
      <c r="G45" s="46">
        <f>_xll.TimeSeries.Mean.apply($H$12,$F45)</f>
        <v>1.7947618128132319E-2</v>
      </c>
      <c r="H45" s="7">
        <f>_xll.TimeSeries.Variance.apply($H$13,F45)</f>
        <v>3.6944718915923875E-3</v>
      </c>
      <c r="I45" s="47">
        <f t="shared" si="1"/>
        <v>6.0782167546019512E-2</v>
      </c>
      <c r="J45" s="10">
        <f>_xll.TimeSeries.Covariance.apply($K$12,F45,$F$51)</f>
        <v>1.5403705289861714E-3</v>
      </c>
      <c r="K45" s="10">
        <f>_xll.TimeSeries.Correlation.apply($K$13,F45,$F$51)</f>
        <v>0.7422032176871507</v>
      </c>
      <c r="L45" s="30">
        <f t="shared" si="0"/>
        <v>1.3212129791728704</v>
      </c>
      <c r="N45" s="103" t="str">
        <v>V</v>
      </c>
      <c r="O45" s="99">
        <v>0.38429786111500641</v>
      </c>
      <c r="P45" s="10">
        <v>0.55636438613484385</v>
      </c>
      <c r="Q45" s="10">
        <v>0.6046244238714813</v>
      </c>
      <c r="R45" s="10">
        <v>0.35860756612083133</v>
      </c>
      <c r="S45" s="10">
        <v>0.71797675949268513</v>
      </c>
      <c r="T45" s="10">
        <v>0.2670067401987819</v>
      </c>
      <c r="U45" s="10">
        <v>0.59444339488780296</v>
      </c>
      <c r="V45" s="10">
        <v>0.64350882162871181</v>
      </c>
      <c r="W45" s="10">
        <v>0.54156375910889343</v>
      </c>
      <c r="X45" s="10">
        <v>0.48369857037165409</v>
      </c>
      <c r="Y45" s="10">
        <v>0.45647778200388706</v>
      </c>
      <c r="Z45" s="10">
        <v>0.3491880740927551</v>
      </c>
      <c r="AA45" s="10">
        <v>0.49237324452112918</v>
      </c>
      <c r="AB45" s="10">
        <v>0.37138387118347693</v>
      </c>
      <c r="AC45" s="10">
        <v>0.53000421879066806</v>
      </c>
      <c r="AD45" s="10">
        <v>0.44728236738465149</v>
      </c>
      <c r="AE45" s="10">
        <v>0.39239060369549505</v>
      </c>
      <c r="AF45" s="10">
        <v>0.60372909630843918</v>
      </c>
      <c r="AG45" s="10">
        <v>0.39096908853791107</v>
      </c>
      <c r="AH45" s="10">
        <v>0.37175280251715304</v>
      </c>
      <c r="AI45" s="10">
        <v>0.38371794553785915</v>
      </c>
      <c r="AJ45" s="10">
        <v>0.53816059691182605</v>
      </c>
      <c r="AK45" s="10">
        <v>0.40367773608507235</v>
      </c>
      <c r="AL45" s="10">
        <v>0.25001031279078045</v>
      </c>
      <c r="AM45" s="10">
        <v>0.49726055078900044</v>
      </c>
      <c r="AN45" s="10">
        <v>0.12841199673382692</v>
      </c>
      <c r="AO45" s="10">
        <v>1</v>
      </c>
      <c r="AP45" s="10">
        <v>7.9790545210410901E-2</v>
      </c>
      <c r="AQ45" s="30">
        <v>0.36040860375223754</v>
      </c>
    </row>
    <row r="46" spans="2:43" x14ac:dyDescent="0.25">
      <c r="B46" s="29" t="str">
        <f>'Market Data'!B44</f>
        <v>WMT</v>
      </c>
      <c r="C46" s="51" t="str">
        <f>'Market Data'!J44</f>
        <v>»TimeSeries-16705291694770987687</v>
      </c>
      <c r="D46" s="8" t="str">
        <f>_xll.TimeSeries.PreviousValueFill.apply($C$12,IFERROR(C46, ZERO_SERIES))</f>
        <v>»TimeSeries-16705291694770987688</v>
      </c>
      <c r="E46" s="8" t="str">
        <f>_xll.TimeSeries.Sample.apply($C$11,D46,$C$10)</f>
        <v>»TimeSeries-16705291694770987758</v>
      </c>
      <c r="F46" s="52" t="str">
        <f>_xll.TimeSeries.PercentageReturn.apply($C$13,E46)</f>
        <v>»TimeSeries-16705291694770987760</v>
      </c>
      <c r="G46" s="46">
        <f>_xll.TimeSeries.Mean.apply($H$12,$F46)</f>
        <v>1.8437214178450567E-3</v>
      </c>
      <c r="H46" s="7">
        <f>_xll.TimeSeries.Variance.apply($H$13,F46)</f>
        <v>1.9253008332035728E-3</v>
      </c>
      <c r="I46" s="47">
        <f t="shared" si="1"/>
        <v>4.3878250115559222E-2</v>
      </c>
      <c r="J46" s="10">
        <f>_xll.TimeSeries.Covariance.apply($K$12,F46,$F$51)</f>
        <v>1.9069718838087295E-4</v>
      </c>
      <c r="K46" s="10">
        <f>_xll.TimeSeries.Correlation.apply($K$13,F46,$F$51)</f>
        <v>0.12728253191736452</v>
      </c>
      <c r="L46" s="30">
        <f t="shared" si="0"/>
        <v>0.16356558090371326</v>
      </c>
      <c r="N46" s="103" t="str">
        <v>WMT</v>
      </c>
      <c r="O46" s="99">
        <v>0.19661025236620083</v>
      </c>
      <c r="P46" s="10">
        <v>9.6404866134712254E-3</v>
      </c>
      <c r="Q46" s="10">
        <v>6.6998947592626062E-2</v>
      </c>
      <c r="R46" s="10">
        <v>-7.3311092037259162E-2</v>
      </c>
      <c r="S46" s="10">
        <v>0.11324724601318666</v>
      </c>
      <c r="T46" s="10">
        <v>5.7229207322924004E-2</v>
      </c>
      <c r="U46" s="10">
        <v>-6.2544502734023563E-3</v>
      </c>
      <c r="V46" s="10">
        <v>-4.6862026284872016E-2</v>
      </c>
      <c r="W46" s="10">
        <v>1.3597946240028559E-2</v>
      </c>
      <c r="X46" s="10">
        <v>-1.7710693608748194E-2</v>
      </c>
      <c r="Y46" s="10">
        <v>0.103932841296968</v>
      </c>
      <c r="Z46" s="10">
        <v>0.14782292626150048</v>
      </c>
      <c r="AA46" s="10">
        <v>-6.7759065296701141E-3</v>
      </c>
      <c r="AB46" s="10">
        <v>0.4443502480606224</v>
      </c>
      <c r="AC46" s="10">
        <v>2.8302483670514467E-2</v>
      </c>
      <c r="AD46" s="10">
        <v>0.42200411108482871</v>
      </c>
      <c r="AE46" s="10">
        <v>2.2984468932336504E-2</v>
      </c>
      <c r="AF46" s="10">
        <v>0.23550586485113675</v>
      </c>
      <c r="AG46" s="10">
        <v>0.19839003500661895</v>
      </c>
      <c r="AH46" s="10">
        <v>-0.11774501984773991</v>
      </c>
      <c r="AI46" s="10">
        <v>5.7980757362981411E-3</v>
      </c>
      <c r="AJ46" s="10">
        <v>0.28519415626581363</v>
      </c>
      <c r="AK46" s="10">
        <v>0.43978318506475095</v>
      </c>
      <c r="AL46" s="10">
        <v>0.13116815595990133</v>
      </c>
      <c r="AM46" s="10">
        <v>0.11700011206657192</v>
      </c>
      <c r="AN46" s="10">
        <v>0.23046268390061297</v>
      </c>
      <c r="AO46" s="10">
        <v>7.9790545210410901E-2</v>
      </c>
      <c r="AP46" s="10">
        <v>1</v>
      </c>
      <c r="AQ46" s="30">
        <v>5.2737812056938255E-2</v>
      </c>
    </row>
    <row r="47" spans="2:43" x14ac:dyDescent="0.25">
      <c r="B47" s="31" t="s">
        <v>64</v>
      </c>
      <c r="C47" s="53" t="str">
        <f>'Market Data'!J45</f>
        <v>»TimeSeries-16705291694770987707</v>
      </c>
      <c r="D47" s="32" t="str">
        <f>_xll.TimeSeries.PreviousValueFill.apply($C$12,IFERROR(C47, ZERO_SERIES))</f>
        <v>»TimeSeries-16705291694770987709</v>
      </c>
      <c r="E47" s="32" t="str">
        <f>_xll.TimeSeries.Sample.apply($C$11,D47,$C$10)</f>
        <v>»TimeSeries-16705291694770987762</v>
      </c>
      <c r="F47" s="54" t="str">
        <f>_xll.TimeSeries.PercentageReturn.apply($C$13,E47)</f>
        <v>»TimeSeries-16705291694770987764</v>
      </c>
      <c r="G47" s="48">
        <f>_xll.TimeSeries.Mean.apply($H$12,$F47)</f>
        <v>1.7101166353118678E-3</v>
      </c>
      <c r="H47" s="33">
        <f>_xll.TimeSeries.Variance.apply($H$13,F47)</f>
        <v>1.845802781732033E-3</v>
      </c>
      <c r="I47" s="49">
        <f t="shared" si="1"/>
        <v>4.2962806958252074E-2</v>
      </c>
      <c r="J47" s="34">
        <f>_xll.TimeSeries.Covariance.apply($K$12,F47,$F$51)</f>
        <v>9.4893694107084771E-4</v>
      </c>
      <c r="K47" s="34">
        <f>_xll.TimeSeries.Correlation.apply($K$13,F47,$F$51)</f>
        <v>0.64687224981588598</v>
      </c>
      <c r="L47" s="35">
        <f t="shared" si="0"/>
        <v>0.81392611671464965</v>
      </c>
      <c r="N47" s="104" t="str">
        <v>XOM</v>
      </c>
      <c r="O47" s="95">
        <v>0.28791019816518126</v>
      </c>
      <c r="P47" s="34">
        <v>0.32939970522908002</v>
      </c>
      <c r="Q47" s="34">
        <v>0.21231422190114227</v>
      </c>
      <c r="R47" s="34">
        <v>0.47492191624507735</v>
      </c>
      <c r="S47" s="34">
        <v>0.48667028630565468</v>
      </c>
      <c r="T47" s="34">
        <v>0.78424404307952034</v>
      </c>
      <c r="U47" s="34">
        <v>0.58068698297259047</v>
      </c>
      <c r="V47" s="34">
        <v>0.54501192837534373</v>
      </c>
      <c r="W47" s="34">
        <v>0.70614626301229466</v>
      </c>
      <c r="X47" s="34">
        <v>0.47931404214299866</v>
      </c>
      <c r="Y47" s="34">
        <v>0.30542306745803355</v>
      </c>
      <c r="Z47" s="34">
        <v>0.44035840258752768</v>
      </c>
      <c r="AA47" s="34">
        <v>0.40245138598650992</v>
      </c>
      <c r="AB47" s="34">
        <v>0.4738637842018103</v>
      </c>
      <c r="AC47" s="34">
        <v>0.53772272066661186</v>
      </c>
      <c r="AD47" s="34">
        <v>0.34508163630096189</v>
      </c>
      <c r="AE47" s="34">
        <v>0.36781259516360187</v>
      </c>
      <c r="AF47" s="34">
        <v>0.67788469658637041</v>
      </c>
      <c r="AG47" s="34">
        <v>0.26869036430019522</v>
      </c>
      <c r="AH47" s="34">
        <v>0.42019927531220452</v>
      </c>
      <c r="AI47" s="34">
        <v>-8.8032490216713249E-2</v>
      </c>
      <c r="AJ47" s="34">
        <v>0.38597484697557333</v>
      </c>
      <c r="AK47" s="34">
        <v>0.3785365719434296</v>
      </c>
      <c r="AL47" s="34">
        <v>0.39989066639593085</v>
      </c>
      <c r="AM47" s="34">
        <v>0.54984940629576451</v>
      </c>
      <c r="AN47" s="34">
        <v>0.33235420022661227</v>
      </c>
      <c r="AO47" s="34">
        <v>0.36040860375223754</v>
      </c>
      <c r="AP47" s="34">
        <v>5.2737812056938255E-2</v>
      </c>
      <c r="AQ47" s="35">
        <v>1</v>
      </c>
    </row>
    <row r="48" spans="2:43" x14ac:dyDescent="0.25">
      <c r="B48" s="9"/>
      <c r="C48" s="8"/>
      <c r="D48" s="8"/>
      <c r="E48" s="8"/>
      <c r="F48" s="8"/>
      <c r="G48" s="11"/>
      <c r="H48" s="7"/>
      <c r="I48" s="11"/>
      <c r="J48" s="10"/>
      <c r="K48" s="10"/>
      <c r="L48" s="1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row>
    <row r="49" spans="2:43" x14ac:dyDescent="0.25">
      <c r="B49" s="59" t="s">
        <v>74</v>
      </c>
      <c r="C49" s="8"/>
      <c r="D49" s="8"/>
      <c r="E49" s="8"/>
      <c r="F49" s="8"/>
      <c r="G49" s="11"/>
      <c r="H49" s="7"/>
      <c r="I49" s="11"/>
      <c r="J49" s="10"/>
      <c r="K49" s="10"/>
      <c r="L49" s="1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100"/>
    </row>
    <row r="50" spans="2:43" x14ac:dyDescent="0.25">
      <c r="B50" s="44" t="s">
        <v>81</v>
      </c>
      <c r="C50" s="42" t="s">
        <v>80</v>
      </c>
      <c r="D50" s="40" t="s">
        <v>53</v>
      </c>
      <c r="E50" s="40" t="s">
        <v>47</v>
      </c>
      <c r="F50" s="50" t="s">
        <v>48</v>
      </c>
      <c r="G50" s="43" t="s">
        <v>65</v>
      </c>
      <c r="H50" s="39" t="s">
        <v>55</v>
      </c>
      <c r="I50" s="45" t="s">
        <v>75</v>
      </c>
      <c r="J50" s="92" t="s">
        <v>56</v>
      </c>
      <c r="K50" s="92" t="s">
        <v>59</v>
      </c>
      <c r="L50" s="93" t="s">
        <v>57</v>
      </c>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row>
    <row r="51" spans="2:43" x14ac:dyDescent="0.25">
      <c r="B51" s="24" t="str">
        <f>'Market Data'!B49</f>
        <v>N America Large Cap</v>
      </c>
      <c r="C51" s="61" t="str">
        <f>'Market Data'!F49</f>
        <v>»TimeSeries-16705291694770987515</v>
      </c>
      <c r="D51" s="25" t="str">
        <f>_xll.TimeSeries.PreviousValueFill.apply($C$12,C51)</f>
        <v>»TimeSeries-16705291694770987516</v>
      </c>
      <c r="E51" s="25" t="str">
        <f>_xll.TimeSeries.Sample.apply($C$11,D51,$C$10)</f>
        <v>»TimeSeries-16705291694770987570</v>
      </c>
      <c r="F51" s="62" t="str">
        <f>_xll.TimeSeries.PercentageReturn.apply($C$13,E51)</f>
        <v>»TimeSeries-16705291694770987571</v>
      </c>
      <c r="G51" s="63">
        <f>_xll.TimeSeries.Mean.apply($H$12,$F51)</f>
        <v>8.4518639734030097E-3</v>
      </c>
      <c r="H51" s="26">
        <f>_xll.TimeSeries.Variance.apply($H$13,F51)</f>
        <v>1.1658760194367013E-3</v>
      </c>
      <c r="I51" s="60">
        <f t="shared" si="1"/>
        <v>3.4144926701293432E-2</v>
      </c>
      <c r="J51" s="94">
        <f>_xll.TimeSeries.Covariance.apply($K$12,F51,$F$51)</f>
        <v>1.1658760194367013E-3</v>
      </c>
      <c r="K51" s="27">
        <f>_xll.TimeSeries.Correlation.apply($K$13,F51,$F$51)</f>
        <v>1</v>
      </c>
      <c r="L51" s="28">
        <f>J51/$H$51</f>
        <v>1</v>
      </c>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row>
    <row r="52" spans="2:43" x14ac:dyDescent="0.25">
      <c r="B52" s="31"/>
      <c r="C52" s="53"/>
      <c r="D52" s="32"/>
      <c r="E52" s="32"/>
      <c r="F52" s="54"/>
      <c r="G52" s="64"/>
      <c r="H52" s="33"/>
      <c r="I52" s="33"/>
      <c r="J52" s="95"/>
      <c r="K52" s="34"/>
      <c r="L52" s="35"/>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row>
    <row r="55" spans="2:43" x14ac:dyDescent="0.25">
      <c r="H55" s="211"/>
    </row>
    <row r="56" spans="2:43" x14ac:dyDescent="0.25">
      <c r="H56" s="211"/>
    </row>
    <row r="57" spans="2:43" x14ac:dyDescent="0.25">
      <c r="H57" s="211"/>
    </row>
    <row r="58" spans="2:43" x14ac:dyDescent="0.25">
      <c r="H58" s="211"/>
    </row>
    <row r="59" spans="2:43" x14ac:dyDescent="0.25">
      <c r="H59" s="211"/>
    </row>
    <row r="60" spans="2:43" x14ac:dyDescent="0.25">
      <c r="H60" s="211"/>
    </row>
    <row r="61" spans="2:43" x14ac:dyDescent="0.25">
      <c r="H61" s="211"/>
    </row>
    <row r="62" spans="2:43" x14ac:dyDescent="0.25">
      <c r="H62" s="211"/>
    </row>
    <row r="63" spans="2:43" x14ac:dyDescent="0.25">
      <c r="H63" s="211"/>
    </row>
    <row r="64" spans="2:43" x14ac:dyDescent="0.25">
      <c r="H64" s="211"/>
    </row>
    <row r="65" spans="8:8" x14ac:dyDescent="0.25">
      <c r="H65" s="211"/>
    </row>
    <row r="66" spans="8:8" x14ac:dyDescent="0.25">
      <c r="H66" s="211"/>
    </row>
    <row r="67" spans="8:8" x14ac:dyDescent="0.25">
      <c r="H67" s="211"/>
    </row>
    <row r="68" spans="8:8" x14ac:dyDescent="0.25">
      <c r="H68" s="211"/>
    </row>
    <row r="69" spans="8:8" x14ac:dyDescent="0.25">
      <c r="H69" s="211"/>
    </row>
    <row r="70" spans="8:8" x14ac:dyDescent="0.25">
      <c r="H70" s="211"/>
    </row>
    <row r="71" spans="8:8" x14ac:dyDescent="0.25">
      <c r="H71" s="211"/>
    </row>
    <row r="72" spans="8:8" x14ac:dyDescent="0.25">
      <c r="H72" s="211"/>
    </row>
    <row r="73" spans="8:8" x14ac:dyDescent="0.25">
      <c r="H73" s="211"/>
    </row>
    <row r="74" spans="8:8" x14ac:dyDescent="0.25">
      <c r="H74" s="211"/>
    </row>
    <row r="75" spans="8:8" x14ac:dyDescent="0.25">
      <c r="H75" s="211"/>
    </row>
    <row r="76" spans="8:8" x14ac:dyDescent="0.25">
      <c r="H76" s="211"/>
    </row>
    <row r="77" spans="8:8" x14ac:dyDescent="0.25">
      <c r="H77" s="211"/>
    </row>
    <row r="78" spans="8:8" x14ac:dyDescent="0.25">
      <c r="H78" s="211"/>
    </row>
    <row r="79" spans="8:8" x14ac:dyDescent="0.25">
      <c r="H79" s="211"/>
    </row>
    <row r="80" spans="8:8" x14ac:dyDescent="0.25">
      <c r="H80" s="211"/>
    </row>
    <row r="81" spans="8:11" x14ac:dyDescent="0.25">
      <c r="H81" s="211"/>
    </row>
    <row r="82" spans="8:11" x14ac:dyDescent="0.25">
      <c r="H82" s="211"/>
    </row>
    <row r="83" spans="8:11" x14ac:dyDescent="0.25">
      <c r="H83" s="211"/>
    </row>
    <row r="84" spans="8:11" x14ac:dyDescent="0.25">
      <c r="H84" s="211"/>
    </row>
    <row r="85" spans="8:11" x14ac:dyDescent="0.25">
      <c r="H85" s="211"/>
      <c r="K85" s="191"/>
    </row>
    <row r="86" spans="8:11" x14ac:dyDescent="0.25">
      <c r="H86" s="211"/>
    </row>
    <row r="87" spans="8:11" x14ac:dyDescent="0.25">
      <c r="H87" s="211"/>
    </row>
    <row r="88" spans="8:11" x14ac:dyDescent="0.25">
      <c r="H88" s="211"/>
    </row>
    <row r="89" spans="8:11" x14ac:dyDescent="0.25">
      <c r="H89" s="211"/>
    </row>
    <row r="90" spans="8:11" x14ac:dyDescent="0.25">
      <c r="H90" s="211"/>
    </row>
    <row r="91" spans="8:11" x14ac:dyDescent="0.25">
      <c r="H91" s="211"/>
    </row>
    <row r="92" spans="8:11" x14ac:dyDescent="0.25">
      <c r="H92" s="211"/>
    </row>
    <row r="93" spans="8:11" x14ac:dyDescent="0.25">
      <c r="H93" s="211"/>
    </row>
    <row r="94" spans="8:11" x14ac:dyDescent="0.25">
      <c r="H94" s="211"/>
    </row>
    <row r="95" spans="8:11" x14ac:dyDescent="0.25">
      <c r="H95" s="211"/>
    </row>
    <row r="96" spans="8:11" x14ac:dyDescent="0.25">
      <c r="H96" s="211"/>
    </row>
    <row r="97" spans="8:8" x14ac:dyDescent="0.25">
      <c r="H97" s="211"/>
    </row>
    <row r="98" spans="8:8" x14ac:dyDescent="0.25">
      <c r="H98" s="211"/>
    </row>
    <row r="99" spans="8:8" x14ac:dyDescent="0.25">
      <c r="H99" s="211"/>
    </row>
    <row r="100" spans="8:8" x14ac:dyDescent="0.25">
      <c r="H100" s="211"/>
    </row>
    <row r="101" spans="8:8" x14ac:dyDescent="0.25">
      <c r="H101" s="211"/>
    </row>
    <row r="102" spans="8:8" x14ac:dyDescent="0.25">
      <c r="H102" s="211"/>
    </row>
    <row r="103" spans="8:8" x14ac:dyDescent="0.25">
      <c r="H103" s="211"/>
    </row>
    <row r="104" spans="8:8" x14ac:dyDescent="0.25">
      <c r="H104" s="211"/>
    </row>
    <row r="105" spans="8:8" x14ac:dyDescent="0.25">
      <c r="H105" s="211"/>
    </row>
    <row r="106" spans="8:8" x14ac:dyDescent="0.25">
      <c r="H106" s="211"/>
    </row>
    <row r="107" spans="8:8" x14ac:dyDescent="0.25">
      <c r="H107" s="211"/>
    </row>
    <row r="108" spans="8:8" x14ac:dyDescent="0.25">
      <c r="H108" s="211"/>
    </row>
    <row r="109" spans="8:8" x14ac:dyDescent="0.25">
      <c r="H109" s="211"/>
    </row>
    <row r="110" spans="8:8" x14ac:dyDescent="0.25">
      <c r="H110" s="211"/>
    </row>
    <row r="111" spans="8:8" x14ac:dyDescent="0.25">
      <c r="H111" s="211"/>
    </row>
    <row r="112" spans="8:8" x14ac:dyDescent="0.25">
      <c r="H112" s="211"/>
    </row>
    <row r="113" spans="8:8" x14ac:dyDescent="0.25">
      <c r="H113" s="211"/>
    </row>
    <row r="114" spans="8:8" x14ac:dyDescent="0.25">
      <c r="H114" s="211"/>
    </row>
    <row r="115" spans="8:8" x14ac:dyDescent="0.25">
      <c r="H115" s="211"/>
    </row>
    <row r="116" spans="8:8" x14ac:dyDescent="0.25">
      <c r="H116" s="211"/>
    </row>
    <row r="117" spans="8:8" x14ac:dyDescent="0.25">
      <c r="H117" s="211"/>
    </row>
    <row r="118" spans="8:8" x14ac:dyDescent="0.25">
      <c r="H118" s="211"/>
    </row>
    <row r="119" spans="8:8" x14ac:dyDescent="0.25">
      <c r="H119" s="211"/>
    </row>
    <row r="120" spans="8:8" x14ac:dyDescent="0.25">
      <c r="H120" s="211"/>
    </row>
    <row r="121" spans="8:8" x14ac:dyDescent="0.25">
      <c r="H121" s="211"/>
    </row>
    <row r="122" spans="8:8" x14ac:dyDescent="0.25">
      <c r="H122" s="211"/>
    </row>
    <row r="123" spans="8:8" x14ac:dyDescent="0.25">
      <c r="H123" s="211"/>
    </row>
    <row r="124" spans="8:8" x14ac:dyDescent="0.25">
      <c r="H124" s="211"/>
    </row>
    <row r="125" spans="8:8" x14ac:dyDescent="0.25">
      <c r="H125" s="211"/>
    </row>
    <row r="126" spans="8:8" x14ac:dyDescent="0.25">
      <c r="H126" s="211"/>
    </row>
    <row r="127" spans="8:8" x14ac:dyDescent="0.25">
      <c r="H127" s="211"/>
    </row>
    <row r="128" spans="8:8" x14ac:dyDescent="0.25">
      <c r="H128" s="211"/>
    </row>
    <row r="129" spans="8:8" x14ac:dyDescent="0.25">
      <c r="H129" s="211"/>
    </row>
    <row r="130" spans="8:8" x14ac:dyDescent="0.25">
      <c r="H130" s="211"/>
    </row>
    <row r="131" spans="8:8" x14ac:dyDescent="0.25">
      <c r="H131" s="211"/>
    </row>
    <row r="132" spans="8:8" x14ac:dyDescent="0.25">
      <c r="H132" s="211"/>
    </row>
    <row r="133" spans="8:8" x14ac:dyDescent="0.25">
      <c r="H133" s="211"/>
    </row>
    <row r="134" spans="8:8" x14ac:dyDescent="0.25">
      <c r="H134" s="211"/>
    </row>
    <row r="135" spans="8:8" x14ac:dyDescent="0.25">
      <c r="H135" s="211"/>
    </row>
    <row r="136" spans="8:8" x14ac:dyDescent="0.25">
      <c r="H136" s="211"/>
    </row>
    <row r="137" spans="8:8" x14ac:dyDescent="0.25">
      <c r="H137" s="211"/>
    </row>
    <row r="138" spans="8:8" x14ac:dyDescent="0.25">
      <c r="H138" s="211"/>
    </row>
    <row r="139" spans="8:8" x14ac:dyDescent="0.25">
      <c r="H139" s="211"/>
    </row>
    <row r="140" spans="8:8" x14ac:dyDescent="0.25">
      <c r="H140" s="211"/>
    </row>
    <row r="141" spans="8:8" x14ac:dyDescent="0.25">
      <c r="H141" s="211"/>
    </row>
    <row r="142" spans="8:8" x14ac:dyDescent="0.25">
      <c r="H142" s="211"/>
    </row>
    <row r="143" spans="8:8" x14ac:dyDescent="0.25">
      <c r="H143" s="211"/>
    </row>
    <row r="144" spans="8:8" x14ac:dyDescent="0.25">
      <c r="H144" s="211"/>
    </row>
    <row r="145" spans="8:8" x14ac:dyDescent="0.25">
      <c r="H145" s="211"/>
    </row>
    <row r="146" spans="8:8" x14ac:dyDescent="0.25">
      <c r="H146" s="211"/>
    </row>
    <row r="147" spans="8:8" x14ac:dyDescent="0.25">
      <c r="H147" s="211"/>
    </row>
    <row r="148" spans="8:8" x14ac:dyDescent="0.25">
      <c r="H148" s="211"/>
    </row>
    <row r="149" spans="8:8" x14ac:dyDescent="0.25">
      <c r="H149" s="211"/>
    </row>
    <row r="150" spans="8:8" x14ac:dyDescent="0.25">
      <c r="H150" s="211"/>
    </row>
    <row r="151" spans="8:8" x14ac:dyDescent="0.25">
      <c r="H151" s="211"/>
    </row>
    <row r="152" spans="8:8" x14ac:dyDescent="0.25">
      <c r="H152" s="211"/>
    </row>
    <row r="153" spans="8:8" x14ac:dyDescent="0.25">
      <c r="H153" s="211"/>
    </row>
    <row r="154" spans="8:8" x14ac:dyDescent="0.25">
      <c r="H154" s="211"/>
    </row>
    <row r="155" spans="8:8" x14ac:dyDescent="0.25">
      <c r="H155" s="211"/>
    </row>
    <row r="156" spans="8:8" x14ac:dyDescent="0.25">
      <c r="H156" s="211"/>
    </row>
    <row r="157" spans="8:8" x14ac:dyDescent="0.25">
      <c r="H157" s="211"/>
    </row>
    <row r="158" spans="8:8" x14ac:dyDescent="0.25">
      <c r="H158" s="211"/>
    </row>
    <row r="159" spans="8:8" x14ac:dyDescent="0.25">
      <c r="H159" s="211"/>
    </row>
    <row r="160" spans="8:8" x14ac:dyDescent="0.25">
      <c r="H160" s="211"/>
    </row>
    <row r="161" spans="8:8" x14ac:dyDescent="0.25">
      <c r="H161" s="211"/>
    </row>
    <row r="162" spans="8:8" x14ac:dyDescent="0.25">
      <c r="H162" s="211"/>
    </row>
    <row r="163" spans="8:8" x14ac:dyDescent="0.25">
      <c r="H163" s="211"/>
    </row>
    <row r="164" spans="8:8" x14ac:dyDescent="0.25">
      <c r="H164" s="211"/>
    </row>
    <row r="165" spans="8:8" x14ac:dyDescent="0.25">
      <c r="H165" s="211"/>
    </row>
    <row r="166" spans="8:8" x14ac:dyDescent="0.25">
      <c r="H166" s="211"/>
    </row>
    <row r="167" spans="8:8" x14ac:dyDescent="0.25">
      <c r="H167" s="211"/>
    </row>
    <row r="168" spans="8:8" x14ac:dyDescent="0.25">
      <c r="H168" s="211"/>
    </row>
    <row r="169" spans="8:8" x14ac:dyDescent="0.25">
      <c r="H169" s="211"/>
    </row>
    <row r="170" spans="8:8" x14ac:dyDescent="0.25">
      <c r="H170" s="211"/>
    </row>
    <row r="171" spans="8:8" x14ac:dyDescent="0.25">
      <c r="H171" s="211"/>
    </row>
    <row r="172" spans="8:8" x14ac:dyDescent="0.25">
      <c r="H172" s="211"/>
    </row>
    <row r="173" spans="8:8" x14ac:dyDescent="0.25">
      <c r="H173" s="211"/>
    </row>
    <row r="174" spans="8:8" x14ac:dyDescent="0.25">
      <c r="H174" s="211"/>
    </row>
    <row r="175" spans="8:8" x14ac:dyDescent="0.25">
      <c r="H175" s="211"/>
    </row>
    <row r="176" spans="8:8" x14ac:dyDescent="0.25">
      <c r="H176" s="211"/>
    </row>
    <row r="177" spans="8:8" x14ac:dyDescent="0.25">
      <c r="H177" s="211"/>
    </row>
    <row r="178" spans="8:8" x14ac:dyDescent="0.25">
      <c r="H178" s="211"/>
    </row>
    <row r="179" spans="8:8" x14ac:dyDescent="0.25">
      <c r="H179" s="211"/>
    </row>
    <row r="180" spans="8:8" x14ac:dyDescent="0.25">
      <c r="H180" s="211"/>
    </row>
    <row r="181" spans="8:8" x14ac:dyDescent="0.25">
      <c r="H181" s="211"/>
    </row>
    <row r="182" spans="8:8" x14ac:dyDescent="0.25">
      <c r="H182" s="211"/>
    </row>
    <row r="183" spans="8:8" x14ac:dyDescent="0.25">
      <c r="H183" s="211"/>
    </row>
    <row r="184" spans="8:8" x14ac:dyDescent="0.25">
      <c r="H184" s="211"/>
    </row>
    <row r="185" spans="8:8" x14ac:dyDescent="0.25">
      <c r="H185" s="211"/>
    </row>
    <row r="186" spans="8:8" x14ac:dyDescent="0.25">
      <c r="H186" s="211"/>
    </row>
    <row r="187" spans="8:8" x14ac:dyDescent="0.25">
      <c r="H187" s="211"/>
    </row>
    <row r="188" spans="8:8" x14ac:dyDescent="0.25">
      <c r="H188" s="211"/>
    </row>
    <row r="189" spans="8:8" x14ac:dyDescent="0.25">
      <c r="H189" s="211"/>
    </row>
    <row r="190" spans="8:8" x14ac:dyDescent="0.25">
      <c r="H190" s="211"/>
    </row>
    <row r="191" spans="8:8" x14ac:dyDescent="0.25">
      <c r="H191" s="211"/>
    </row>
    <row r="192" spans="8:8" x14ac:dyDescent="0.25">
      <c r="H192" s="211"/>
    </row>
    <row r="193" spans="8:8" x14ac:dyDescent="0.25">
      <c r="H193" s="211"/>
    </row>
    <row r="194" spans="8:8" x14ac:dyDescent="0.25">
      <c r="H194" s="211"/>
    </row>
    <row r="195" spans="8:8" x14ac:dyDescent="0.25">
      <c r="H195" s="211"/>
    </row>
    <row r="196" spans="8:8" x14ac:dyDescent="0.25">
      <c r="H196" s="211"/>
    </row>
    <row r="197" spans="8:8" x14ac:dyDescent="0.25">
      <c r="H197" s="211"/>
    </row>
    <row r="198" spans="8:8" x14ac:dyDescent="0.25">
      <c r="H198" s="211"/>
    </row>
    <row r="199" spans="8:8" x14ac:dyDescent="0.25">
      <c r="H199" s="211"/>
    </row>
    <row r="200" spans="8:8" x14ac:dyDescent="0.25">
      <c r="H200" s="211"/>
    </row>
    <row r="201" spans="8:8" x14ac:dyDescent="0.25">
      <c r="H201" s="211"/>
    </row>
    <row r="202" spans="8:8" x14ac:dyDescent="0.25">
      <c r="H202" s="211"/>
    </row>
    <row r="203" spans="8:8" x14ac:dyDescent="0.25">
      <c r="H203" s="211"/>
    </row>
    <row r="204" spans="8:8" x14ac:dyDescent="0.25">
      <c r="H204" s="211"/>
    </row>
    <row r="205" spans="8:8" x14ac:dyDescent="0.25">
      <c r="H205" s="211"/>
    </row>
    <row r="206" spans="8:8" x14ac:dyDescent="0.25">
      <c r="H206" s="211"/>
    </row>
    <row r="207" spans="8:8" x14ac:dyDescent="0.25">
      <c r="H207" s="211"/>
    </row>
    <row r="208" spans="8:8" x14ac:dyDescent="0.25">
      <c r="H208" s="211"/>
    </row>
    <row r="209" spans="8:8" x14ac:dyDescent="0.25">
      <c r="H209" s="211"/>
    </row>
    <row r="210" spans="8:8" x14ac:dyDescent="0.25">
      <c r="H210" s="211"/>
    </row>
    <row r="211" spans="8:8" x14ac:dyDescent="0.25">
      <c r="H211" s="211"/>
    </row>
    <row r="212" spans="8:8" x14ac:dyDescent="0.25">
      <c r="H212" s="211"/>
    </row>
    <row r="213" spans="8:8" x14ac:dyDescent="0.25">
      <c r="H213" s="211"/>
    </row>
    <row r="214" spans="8:8" x14ac:dyDescent="0.25">
      <c r="H214" s="211"/>
    </row>
    <row r="215" spans="8:8" x14ac:dyDescent="0.25">
      <c r="H215" s="211"/>
    </row>
    <row r="216" spans="8:8" x14ac:dyDescent="0.25">
      <c r="H216" s="211"/>
    </row>
    <row r="217" spans="8:8" x14ac:dyDescent="0.25">
      <c r="H217" s="211"/>
    </row>
    <row r="218" spans="8:8" x14ac:dyDescent="0.25">
      <c r="H218" s="211"/>
    </row>
    <row r="219" spans="8:8" x14ac:dyDescent="0.25">
      <c r="H219" s="211"/>
    </row>
    <row r="220" spans="8:8" x14ac:dyDescent="0.25">
      <c r="H220" s="211"/>
    </row>
    <row r="221" spans="8:8" x14ac:dyDescent="0.25">
      <c r="H221" s="211"/>
    </row>
    <row r="222" spans="8:8" x14ac:dyDescent="0.25">
      <c r="H222" s="211"/>
    </row>
    <row r="223" spans="8:8" x14ac:dyDescent="0.25">
      <c r="H223" s="211"/>
    </row>
    <row r="224" spans="8:8" x14ac:dyDescent="0.25">
      <c r="H224" s="211"/>
    </row>
    <row r="225" spans="8:8" x14ac:dyDescent="0.25">
      <c r="H225" s="211"/>
    </row>
    <row r="226" spans="8:8" x14ac:dyDescent="0.25">
      <c r="H226" s="211"/>
    </row>
    <row r="227" spans="8:8" x14ac:dyDescent="0.25">
      <c r="H227" s="211"/>
    </row>
    <row r="228" spans="8:8" x14ac:dyDescent="0.25">
      <c r="H228" s="211"/>
    </row>
    <row r="229" spans="8:8" x14ac:dyDescent="0.25">
      <c r="H229" s="211"/>
    </row>
    <row r="230" spans="8:8" x14ac:dyDescent="0.25">
      <c r="H230" s="211"/>
    </row>
    <row r="231" spans="8:8" x14ac:dyDescent="0.25">
      <c r="H231" s="211"/>
    </row>
    <row r="232" spans="8:8" x14ac:dyDescent="0.25">
      <c r="H232" s="211"/>
    </row>
    <row r="233" spans="8:8" x14ac:dyDescent="0.25">
      <c r="H233" s="211"/>
    </row>
    <row r="234" spans="8:8" x14ac:dyDescent="0.25">
      <c r="H234" s="211"/>
    </row>
    <row r="235" spans="8:8" x14ac:dyDescent="0.25">
      <c r="H235" s="211"/>
    </row>
    <row r="236" spans="8:8" x14ac:dyDescent="0.25">
      <c r="H236" s="211"/>
    </row>
    <row r="237" spans="8:8" x14ac:dyDescent="0.25">
      <c r="H237" s="211"/>
    </row>
    <row r="238" spans="8:8" x14ac:dyDescent="0.25">
      <c r="H238" s="211"/>
    </row>
    <row r="239" spans="8:8" x14ac:dyDescent="0.25">
      <c r="H239" s="211"/>
    </row>
    <row r="240" spans="8:8" x14ac:dyDescent="0.25">
      <c r="H240" s="211"/>
    </row>
    <row r="241" spans="8:8" x14ac:dyDescent="0.25">
      <c r="H241" s="211"/>
    </row>
    <row r="242" spans="8:8" x14ac:dyDescent="0.25">
      <c r="H242" s="211"/>
    </row>
    <row r="243" spans="8:8" x14ac:dyDescent="0.25">
      <c r="H243" s="211"/>
    </row>
    <row r="244" spans="8:8" x14ac:dyDescent="0.25">
      <c r="H244" s="211"/>
    </row>
    <row r="245" spans="8:8" x14ac:dyDescent="0.25">
      <c r="H245" s="211"/>
    </row>
    <row r="246" spans="8:8" x14ac:dyDescent="0.25">
      <c r="H246" s="211"/>
    </row>
    <row r="247" spans="8:8" x14ac:dyDescent="0.25">
      <c r="H247" s="211"/>
    </row>
    <row r="248" spans="8:8" x14ac:dyDescent="0.25">
      <c r="H248" s="211"/>
    </row>
    <row r="249" spans="8:8" x14ac:dyDescent="0.25">
      <c r="H249" s="211"/>
    </row>
    <row r="250" spans="8:8" x14ac:dyDescent="0.25">
      <c r="H250" s="211"/>
    </row>
    <row r="251" spans="8:8" x14ac:dyDescent="0.25">
      <c r="H251" s="211"/>
    </row>
    <row r="252" spans="8:8" x14ac:dyDescent="0.25">
      <c r="H252" s="211"/>
    </row>
    <row r="253" spans="8:8" x14ac:dyDescent="0.25">
      <c r="H253" s="211"/>
    </row>
    <row r="254" spans="8:8" x14ac:dyDescent="0.25">
      <c r="H254" s="211"/>
    </row>
    <row r="255" spans="8:8" x14ac:dyDescent="0.25">
      <c r="H255" s="211"/>
    </row>
    <row r="256" spans="8:8" x14ac:dyDescent="0.25">
      <c r="H256" s="211"/>
    </row>
    <row r="257" spans="8:8" x14ac:dyDescent="0.25">
      <c r="H257" s="211"/>
    </row>
    <row r="258" spans="8:8" x14ac:dyDescent="0.25">
      <c r="H258" s="211"/>
    </row>
    <row r="259" spans="8:8" x14ac:dyDescent="0.25">
      <c r="H259" s="211"/>
    </row>
    <row r="260" spans="8:8" x14ac:dyDescent="0.25">
      <c r="H260" s="211"/>
    </row>
    <row r="261" spans="8:8" x14ac:dyDescent="0.25">
      <c r="H261" s="211"/>
    </row>
    <row r="262" spans="8:8" x14ac:dyDescent="0.25">
      <c r="H262" s="211"/>
    </row>
    <row r="263" spans="8:8" x14ac:dyDescent="0.25">
      <c r="H263" s="211"/>
    </row>
    <row r="264" spans="8:8" x14ac:dyDescent="0.25">
      <c r="H264" s="211"/>
    </row>
    <row r="265" spans="8:8" x14ac:dyDescent="0.25">
      <c r="H265" s="211"/>
    </row>
    <row r="266" spans="8:8" x14ac:dyDescent="0.25">
      <c r="H266" s="211"/>
    </row>
    <row r="267" spans="8:8" x14ac:dyDescent="0.25">
      <c r="H267" s="211"/>
    </row>
    <row r="268" spans="8:8" x14ac:dyDescent="0.25">
      <c r="H268" s="211"/>
    </row>
    <row r="269" spans="8:8" x14ac:dyDescent="0.25">
      <c r="H269" s="211"/>
    </row>
    <row r="270" spans="8:8" x14ac:dyDescent="0.25">
      <c r="H270" s="211"/>
    </row>
    <row r="271" spans="8:8" x14ac:dyDescent="0.25">
      <c r="H271" s="211"/>
    </row>
    <row r="272" spans="8:8" x14ac:dyDescent="0.25">
      <c r="H272" s="211"/>
    </row>
    <row r="273" spans="8:8" x14ac:dyDescent="0.25">
      <c r="H273" s="211"/>
    </row>
    <row r="274" spans="8:8" x14ac:dyDescent="0.25">
      <c r="H274" s="211"/>
    </row>
    <row r="275" spans="8:8" x14ac:dyDescent="0.25">
      <c r="H275" s="211"/>
    </row>
    <row r="276" spans="8:8" x14ac:dyDescent="0.25">
      <c r="H276" s="211"/>
    </row>
    <row r="277" spans="8:8" x14ac:dyDescent="0.25">
      <c r="H277" s="211"/>
    </row>
    <row r="278" spans="8:8" x14ac:dyDescent="0.25">
      <c r="H278" s="211"/>
    </row>
    <row r="279" spans="8:8" x14ac:dyDescent="0.25">
      <c r="H279" s="211"/>
    </row>
    <row r="280" spans="8:8" x14ac:dyDescent="0.25">
      <c r="H280" s="211"/>
    </row>
    <row r="281" spans="8:8" x14ac:dyDescent="0.25">
      <c r="H281" s="211"/>
    </row>
    <row r="282" spans="8:8" x14ac:dyDescent="0.25">
      <c r="H282" s="211"/>
    </row>
    <row r="283" spans="8:8" x14ac:dyDescent="0.25">
      <c r="H283" s="211"/>
    </row>
    <row r="284" spans="8:8" x14ac:dyDescent="0.25">
      <c r="H284" s="211"/>
    </row>
    <row r="285" spans="8:8" x14ac:dyDescent="0.25">
      <c r="H285" s="211"/>
    </row>
    <row r="286" spans="8:8" x14ac:dyDescent="0.25">
      <c r="H286" s="211"/>
    </row>
    <row r="287" spans="8:8" x14ac:dyDescent="0.25">
      <c r="H287" s="211"/>
    </row>
    <row r="288" spans="8:8" x14ac:dyDescent="0.25">
      <c r="H288" s="211"/>
    </row>
    <row r="289" spans="8:8" x14ac:dyDescent="0.25">
      <c r="H289" s="211"/>
    </row>
    <row r="290" spans="8:8" x14ac:dyDescent="0.25">
      <c r="H290" s="211"/>
    </row>
    <row r="291" spans="8:8" x14ac:dyDescent="0.25">
      <c r="H291" s="211"/>
    </row>
    <row r="292" spans="8:8" x14ac:dyDescent="0.25">
      <c r="H292" s="211"/>
    </row>
    <row r="293" spans="8:8" x14ac:dyDescent="0.25">
      <c r="H293" s="211"/>
    </row>
    <row r="294" spans="8:8" x14ac:dyDescent="0.25">
      <c r="H294" s="211"/>
    </row>
    <row r="295" spans="8:8" x14ac:dyDescent="0.25">
      <c r="H295" s="211"/>
    </row>
    <row r="296" spans="8:8" x14ac:dyDescent="0.25">
      <c r="H296" s="211"/>
    </row>
    <row r="297" spans="8:8" x14ac:dyDescent="0.25">
      <c r="H297" s="211"/>
    </row>
    <row r="298" spans="8:8" x14ac:dyDescent="0.25">
      <c r="H298" s="211"/>
    </row>
    <row r="299" spans="8:8" x14ac:dyDescent="0.25">
      <c r="H299" s="211"/>
    </row>
    <row r="300" spans="8:8" x14ac:dyDescent="0.25">
      <c r="H300" s="211"/>
    </row>
    <row r="301" spans="8:8" x14ac:dyDescent="0.25">
      <c r="H301" s="211"/>
    </row>
    <row r="302" spans="8:8" x14ac:dyDescent="0.25">
      <c r="H302" s="211"/>
    </row>
    <row r="303" spans="8:8" x14ac:dyDescent="0.25">
      <c r="H303" s="211"/>
    </row>
    <row r="304" spans="8:8" x14ac:dyDescent="0.25">
      <c r="H304" s="211"/>
    </row>
    <row r="305" spans="8:8" x14ac:dyDescent="0.25">
      <c r="H305" s="211"/>
    </row>
    <row r="306" spans="8:8" x14ac:dyDescent="0.25">
      <c r="H306" s="211"/>
    </row>
    <row r="307" spans="8:8" x14ac:dyDescent="0.25">
      <c r="H307" s="211"/>
    </row>
    <row r="308" spans="8:8" x14ac:dyDescent="0.25">
      <c r="H308" s="211"/>
    </row>
    <row r="309" spans="8:8" x14ac:dyDescent="0.25">
      <c r="H309" s="211"/>
    </row>
    <row r="310" spans="8:8" x14ac:dyDescent="0.25">
      <c r="H310" s="211"/>
    </row>
    <row r="311" spans="8:8" x14ac:dyDescent="0.25">
      <c r="H311" s="211"/>
    </row>
    <row r="312" spans="8:8" x14ac:dyDescent="0.25">
      <c r="H312" s="211"/>
    </row>
    <row r="313" spans="8:8" x14ac:dyDescent="0.25">
      <c r="H313" s="211"/>
    </row>
    <row r="314" spans="8:8" x14ac:dyDescent="0.25">
      <c r="H314" s="211"/>
    </row>
    <row r="315" spans="8:8" x14ac:dyDescent="0.25">
      <c r="H315" s="211"/>
    </row>
    <row r="316" spans="8:8" x14ac:dyDescent="0.25">
      <c r="H316" s="211"/>
    </row>
    <row r="317" spans="8:8" x14ac:dyDescent="0.25">
      <c r="H317" s="211"/>
    </row>
    <row r="318" spans="8:8" x14ac:dyDescent="0.25">
      <c r="H318" s="211"/>
    </row>
    <row r="319" spans="8:8" x14ac:dyDescent="0.25">
      <c r="H319" s="211"/>
    </row>
    <row r="320" spans="8:8" x14ac:dyDescent="0.25">
      <c r="H320" s="211"/>
    </row>
    <row r="321" spans="8:8" x14ac:dyDescent="0.25">
      <c r="H321" s="211"/>
    </row>
    <row r="322" spans="8:8" x14ac:dyDescent="0.25">
      <c r="H322" s="211"/>
    </row>
    <row r="323" spans="8:8" x14ac:dyDescent="0.25">
      <c r="H323" s="211"/>
    </row>
    <row r="324" spans="8:8" x14ac:dyDescent="0.25">
      <c r="H324" s="211"/>
    </row>
    <row r="325" spans="8:8" x14ac:dyDescent="0.25">
      <c r="H325" s="211"/>
    </row>
    <row r="326" spans="8:8" x14ac:dyDescent="0.25">
      <c r="H326" s="211"/>
    </row>
    <row r="327" spans="8:8" x14ac:dyDescent="0.25">
      <c r="H327" s="211"/>
    </row>
    <row r="328" spans="8:8" x14ac:dyDescent="0.25">
      <c r="H328" s="211"/>
    </row>
    <row r="329" spans="8:8" x14ac:dyDescent="0.25">
      <c r="H329" s="211"/>
    </row>
    <row r="330" spans="8:8" x14ac:dyDescent="0.25">
      <c r="H330" s="211"/>
    </row>
    <row r="331" spans="8:8" x14ac:dyDescent="0.25">
      <c r="H331" s="211"/>
    </row>
    <row r="332" spans="8:8" x14ac:dyDescent="0.25">
      <c r="H332" s="211"/>
    </row>
    <row r="333" spans="8:8" x14ac:dyDescent="0.25">
      <c r="H333" s="211"/>
    </row>
    <row r="334" spans="8:8" x14ac:dyDescent="0.25">
      <c r="H334" s="211"/>
    </row>
    <row r="335" spans="8:8" x14ac:dyDescent="0.25">
      <c r="H335" s="211"/>
    </row>
    <row r="336" spans="8:8" x14ac:dyDescent="0.25">
      <c r="H336" s="211"/>
    </row>
    <row r="337" spans="8:8" x14ac:dyDescent="0.25">
      <c r="H337" s="211"/>
    </row>
    <row r="338" spans="8:8" x14ac:dyDescent="0.25">
      <c r="H338" s="211"/>
    </row>
    <row r="339" spans="8:8" x14ac:dyDescent="0.25">
      <c r="H339" s="211"/>
    </row>
    <row r="340" spans="8:8" x14ac:dyDescent="0.25">
      <c r="H340" s="211"/>
    </row>
    <row r="341" spans="8:8" x14ac:dyDescent="0.25">
      <c r="H341" s="211"/>
    </row>
    <row r="342" spans="8:8" x14ac:dyDescent="0.25">
      <c r="H342" s="211"/>
    </row>
    <row r="343" spans="8:8" x14ac:dyDescent="0.25">
      <c r="H343" s="211"/>
    </row>
    <row r="344" spans="8:8" x14ac:dyDescent="0.25">
      <c r="H344" s="211"/>
    </row>
    <row r="345" spans="8:8" x14ac:dyDescent="0.25">
      <c r="H345" s="211"/>
    </row>
    <row r="346" spans="8:8" x14ac:dyDescent="0.25">
      <c r="H346" s="211"/>
    </row>
    <row r="347" spans="8:8" x14ac:dyDescent="0.25">
      <c r="H347" s="211"/>
    </row>
    <row r="348" spans="8:8" x14ac:dyDescent="0.25">
      <c r="H348" s="211"/>
    </row>
    <row r="349" spans="8:8" x14ac:dyDescent="0.25">
      <c r="H349" s="211"/>
    </row>
    <row r="350" spans="8:8" x14ac:dyDescent="0.25">
      <c r="H350" s="211"/>
    </row>
    <row r="351" spans="8:8" x14ac:dyDescent="0.25">
      <c r="H351" s="211"/>
    </row>
    <row r="352" spans="8:8" x14ac:dyDescent="0.25">
      <c r="H352" s="211"/>
    </row>
    <row r="353" spans="8:8" x14ac:dyDescent="0.25">
      <c r="H353" s="211"/>
    </row>
    <row r="354" spans="8:8" x14ac:dyDescent="0.25">
      <c r="H354" s="211"/>
    </row>
    <row r="355" spans="8:8" x14ac:dyDescent="0.25">
      <c r="H355" s="211"/>
    </row>
    <row r="356" spans="8:8" x14ac:dyDescent="0.25">
      <c r="H356" s="211"/>
    </row>
    <row r="357" spans="8:8" x14ac:dyDescent="0.25">
      <c r="H357" s="211"/>
    </row>
    <row r="358" spans="8:8" x14ac:dyDescent="0.25">
      <c r="H358" s="211"/>
    </row>
    <row r="359" spans="8:8" x14ac:dyDescent="0.25">
      <c r="H359" s="211"/>
    </row>
    <row r="360" spans="8:8" x14ac:dyDescent="0.25">
      <c r="H360" s="211"/>
    </row>
    <row r="361" spans="8:8" x14ac:dyDescent="0.25">
      <c r="H361" s="211"/>
    </row>
    <row r="362" spans="8:8" x14ac:dyDescent="0.25">
      <c r="H362" s="211"/>
    </row>
    <row r="363" spans="8:8" x14ac:dyDescent="0.25">
      <c r="H363" s="211"/>
    </row>
    <row r="364" spans="8:8" x14ac:dyDescent="0.25">
      <c r="H364" s="211"/>
    </row>
    <row r="365" spans="8:8" x14ac:dyDescent="0.25">
      <c r="H365" s="211"/>
    </row>
    <row r="366" spans="8:8" x14ac:dyDescent="0.25">
      <c r="H366" s="211"/>
    </row>
    <row r="367" spans="8:8" x14ac:dyDescent="0.25">
      <c r="H367" s="211"/>
    </row>
    <row r="368" spans="8:8" x14ac:dyDescent="0.25">
      <c r="H368" s="211"/>
    </row>
    <row r="369" spans="8:8" x14ac:dyDescent="0.25">
      <c r="H369" s="211"/>
    </row>
    <row r="370" spans="8:8" x14ac:dyDescent="0.25">
      <c r="H370" s="211"/>
    </row>
    <row r="371" spans="8:8" x14ac:dyDescent="0.25">
      <c r="H371" s="211"/>
    </row>
    <row r="372" spans="8:8" x14ac:dyDescent="0.25">
      <c r="H372" s="211"/>
    </row>
    <row r="373" spans="8:8" x14ac:dyDescent="0.25">
      <c r="H373" s="211"/>
    </row>
    <row r="374" spans="8:8" x14ac:dyDescent="0.25">
      <c r="H374" s="211"/>
    </row>
    <row r="375" spans="8:8" x14ac:dyDescent="0.25">
      <c r="H375" s="211"/>
    </row>
    <row r="376" spans="8:8" x14ac:dyDescent="0.25">
      <c r="H376" s="211"/>
    </row>
    <row r="377" spans="8:8" x14ac:dyDescent="0.25">
      <c r="H377" s="211"/>
    </row>
    <row r="378" spans="8:8" x14ac:dyDescent="0.25">
      <c r="H378" s="211"/>
    </row>
    <row r="379" spans="8:8" x14ac:dyDescent="0.25">
      <c r="H379" s="211"/>
    </row>
    <row r="380" spans="8:8" x14ac:dyDescent="0.25">
      <c r="H380" s="211"/>
    </row>
    <row r="381" spans="8:8" x14ac:dyDescent="0.25">
      <c r="H381" s="211"/>
    </row>
    <row r="382" spans="8:8" x14ac:dyDescent="0.25">
      <c r="H382" s="211"/>
    </row>
    <row r="383" spans="8:8" x14ac:dyDescent="0.25">
      <c r="H383" s="211"/>
    </row>
    <row r="384" spans="8:8" x14ac:dyDescent="0.25">
      <c r="H384" s="211"/>
    </row>
    <row r="385" spans="8:8" x14ac:dyDescent="0.25">
      <c r="H385" s="211"/>
    </row>
    <row r="386" spans="8:8" x14ac:dyDescent="0.25">
      <c r="H386" s="211"/>
    </row>
    <row r="387" spans="8:8" x14ac:dyDescent="0.25">
      <c r="H387" s="211"/>
    </row>
    <row r="388" spans="8:8" x14ac:dyDescent="0.25">
      <c r="H388" s="211"/>
    </row>
    <row r="389" spans="8:8" x14ac:dyDescent="0.25">
      <c r="H389" s="211"/>
    </row>
    <row r="390" spans="8:8" x14ac:dyDescent="0.25">
      <c r="H390" s="211"/>
    </row>
    <row r="391" spans="8:8" x14ac:dyDescent="0.25">
      <c r="H391" s="211"/>
    </row>
    <row r="392" spans="8:8" x14ac:dyDescent="0.25">
      <c r="H392" s="211"/>
    </row>
    <row r="393" spans="8:8" x14ac:dyDescent="0.25">
      <c r="H393" s="211"/>
    </row>
    <row r="394" spans="8:8" x14ac:dyDescent="0.25">
      <c r="H394" s="211"/>
    </row>
    <row r="395" spans="8:8" x14ac:dyDescent="0.25">
      <c r="H395" s="211"/>
    </row>
    <row r="396" spans="8:8" x14ac:dyDescent="0.25">
      <c r="H396" s="211"/>
    </row>
    <row r="397" spans="8:8" x14ac:dyDescent="0.25">
      <c r="H397" s="211"/>
    </row>
    <row r="398" spans="8:8" x14ac:dyDescent="0.25">
      <c r="H398" s="211"/>
    </row>
    <row r="399" spans="8:8" x14ac:dyDescent="0.25">
      <c r="H399" s="211"/>
    </row>
    <row r="400" spans="8:8" x14ac:dyDescent="0.25">
      <c r="H400" s="211"/>
    </row>
    <row r="401" spans="8:8" x14ac:dyDescent="0.25">
      <c r="H401" s="211"/>
    </row>
    <row r="402" spans="8:8" x14ac:dyDescent="0.25">
      <c r="H402" s="211"/>
    </row>
    <row r="403" spans="8:8" x14ac:dyDescent="0.25">
      <c r="H403" s="211"/>
    </row>
    <row r="404" spans="8:8" x14ac:dyDescent="0.25">
      <c r="H404" s="211"/>
    </row>
    <row r="405" spans="8:8" x14ac:dyDescent="0.25">
      <c r="H405" s="211"/>
    </row>
    <row r="406" spans="8:8" x14ac:dyDescent="0.25">
      <c r="H406" s="211"/>
    </row>
    <row r="407" spans="8:8" x14ac:dyDescent="0.25">
      <c r="H407" s="211"/>
    </row>
    <row r="408" spans="8:8" x14ac:dyDescent="0.25">
      <c r="H408" s="211"/>
    </row>
    <row r="409" spans="8:8" x14ac:dyDescent="0.25">
      <c r="H409" s="211"/>
    </row>
    <row r="410" spans="8:8" x14ac:dyDescent="0.25">
      <c r="H410" s="211"/>
    </row>
    <row r="411" spans="8:8" x14ac:dyDescent="0.25">
      <c r="H411" s="211"/>
    </row>
    <row r="412" spans="8:8" x14ac:dyDescent="0.25">
      <c r="H412" s="211"/>
    </row>
    <row r="413" spans="8:8" x14ac:dyDescent="0.25">
      <c r="H413" s="211"/>
    </row>
    <row r="414" spans="8:8" x14ac:dyDescent="0.25">
      <c r="H414" s="211"/>
    </row>
    <row r="415" spans="8:8" x14ac:dyDescent="0.25">
      <c r="H415" s="211"/>
    </row>
    <row r="416" spans="8:8" x14ac:dyDescent="0.25">
      <c r="H416" s="211"/>
    </row>
    <row r="417" spans="8:8" x14ac:dyDescent="0.25">
      <c r="H417" s="211"/>
    </row>
    <row r="418" spans="8:8" x14ac:dyDescent="0.25">
      <c r="H418" s="211"/>
    </row>
    <row r="419" spans="8:8" x14ac:dyDescent="0.25">
      <c r="H419" s="211"/>
    </row>
    <row r="420" spans="8:8" x14ac:dyDescent="0.25">
      <c r="H420" s="211"/>
    </row>
    <row r="421" spans="8:8" x14ac:dyDescent="0.25">
      <c r="H421" s="211"/>
    </row>
    <row r="422" spans="8:8" x14ac:dyDescent="0.25">
      <c r="H422" s="211"/>
    </row>
    <row r="423" spans="8:8" x14ac:dyDescent="0.25">
      <c r="H423" s="211"/>
    </row>
    <row r="424" spans="8:8" x14ac:dyDescent="0.25">
      <c r="H424" s="211"/>
    </row>
    <row r="425" spans="8:8" x14ac:dyDescent="0.25">
      <c r="H425" s="211"/>
    </row>
    <row r="426" spans="8:8" x14ac:dyDescent="0.25">
      <c r="H426" s="211"/>
    </row>
    <row r="427" spans="8:8" x14ac:dyDescent="0.25">
      <c r="H427" s="211"/>
    </row>
    <row r="428" spans="8:8" x14ac:dyDescent="0.25">
      <c r="H428" s="211"/>
    </row>
    <row r="429" spans="8:8" x14ac:dyDescent="0.25">
      <c r="H429" s="211"/>
    </row>
    <row r="430" spans="8:8" x14ac:dyDescent="0.25">
      <c r="H430" s="211"/>
    </row>
    <row r="431" spans="8:8" x14ac:dyDescent="0.25">
      <c r="H431" s="211"/>
    </row>
    <row r="432" spans="8:8" x14ac:dyDescent="0.25">
      <c r="H432" s="211"/>
    </row>
    <row r="433" spans="8:8" x14ac:dyDescent="0.25">
      <c r="H433" s="211"/>
    </row>
    <row r="434" spans="8:8" x14ac:dyDescent="0.25">
      <c r="H434" s="211"/>
    </row>
    <row r="435" spans="8:8" x14ac:dyDescent="0.25">
      <c r="H435" s="211"/>
    </row>
    <row r="436" spans="8:8" x14ac:dyDescent="0.25">
      <c r="H436" s="211"/>
    </row>
    <row r="437" spans="8:8" x14ac:dyDescent="0.25">
      <c r="H437" s="211"/>
    </row>
    <row r="438" spans="8:8" x14ac:dyDescent="0.25">
      <c r="H438" s="211"/>
    </row>
    <row r="439" spans="8:8" x14ac:dyDescent="0.25">
      <c r="H439" s="211"/>
    </row>
    <row r="440" spans="8:8" x14ac:dyDescent="0.25">
      <c r="H440" s="211"/>
    </row>
    <row r="441" spans="8:8" x14ac:dyDescent="0.25">
      <c r="H441" s="211"/>
    </row>
    <row r="442" spans="8:8" x14ac:dyDescent="0.25">
      <c r="H442" s="211"/>
    </row>
    <row r="443" spans="8:8" x14ac:dyDescent="0.25">
      <c r="H443" s="211"/>
    </row>
    <row r="444" spans="8:8" x14ac:dyDescent="0.25">
      <c r="H444" s="211"/>
    </row>
    <row r="445" spans="8:8" x14ac:dyDescent="0.25">
      <c r="H445" s="211"/>
    </row>
    <row r="446" spans="8:8" x14ac:dyDescent="0.25">
      <c r="H446" s="211"/>
    </row>
    <row r="447" spans="8:8" x14ac:dyDescent="0.25">
      <c r="H447" s="211"/>
    </row>
    <row r="448" spans="8:8" x14ac:dyDescent="0.25">
      <c r="H448" s="211"/>
    </row>
    <row r="449" spans="8:8" x14ac:dyDescent="0.25">
      <c r="H449" s="211"/>
    </row>
    <row r="450" spans="8:8" x14ac:dyDescent="0.25">
      <c r="H450" s="211"/>
    </row>
    <row r="451" spans="8:8" x14ac:dyDescent="0.25">
      <c r="H451" s="211"/>
    </row>
    <row r="452" spans="8:8" x14ac:dyDescent="0.25">
      <c r="H452" s="211"/>
    </row>
    <row r="453" spans="8:8" x14ac:dyDescent="0.25">
      <c r="H453" s="211"/>
    </row>
    <row r="454" spans="8:8" x14ac:dyDescent="0.25">
      <c r="H454" s="211"/>
    </row>
    <row r="455" spans="8:8" x14ac:dyDescent="0.25">
      <c r="H455" s="211"/>
    </row>
    <row r="456" spans="8:8" x14ac:dyDescent="0.25">
      <c r="H456" s="211"/>
    </row>
    <row r="457" spans="8:8" x14ac:dyDescent="0.25">
      <c r="H457" s="211"/>
    </row>
    <row r="458" spans="8:8" x14ac:dyDescent="0.25">
      <c r="H458" s="211"/>
    </row>
    <row r="459" spans="8:8" x14ac:dyDescent="0.25">
      <c r="H459" s="211"/>
    </row>
    <row r="460" spans="8:8" x14ac:dyDescent="0.25">
      <c r="H460" s="211"/>
    </row>
    <row r="461" spans="8:8" x14ac:dyDescent="0.25">
      <c r="H461" s="211"/>
    </row>
    <row r="462" spans="8:8" x14ac:dyDescent="0.25">
      <c r="H462" s="211"/>
    </row>
    <row r="463" spans="8:8" x14ac:dyDescent="0.25">
      <c r="H463" s="211"/>
    </row>
    <row r="464" spans="8:8" x14ac:dyDescent="0.25">
      <c r="H464" s="211"/>
    </row>
    <row r="465" spans="8:8" x14ac:dyDescent="0.25">
      <c r="H465" s="211"/>
    </row>
    <row r="466" spans="8:8" x14ac:dyDescent="0.25">
      <c r="H466" s="211"/>
    </row>
    <row r="467" spans="8:8" x14ac:dyDescent="0.25">
      <c r="H467" s="211"/>
    </row>
    <row r="468" spans="8:8" x14ac:dyDescent="0.25">
      <c r="H468" s="211"/>
    </row>
    <row r="469" spans="8:8" x14ac:dyDescent="0.25">
      <c r="H469" s="211"/>
    </row>
    <row r="470" spans="8:8" x14ac:dyDescent="0.25">
      <c r="H470" s="211"/>
    </row>
    <row r="471" spans="8:8" x14ac:dyDescent="0.25">
      <c r="H471" s="211"/>
    </row>
    <row r="472" spans="8:8" x14ac:dyDescent="0.25">
      <c r="H472" s="211"/>
    </row>
    <row r="473" spans="8:8" x14ac:dyDescent="0.25">
      <c r="H473" s="211"/>
    </row>
    <row r="474" spans="8:8" x14ac:dyDescent="0.25">
      <c r="H474" s="211"/>
    </row>
    <row r="475" spans="8:8" x14ac:dyDescent="0.25">
      <c r="H475" s="211"/>
    </row>
    <row r="476" spans="8:8" x14ac:dyDescent="0.25">
      <c r="H476" s="211"/>
    </row>
    <row r="477" spans="8:8" x14ac:dyDescent="0.25">
      <c r="H477" s="211"/>
    </row>
    <row r="478" spans="8:8" x14ac:dyDescent="0.25">
      <c r="H478" s="211"/>
    </row>
    <row r="479" spans="8:8" x14ac:dyDescent="0.25">
      <c r="H479" s="211"/>
    </row>
    <row r="480" spans="8:8" x14ac:dyDescent="0.25">
      <c r="H480" s="211"/>
    </row>
    <row r="481" spans="8:8" x14ac:dyDescent="0.25">
      <c r="H481" s="211"/>
    </row>
    <row r="482" spans="8:8" x14ac:dyDescent="0.25">
      <c r="H482" s="211"/>
    </row>
    <row r="483" spans="8:8" x14ac:dyDescent="0.25">
      <c r="H483" s="211"/>
    </row>
    <row r="484" spans="8:8" x14ac:dyDescent="0.25">
      <c r="H484" s="211"/>
    </row>
    <row r="485" spans="8:8" x14ac:dyDescent="0.25">
      <c r="H485" s="211"/>
    </row>
    <row r="486" spans="8:8" x14ac:dyDescent="0.25">
      <c r="H486" s="211"/>
    </row>
    <row r="487" spans="8:8" x14ac:dyDescent="0.25">
      <c r="H487" s="211"/>
    </row>
    <row r="488" spans="8:8" x14ac:dyDescent="0.25">
      <c r="H488" s="211"/>
    </row>
    <row r="489" spans="8:8" x14ac:dyDescent="0.25">
      <c r="H489" s="211"/>
    </row>
    <row r="490" spans="8:8" x14ac:dyDescent="0.25">
      <c r="H490" s="211"/>
    </row>
    <row r="491" spans="8:8" x14ac:dyDescent="0.25">
      <c r="H491" s="211"/>
    </row>
    <row r="492" spans="8:8" x14ac:dyDescent="0.25">
      <c r="H492" s="211"/>
    </row>
    <row r="493" spans="8:8" x14ac:dyDescent="0.25">
      <c r="H493" s="211"/>
    </row>
    <row r="494" spans="8:8" x14ac:dyDescent="0.25">
      <c r="H494" s="211"/>
    </row>
    <row r="495" spans="8:8" x14ac:dyDescent="0.25">
      <c r="H495" s="211"/>
    </row>
    <row r="496" spans="8:8" x14ac:dyDescent="0.25">
      <c r="H496" s="211"/>
    </row>
    <row r="497" spans="8:8" x14ac:dyDescent="0.25">
      <c r="H497" s="211"/>
    </row>
    <row r="498" spans="8:8" x14ac:dyDescent="0.25">
      <c r="H498" s="211"/>
    </row>
    <row r="499" spans="8:8" x14ac:dyDescent="0.25">
      <c r="H499" s="211"/>
    </row>
    <row r="500" spans="8:8" x14ac:dyDescent="0.25">
      <c r="H500" s="211"/>
    </row>
    <row r="501" spans="8:8" x14ac:dyDescent="0.25">
      <c r="H501" s="211"/>
    </row>
    <row r="502" spans="8:8" x14ac:dyDescent="0.25">
      <c r="H502" s="211"/>
    </row>
    <row r="503" spans="8:8" x14ac:dyDescent="0.25">
      <c r="H503" s="211"/>
    </row>
    <row r="504" spans="8:8" x14ac:dyDescent="0.25">
      <c r="H504" s="211"/>
    </row>
    <row r="505" spans="8:8" x14ac:dyDescent="0.25">
      <c r="H505" s="211"/>
    </row>
    <row r="506" spans="8:8" x14ac:dyDescent="0.25">
      <c r="H506" s="211"/>
    </row>
    <row r="507" spans="8:8" x14ac:dyDescent="0.25">
      <c r="H507" s="211"/>
    </row>
    <row r="508" spans="8:8" x14ac:dyDescent="0.25">
      <c r="H508" s="211"/>
    </row>
    <row r="509" spans="8:8" x14ac:dyDescent="0.25">
      <c r="H509" s="211"/>
    </row>
    <row r="510" spans="8:8" x14ac:dyDescent="0.25">
      <c r="H510" s="211"/>
    </row>
    <row r="511" spans="8:8" x14ac:dyDescent="0.25">
      <c r="H511" s="211"/>
    </row>
    <row r="512" spans="8:8" x14ac:dyDescent="0.25">
      <c r="H512" s="211"/>
    </row>
    <row r="513" spans="8:8" x14ac:dyDescent="0.25">
      <c r="H513" s="211"/>
    </row>
    <row r="514" spans="8:8" x14ac:dyDescent="0.25">
      <c r="H514" s="211"/>
    </row>
    <row r="515" spans="8:8" x14ac:dyDescent="0.25">
      <c r="H515" s="211"/>
    </row>
    <row r="516" spans="8:8" x14ac:dyDescent="0.25">
      <c r="H516" s="211"/>
    </row>
    <row r="517" spans="8:8" x14ac:dyDescent="0.25">
      <c r="H517" s="211"/>
    </row>
    <row r="518" spans="8:8" x14ac:dyDescent="0.25">
      <c r="H518" s="211"/>
    </row>
    <row r="519" spans="8:8" x14ac:dyDescent="0.25">
      <c r="H519" s="211"/>
    </row>
    <row r="520" spans="8:8" x14ac:dyDescent="0.25">
      <c r="H520" s="211"/>
    </row>
    <row r="521" spans="8:8" x14ac:dyDescent="0.25">
      <c r="H521" s="211"/>
    </row>
    <row r="522" spans="8:8" x14ac:dyDescent="0.25">
      <c r="H522" s="211"/>
    </row>
    <row r="523" spans="8:8" x14ac:dyDescent="0.25">
      <c r="H523" s="211"/>
    </row>
    <row r="524" spans="8:8" x14ac:dyDescent="0.25">
      <c r="H524" s="211"/>
    </row>
    <row r="525" spans="8:8" x14ac:dyDescent="0.25">
      <c r="H525" s="211"/>
    </row>
    <row r="526" spans="8:8" x14ac:dyDescent="0.25">
      <c r="H526" s="211"/>
    </row>
    <row r="527" spans="8:8" x14ac:dyDescent="0.25">
      <c r="H527" s="211"/>
    </row>
    <row r="528" spans="8:8" x14ac:dyDescent="0.25">
      <c r="H528" s="211"/>
    </row>
    <row r="529" spans="8:8" x14ac:dyDescent="0.25">
      <c r="H529" s="211"/>
    </row>
    <row r="530" spans="8:8" x14ac:dyDescent="0.25">
      <c r="H530" s="211"/>
    </row>
    <row r="531" spans="8:8" x14ac:dyDescent="0.25">
      <c r="H531" s="211"/>
    </row>
    <row r="532" spans="8:8" x14ac:dyDescent="0.25">
      <c r="H532" s="211"/>
    </row>
    <row r="533" spans="8:8" x14ac:dyDescent="0.25">
      <c r="H533" s="211"/>
    </row>
    <row r="534" spans="8:8" x14ac:dyDescent="0.25">
      <c r="H534" s="211"/>
    </row>
    <row r="535" spans="8:8" x14ac:dyDescent="0.25">
      <c r="H535" s="211"/>
    </row>
    <row r="536" spans="8:8" x14ac:dyDescent="0.25">
      <c r="H536" s="211"/>
    </row>
    <row r="537" spans="8:8" x14ac:dyDescent="0.25">
      <c r="H537" s="211"/>
    </row>
    <row r="538" spans="8:8" x14ac:dyDescent="0.25">
      <c r="H538" s="211"/>
    </row>
    <row r="539" spans="8:8" x14ac:dyDescent="0.25">
      <c r="H539" s="211"/>
    </row>
    <row r="540" spans="8:8" x14ac:dyDescent="0.25">
      <c r="H540" s="211"/>
    </row>
    <row r="541" spans="8:8" x14ac:dyDescent="0.25">
      <c r="H541" s="211"/>
    </row>
    <row r="542" spans="8:8" x14ac:dyDescent="0.25">
      <c r="H542" s="211"/>
    </row>
    <row r="543" spans="8:8" x14ac:dyDescent="0.25">
      <c r="H543" s="211"/>
    </row>
    <row r="544" spans="8:8" x14ac:dyDescent="0.25">
      <c r="H544" s="211"/>
    </row>
    <row r="545" spans="8:8" x14ac:dyDescent="0.25">
      <c r="H545" s="211"/>
    </row>
    <row r="546" spans="8:8" x14ac:dyDescent="0.25">
      <c r="H546" s="211"/>
    </row>
    <row r="547" spans="8:8" x14ac:dyDescent="0.25">
      <c r="H547" s="211"/>
    </row>
    <row r="548" spans="8:8" x14ac:dyDescent="0.25">
      <c r="H548" s="211"/>
    </row>
    <row r="549" spans="8:8" x14ac:dyDescent="0.25">
      <c r="H549" s="211"/>
    </row>
    <row r="550" spans="8:8" x14ac:dyDescent="0.25">
      <c r="H550" s="211"/>
    </row>
    <row r="551" spans="8:8" x14ac:dyDescent="0.25">
      <c r="H551" s="211"/>
    </row>
    <row r="552" spans="8:8" x14ac:dyDescent="0.25">
      <c r="H552" s="211"/>
    </row>
    <row r="553" spans="8:8" x14ac:dyDescent="0.25">
      <c r="H553" s="211"/>
    </row>
    <row r="554" spans="8:8" x14ac:dyDescent="0.25">
      <c r="H554" s="211"/>
    </row>
    <row r="555" spans="8:8" x14ac:dyDescent="0.25">
      <c r="H555" s="211"/>
    </row>
    <row r="556" spans="8:8" x14ac:dyDescent="0.25">
      <c r="H556" s="211"/>
    </row>
    <row r="557" spans="8:8" x14ac:dyDescent="0.25">
      <c r="H557" s="211"/>
    </row>
    <row r="558" spans="8:8" x14ac:dyDescent="0.25">
      <c r="H558" s="211"/>
    </row>
    <row r="559" spans="8:8" x14ac:dyDescent="0.25">
      <c r="H559" s="211"/>
    </row>
    <row r="560" spans="8:8" x14ac:dyDescent="0.25">
      <c r="H560" s="211"/>
    </row>
    <row r="561" spans="8:8" x14ac:dyDescent="0.25">
      <c r="H561" s="211"/>
    </row>
    <row r="562" spans="8:8" x14ac:dyDescent="0.25">
      <c r="H562" s="211"/>
    </row>
    <row r="563" spans="8:8" x14ac:dyDescent="0.25">
      <c r="H563" s="211"/>
    </row>
    <row r="564" spans="8:8" x14ac:dyDescent="0.25">
      <c r="H564" s="211"/>
    </row>
    <row r="565" spans="8:8" x14ac:dyDescent="0.25">
      <c r="H565" s="211"/>
    </row>
    <row r="566" spans="8:8" x14ac:dyDescent="0.25">
      <c r="H566" s="211"/>
    </row>
    <row r="567" spans="8:8" x14ac:dyDescent="0.25">
      <c r="H567" s="211"/>
    </row>
    <row r="568" spans="8:8" x14ac:dyDescent="0.25">
      <c r="H568" s="211"/>
    </row>
    <row r="569" spans="8:8" x14ac:dyDescent="0.25">
      <c r="H569" s="211"/>
    </row>
    <row r="570" spans="8:8" x14ac:dyDescent="0.25">
      <c r="H570" s="211"/>
    </row>
    <row r="571" spans="8:8" x14ac:dyDescent="0.25">
      <c r="H571" s="211"/>
    </row>
    <row r="572" spans="8:8" x14ac:dyDescent="0.25">
      <c r="H572" s="211"/>
    </row>
    <row r="573" spans="8:8" x14ac:dyDescent="0.25">
      <c r="H573" s="211"/>
    </row>
    <row r="574" spans="8:8" x14ac:dyDescent="0.25">
      <c r="H574" s="211"/>
    </row>
    <row r="575" spans="8:8" x14ac:dyDescent="0.25">
      <c r="H575" s="211"/>
    </row>
    <row r="576" spans="8:8" x14ac:dyDescent="0.25">
      <c r="H576" s="211"/>
    </row>
    <row r="577" spans="8:8" x14ac:dyDescent="0.25">
      <c r="H577" s="211"/>
    </row>
    <row r="578" spans="8:8" x14ac:dyDescent="0.25">
      <c r="H578" s="211"/>
    </row>
    <row r="579" spans="8:8" x14ac:dyDescent="0.25">
      <c r="H579" s="211"/>
    </row>
    <row r="580" spans="8:8" x14ac:dyDescent="0.25">
      <c r="H580" s="211"/>
    </row>
    <row r="581" spans="8:8" x14ac:dyDescent="0.25">
      <c r="H581" s="211"/>
    </row>
    <row r="582" spans="8:8" x14ac:dyDescent="0.25">
      <c r="H582" s="211"/>
    </row>
    <row r="583" spans="8:8" x14ac:dyDescent="0.25">
      <c r="H583" s="211"/>
    </row>
    <row r="584" spans="8:8" x14ac:dyDescent="0.25">
      <c r="H584" s="211"/>
    </row>
    <row r="585" spans="8:8" x14ac:dyDescent="0.25">
      <c r="H585" s="211"/>
    </row>
    <row r="586" spans="8:8" x14ac:dyDescent="0.25">
      <c r="H586" s="211"/>
    </row>
    <row r="587" spans="8:8" x14ac:dyDescent="0.25">
      <c r="H587" s="211"/>
    </row>
    <row r="588" spans="8:8" x14ac:dyDescent="0.25">
      <c r="H588" s="211"/>
    </row>
    <row r="589" spans="8:8" x14ac:dyDescent="0.25">
      <c r="H589" s="211"/>
    </row>
    <row r="590" spans="8:8" x14ac:dyDescent="0.25">
      <c r="H590" s="211"/>
    </row>
    <row r="591" spans="8:8" x14ac:dyDescent="0.25">
      <c r="H591" s="211"/>
    </row>
    <row r="592" spans="8:8" x14ac:dyDescent="0.25">
      <c r="H592" s="211"/>
    </row>
    <row r="593" spans="8:8" x14ac:dyDescent="0.25">
      <c r="H593" s="211"/>
    </row>
    <row r="594" spans="8:8" x14ac:dyDescent="0.25">
      <c r="H594" s="211"/>
    </row>
    <row r="595" spans="8:8" x14ac:dyDescent="0.25">
      <c r="H595" s="211"/>
    </row>
    <row r="596" spans="8:8" x14ac:dyDescent="0.25">
      <c r="H596" s="211"/>
    </row>
    <row r="597" spans="8:8" x14ac:dyDescent="0.25">
      <c r="H597" s="211"/>
    </row>
    <row r="598" spans="8:8" x14ac:dyDescent="0.25">
      <c r="H598" s="211"/>
    </row>
    <row r="599" spans="8:8" x14ac:dyDescent="0.25">
      <c r="H599" s="211"/>
    </row>
    <row r="600" spans="8:8" x14ac:dyDescent="0.25">
      <c r="H600" s="211"/>
    </row>
    <row r="601" spans="8:8" x14ac:dyDescent="0.25">
      <c r="H601" s="211"/>
    </row>
    <row r="602" spans="8:8" x14ac:dyDescent="0.25">
      <c r="H602" s="211"/>
    </row>
    <row r="603" spans="8:8" x14ac:dyDescent="0.25">
      <c r="H603" s="211"/>
    </row>
    <row r="604" spans="8:8" x14ac:dyDescent="0.25">
      <c r="H604" s="211"/>
    </row>
    <row r="605" spans="8:8" x14ac:dyDescent="0.25">
      <c r="H605" s="211"/>
    </row>
    <row r="606" spans="8:8" x14ac:dyDescent="0.25">
      <c r="H606" s="211"/>
    </row>
    <row r="607" spans="8:8" x14ac:dyDescent="0.25">
      <c r="H607" s="211"/>
    </row>
    <row r="608" spans="8:8" x14ac:dyDescent="0.25">
      <c r="H608" s="211"/>
    </row>
    <row r="609" spans="8:8" x14ac:dyDescent="0.25">
      <c r="H609" s="211"/>
    </row>
    <row r="610" spans="8:8" x14ac:dyDescent="0.25">
      <c r="H610" s="211"/>
    </row>
    <row r="611" spans="8:8" x14ac:dyDescent="0.25">
      <c r="H611" s="211"/>
    </row>
    <row r="612" spans="8:8" x14ac:dyDescent="0.25">
      <c r="H612" s="211"/>
    </row>
    <row r="613" spans="8:8" x14ac:dyDescent="0.25">
      <c r="H613" s="211"/>
    </row>
    <row r="614" spans="8:8" x14ac:dyDescent="0.25">
      <c r="H614" s="211"/>
    </row>
    <row r="615" spans="8:8" x14ac:dyDescent="0.25">
      <c r="H615" s="211"/>
    </row>
    <row r="616" spans="8:8" x14ac:dyDescent="0.25">
      <c r="H616" s="211"/>
    </row>
    <row r="617" spans="8:8" x14ac:dyDescent="0.25">
      <c r="H617" s="211"/>
    </row>
    <row r="618" spans="8:8" x14ac:dyDescent="0.25">
      <c r="H618" s="211"/>
    </row>
    <row r="619" spans="8:8" x14ac:dyDescent="0.25">
      <c r="H619" s="211"/>
    </row>
    <row r="620" spans="8:8" x14ac:dyDescent="0.25">
      <c r="H620" s="211"/>
    </row>
    <row r="621" spans="8:8" x14ac:dyDescent="0.25">
      <c r="H621" s="211"/>
    </row>
    <row r="622" spans="8:8" x14ac:dyDescent="0.25">
      <c r="H622" s="211"/>
    </row>
    <row r="623" spans="8:8" x14ac:dyDescent="0.25">
      <c r="H623" s="211"/>
    </row>
    <row r="624" spans="8:8" x14ac:dyDescent="0.25">
      <c r="H624" s="211"/>
    </row>
    <row r="625" spans="8:8" x14ac:dyDescent="0.25">
      <c r="H625" s="211"/>
    </row>
    <row r="626" spans="8:8" x14ac:dyDescent="0.25">
      <c r="H626" s="211"/>
    </row>
    <row r="627" spans="8:8" x14ac:dyDescent="0.25">
      <c r="H627" s="211"/>
    </row>
    <row r="628" spans="8:8" x14ac:dyDescent="0.25">
      <c r="H628" s="211"/>
    </row>
    <row r="629" spans="8:8" x14ac:dyDescent="0.25">
      <c r="H629" s="211"/>
    </row>
    <row r="630" spans="8:8" x14ac:dyDescent="0.25">
      <c r="H630" s="211"/>
    </row>
    <row r="631" spans="8:8" x14ac:dyDescent="0.25">
      <c r="H631" s="211"/>
    </row>
    <row r="632" spans="8:8" x14ac:dyDescent="0.25">
      <c r="H632" s="211"/>
    </row>
    <row r="633" spans="8:8" x14ac:dyDescent="0.25">
      <c r="H633" s="211"/>
    </row>
    <row r="634" spans="8:8" x14ac:dyDescent="0.25">
      <c r="H634" s="211"/>
    </row>
    <row r="635" spans="8:8" x14ac:dyDescent="0.25">
      <c r="H635" s="211"/>
    </row>
    <row r="636" spans="8:8" x14ac:dyDescent="0.25">
      <c r="H636" s="211"/>
    </row>
    <row r="637" spans="8:8" x14ac:dyDescent="0.25">
      <c r="H637" s="211"/>
    </row>
    <row r="638" spans="8:8" x14ac:dyDescent="0.25">
      <c r="H638" s="211"/>
    </row>
    <row r="639" spans="8:8" x14ac:dyDescent="0.25">
      <c r="H639" s="211"/>
    </row>
    <row r="640" spans="8:8" x14ac:dyDescent="0.25">
      <c r="H640" s="211"/>
    </row>
    <row r="641" spans="8:8" x14ac:dyDescent="0.25">
      <c r="H641" s="211"/>
    </row>
    <row r="642" spans="8:8" x14ac:dyDescent="0.25">
      <c r="H642" s="211"/>
    </row>
    <row r="643" spans="8:8" x14ac:dyDescent="0.25">
      <c r="H643" s="211"/>
    </row>
    <row r="644" spans="8:8" x14ac:dyDescent="0.25">
      <c r="H644" s="211"/>
    </row>
    <row r="645" spans="8:8" x14ac:dyDescent="0.25">
      <c r="H645" s="211"/>
    </row>
    <row r="646" spans="8:8" x14ac:dyDescent="0.25">
      <c r="H646" s="211"/>
    </row>
    <row r="647" spans="8:8" x14ac:dyDescent="0.25">
      <c r="H647" s="211"/>
    </row>
    <row r="648" spans="8:8" x14ac:dyDescent="0.25">
      <c r="H648" s="211"/>
    </row>
    <row r="649" spans="8:8" x14ac:dyDescent="0.25">
      <c r="H649" s="211"/>
    </row>
    <row r="650" spans="8:8" x14ac:dyDescent="0.25">
      <c r="H650" s="211"/>
    </row>
    <row r="651" spans="8:8" x14ac:dyDescent="0.25">
      <c r="H651" s="211"/>
    </row>
    <row r="652" spans="8:8" x14ac:dyDescent="0.25">
      <c r="H652" s="211"/>
    </row>
    <row r="653" spans="8:8" x14ac:dyDescent="0.25">
      <c r="H653" s="211"/>
    </row>
    <row r="654" spans="8:8" x14ac:dyDescent="0.25">
      <c r="H654" s="211"/>
    </row>
    <row r="655" spans="8:8" x14ac:dyDescent="0.25">
      <c r="H655" s="211"/>
    </row>
    <row r="656" spans="8:8" x14ac:dyDescent="0.25">
      <c r="H656" s="211"/>
    </row>
    <row r="657" spans="8:8" x14ac:dyDescent="0.25">
      <c r="H657" s="211"/>
    </row>
    <row r="658" spans="8:8" x14ac:dyDescent="0.25">
      <c r="H658" s="211"/>
    </row>
    <row r="659" spans="8:8" x14ac:dyDescent="0.25">
      <c r="H659" s="211"/>
    </row>
    <row r="660" spans="8:8" x14ac:dyDescent="0.25">
      <c r="H660" s="211"/>
    </row>
    <row r="661" spans="8:8" x14ac:dyDescent="0.25">
      <c r="H661" s="211"/>
    </row>
    <row r="662" spans="8:8" x14ac:dyDescent="0.25">
      <c r="H662" s="211"/>
    </row>
    <row r="663" spans="8:8" x14ac:dyDescent="0.25">
      <c r="H663" s="211"/>
    </row>
    <row r="664" spans="8:8" x14ac:dyDescent="0.25">
      <c r="H664" s="211"/>
    </row>
    <row r="665" spans="8:8" x14ac:dyDescent="0.25">
      <c r="H665" s="211"/>
    </row>
    <row r="666" spans="8:8" x14ac:dyDescent="0.25">
      <c r="H666" s="211"/>
    </row>
    <row r="667" spans="8:8" x14ac:dyDescent="0.25">
      <c r="H667" s="211"/>
    </row>
    <row r="668" spans="8:8" x14ac:dyDescent="0.25">
      <c r="H668" s="211"/>
    </row>
    <row r="669" spans="8:8" x14ac:dyDescent="0.25">
      <c r="H669" s="211"/>
    </row>
    <row r="670" spans="8:8" x14ac:dyDescent="0.25">
      <c r="H670" s="211"/>
    </row>
    <row r="671" spans="8:8" x14ac:dyDescent="0.25">
      <c r="H671" s="211"/>
    </row>
    <row r="672" spans="8:8" x14ac:dyDescent="0.25">
      <c r="H672" s="211"/>
    </row>
    <row r="673" spans="8:8" x14ac:dyDescent="0.25">
      <c r="H673" s="211"/>
    </row>
    <row r="674" spans="8:8" x14ac:dyDescent="0.25">
      <c r="H674" s="211"/>
    </row>
    <row r="675" spans="8:8" x14ac:dyDescent="0.25">
      <c r="H675" s="211"/>
    </row>
    <row r="676" spans="8:8" x14ac:dyDescent="0.25">
      <c r="H676" s="211"/>
    </row>
    <row r="677" spans="8:8" x14ac:dyDescent="0.25">
      <c r="H677" s="211"/>
    </row>
    <row r="678" spans="8:8" x14ac:dyDescent="0.25">
      <c r="H678" s="211"/>
    </row>
    <row r="679" spans="8:8" x14ac:dyDescent="0.25">
      <c r="H679" s="211"/>
    </row>
    <row r="680" spans="8:8" x14ac:dyDescent="0.25">
      <c r="H680" s="211"/>
    </row>
    <row r="681" spans="8:8" x14ac:dyDescent="0.25">
      <c r="H681" s="211"/>
    </row>
    <row r="682" spans="8:8" x14ac:dyDescent="0.25">
      <c r="H682" s="211"/>
    </row>
    <row r="683" spans="8:8" x14ac:dyDescent="0.25">
      <c r="H683" s="211"/>
    </row>
    <row r="684" spans="8:8" x14ac:dyDescent="0.25">
      <c r="H684" s="211"/>
    </row>
    <row r="685" spans="8:8" x14ac:dyDescent="0.25">
      <c r="H685" s="211"/>
    </row>
    <row r="686" spans="8:8" x14ac:dyDescent="0.25">
      <c r="H686" s="211"/>
    </row>
    <row r="687" spans="8:8" x14ac:dyDescent="0.25">
      <c r="H687" s="211"/>
    </row>
    <row r="688" spans="8:8" x14ac:dyDescent="0.25">
      <c r="H688" s="211"/>
    </row>
    <row r="689" spans="8:8" x14ac:dyDescent="0.25">
      <c r="H689" s="211"/>
    </row>
    <row r="690" spans="8:8" x14ac:dyDescent="0.25">
      <c r="H690" s="211"/>
    </row>
    <row r="691" spans="8:8" x14ac:dyDescent="0.25">
      <c r="H691" s="211"/>
    </row>
    <row r="692" spans="8:8" x14ac:dyDescent="0.25">
      <c r="H692" s="211"/>
    </row>
    <row r="693" spans="8:8" x14ac:dyDescent="0.25">
      <c r="H693" s="211"/>
    </row>
    <row r="694" spans="8:8" x14ac:dyDescent="0.25">
      <c r="H694" s="211"/>
    </row>
    <row r="695" spans="8:8" x14ac:dyDescent="0.25">
      <c r="H695" s="211"/>
    </row>
    <row r="696" spans="8:8" x14ac:dyDescent="0.25">
      <c r="H696" s="211"/>
    </row>
    <row r="697" spans="8:8" x14ac:dyDescent="0.25">
      <c r="H697" s="211"/>
    </row>
    <row r="698" spans="8:8" x14ac:dyDescent="0.25">
      <c r="H698" s="211"/>
    </row>
    <row r="699" spans="8:8" x14ac:dyDescent="0.25">
      <c r="H699" s="211"/>
    </row>
    <row r="700" spans="8:8" x14ac:dyDescent="0.25">
      <c r="H700" s="211"/>
    </row>
    <row r="701" spans="8:8" x14ac:dyDescent="0.25">
      <c r="H701" s="211"/>
    </row>
    <row r="702" spans="8:8" x14ac:dyDescent="0.25">
      <c r="H702" s="211"/>
    </row>
    <row r="703" spans="8:8" x14ac:dyDescent="0.25">
      <c r="H703" s="211"/>
    </row>
    <row r="704" spans="8:8" x14ac:dyDescent="0.25">
      <c r="H704" s="211"/>
    </row>
    <row r="705" spans="8:8" x14ac:dyDescent="0.25">
      <c r="H705" s="211"/>
    </row>
    <row r="706" spans="8:8" x14ac:dyDescent="0.25">
      <c r="H706" s="211"/>
    </row>
    <row r="707" spans="8:8" x14ac:dyDescent="0.25">
      <c r="H707" s="211"/>
    </row>
    <row r="708" spans="8:8" x14ac:dyDescent="0.25">
      <c r="H708" s="211"/>
    </row>
    <row r="709" spans="8:8" x14ac:dyDescent="0.25">
      <c r="H709" s="211"/>
    </row>
    <row r="710" spans="8:8" x14ac:dyDescent="0.25">
      <c r="H710" s="211"/>
    </row>
    <row r="711" spans="8:8" x14ac:dyDescent="0.25">
      <c r="H711" s="211"/>
    </row>
    <row r="712" spans="8:8" x14ac:dyDescent="0.25">
      <c r="H712" s="211"/>
    </row>
    <row r="713" spans="8:8" x14ac:dyDescent="0.25">
      <c r="H713" s="211"/>
    </row>
    <row r="714" spans="8:8" x14ac:dyDescent="0.25">
      <c r="H714" s="211"/>
    </row>
    <row r="715" spans="8:8" x14ac:dyDescent="0.25">
      <c r="H715" s="211"/>
    </row>
    <row r="716" spans="8:8" x14ac:dyDescent="0.25">
      <c r="H716" s="211"/>
    </row>
    <row r="717" spans="8:8" x14ac:dyDescent="0.25">
      <c r="H717" s="211"/>
    </row>
    <row r="718" spans="8:8" x14ac:dyDescent="0.25">
      <c r="H718" s="211"/>
    </row>
    <row r="719" spans="8:8" x14ac:dyDescent="0.25">
      <c r="H719" s="211"/>
    </row>
    <row r="720" spans="8:8" x14ac:dyDescent="0.25">
      <c r="H720" s="211"/>
    </row>
    <row r="721" spans="8:8" x14ac:dyDescent="0.25">
      <c r="H721" s="211"/>
    </row>
    <row r="722" spans="8:8" x14ac:dyDescent="0.25">
      <c r="H722" s="211"/>
    </row>
    <row r="723" spans="8:8" x14ac:dyDescent="0.25">
      <c r="H723" s="211"/>
    </row>
    <row r="724" spans="8:8" x14ac:dyDescent="0.25">
      <c r="H724" s="211"/>
    </row>
    <row r="725" spans="8:8" x14ac:dyDescent="0.25">
      <c r="H725" s="211"/>
    </row>
    <row r="726" spans="8:8" x14ac:dyDescent="0.25">
      <c r="H726" s="211"/>
    </row>
    <row r="727" spans="8:8" x14ac:dyDescent="0.25">
      <c r="H727" s="211"/>
    </row>
    <row r="728" spans="8:8" x14ac:dyDescent="0.25">
      <c r="H728" s="211"/>
    </row>
    <row r="729" spans="8:8" x14ac:dyDescent="0.25">
      <c r="H729" s="211"/>
    </row>
    <row r="730" spans="8:8" x14ac:dyDescent="0.25">
      <c r="H730" s="211"/>
    </row>
    <row r="731" spans="8:8" x14ac:dyDescent="0.25">
      <c r="H731" s="211"/>
    </row>
    <row r="732" spans="8:8" x14ac:dyDescent="0.25">
      <c r="H732" s="211"/>
    </row>
    <row r="733" spans="8:8" x14ac:dyDescent="0.25">
      <c r="H733" s="211"/>
    </row>
    <row r="734" spans="8:8" x14ac:dyDescent="0.25">
      <c r="H734" s="211"/>
    </row>
    <row r="735" spans="8:8" x14ac:dyDescent="0.25">
      <c r="H735" s="211"/>
    </row>
    <row r="736" spans="8:8" x14ac:dyDescent="0.25">
      <c r="H736" s="211"/>
    </row>
    <row r="737" spans="8:8" x14ac:dyDescent="0.25">
      <c r="H737" s="211"/>
    </row>
    <row r="738" spans="8:8" x14ac:dyDescent="0.25">
      <c r="H738" s="211"/>
    </row>
    <row r="739" spans="8:8" x14ac:dyDescent="0.25">
      <c r="H739" s="211"/>
    </row>
    <row r="740" spans="8:8" x14ac:dyDescent="0.25">
      <c r="H740" s="211"/>
    </row>
    <row r="741" spans="8:8" x14ac:dyDescent="0.25">
      <c r="H741" s="211"/>
    </row>
    <row r="742" spans="8:8" x14ac:dyDescent="0.25">
      <c r="H742" s="211"/>
    </row>
    <row r="743" spans="8:8" x14ac:dyDescent="0.25">
      <c r="H743" s="211"/>
    </row>
    <row r="744" spans="8:8" x14ac:dyDescent="0.25">
      <c r="H744" s="211"/>
    </row>
    <row r="745" spans="8:8" x14ac:dyDescent="0.25">
      <c r="H745" s="211"/>
    </row>
    <row r="746" spans="8:8" x14ac:dyDescent="0.25">
      <c r="H746" s="211"/>
    </row>
    <row r="747" spans="8:8" x14ac:dyDescent="0.25">
      <c r="H747" s="211"/>
    </row>
    <row r="748" spans="8:8" x14ac:dyDescent="0.25">
      <c r="H748" s="211"/>
    </row>
    <row r="749" spans="8:8" x14ac:dyDescent="0.25">
      <c r="H749" s="211"/>
    </row>
    <row r="750" spans="8:8" x14ac:dyDescent="0.25">
      <c r="H750" s="211"/>
    </row>
    <row r="751" spans="8:8" x14ac:dyDescent="0.25">
      <c r="H751" s="211"/>
    </row>
    <row r="752" spans="8:8" x14ac:dyDescent="0.25">
      <c r="H752" s="211"/>
    </row>
    <row r="753" spans="8:8" x14ac:dyDescent="0.25">
      <c r="H753" s="211"/>
    </row>
    <row r="754" spans="8:8" x14ac:dyDescent="0.25">
      <c r="H754" s="211"/>
    </row>
    <row r="755" spans="8:8" x14ac:dyDescent="0.25">
      <c r="H755" s="211"/>
    </row>
    <row r="756" spans="8:8" x14ac:dyDescent="0.25">
      <c r="H756" s="211"/>
    </row>
    <row r="757" spans="8:8" x14ac:dyDescent="0.25">
      <c r="H757" s="211"/>
    </row>
    <row r="758" spans="8:8" x14ac:dyDescent="0.25">
      <c r="H758" s="211"/>
    </row>
    <row r="759" spans="8:8" x14ac:dyDescent="0.25">
      <c r="H759" s="211"/>
    </row>
    <row r="760" spans="8:8" x14ac:dyDescent="0.25">
      <c r="H760" s="211"/>
    </row>
    <row r="761" spans="8:8" x14ac:dyDescent="0.25">
      <c r="H761" s="211"/>
    </row>
    <row r="762" spans="8:8" x14ac:dyDescent="0.25">
      <c r="H762" s="211"/>
    </row>
    <row r="763" spans="8:8" x14ac:dyDescent="0.25">
      <c r="H763" s="211"/>
    </row>
    <row r="764" spans="8:8" x14ac:dyDescent="0.25">
      <c r="H764" s="211"/>
    </row>
    <row r="765" spans="8:8" x14ac:dyDescent="0.25">
      <c r="H765" s="211"/>
    </row>
    <row r="766" spans="8:8" x14ac:dyDescent="0.25">
      <c r="H766" s="211"/>
    </row>
    <row r="767" spans="8:8" x14ac:dyDescent="0.25">
      <c r="H767" s="211"/>
    </row>
    <row r="768" spans="8:8" x14ac:dyDescent="0.25">
      <c r="H768" s="211"/>
    </row>
    <row r="769" spans="8:8" x14ac:dyDescent="0.25">
      <c r="H769" s="211"/>
    </row>
    <row r="770" spans="8:8" x14ac:dyDescent="0.25">
      <c r="H770" s="211"/>
    </row>
    <row r="771" spans="8:8" x14ac:dyDescent="0.25">
      <c r="H771" s="211"/>
    </row>
    <row r="772" spans="8:8" x14ac:dyDescent="0.25">
      <c r="H772" s="211"/>
    </row>
    <row r="773" spans="8:8" x14ac:dyDescent="0.25">
      <c r="H773" s="211"/>
    </row>
    <row r="774" spans="8:8" x14ac:dyDescent="0.25">
      <c r="H774" s="211"/>
    </row>
    <row r="775" spans="8:8" x14ac:dyDescent="0.25">
      <c r="H775" s="211"/>
    </row>
    <row r="776" spans="8:8" x14ac:dyDescent="0.25">
      <c r="H776" s="211"/>
    </row>
    <row r="777" spans="8:8" x14ac:dyDescent="0.25">
      <c r="H777" s="211"/>
    </row>
    <row r="778" spans="8:8" x14ac:dyDescent="0.25">
      <c r="H778" s="211"/>
    </row>
    <row r="779" spans="8:8" x14ac:dyDescent="0.25">
      <c r="H779" s="211"/>
    </row>
    <row r="780" spans="8:8" x14ac:dyDescent="0.25">
      <c r="H780" s="211"/>
    </row>
    <row r="781" spans="8:8" x14ac:dyDescent="0.25">
      <c r="H781" s="211"/>
    </row>
    <row r="782" spans="8:8" x14ac:dyDescent="0.25">
      <c r="H782" s="211"/>
    </row>
    <row r="783" spans="8:8" x14ac:dyDescent="0.25">
      <c r="H783" s="211"/>
    </row>
    <row r="784" spans="8:8" x14ac:dyDescent="0.25">
      <c r="H784" s="211"/>
    </row>
    <row r="785" spans="8:8" x14ac:dyDescent="0.25">
      <c r="H785" s="211"/>
    </row>
    <row r="786" spans="8:8" x14ac:dyDescent="0.25">
      <c r="H786" s="211"/>
    </row>
    <row r="787" spans="8:8" x14ac:dyDescent="0.25">
      <c r="H787" s="211"/>
    </row>
    <row r="788" spans="8:8" x14ac:dyDescent="0.25">
      <c r="H788" s="211"/>
    </row>
    <row r="789" spans="8:8" x14ac:dyDescent="0.25">
      <c r="H789" s="211"/>
    </row>
    <row r="790" spans="8:8" x14ac:dyDescent="0.25">
      <c r="H790" s="211"/>
    </row>
    <row r="791" spans="8:8" x14ac:dyDescent="0.25">
      <c r="H791" s="211"/>
    </row>
    <row r="792" spans="8:8" x14ac:dyDescent="0.25">
      <c r="H792" s="211"/>
    </row>
    <row r="793" spans="8:8" x14ac:dyDescent="0.25">
      <c r="H793" s="211"/>
    </row>
    <row r="794" spans="8:8" x14ac:dyDescent="0.25">
      <c r="H794" s="211"/>
    </row>
    <row r="795" spans="8:8" x14ac:dyDescent="0.25">
      <c r="H795" s="211"/>
    </row>
    <row r="796" spans="8:8" x14ac:dyDescent="0.25">
      <c r="H796" s="211"/>
    </row>
    <row r="797" spans="8:8" x14ac:dyDescent="0.25">
      <c r="H797" s="211"/>
    </row>
    <row r="798" spans="8:8" x14ac:dyDescent="0.25">
      <c r="H798" s="211"/>
    </row>
    <row r="799" spans="8:8" x14ac:dyDescent="0.25">
      <c r="H799" s="211"/>
    </row>
    <row r="800" spans="8:8" x14ac:dyDescent="0.25">
      <c r="H800" s="211"/>
    </row>
    <row r="801" spans="8:8" x14ac:dyDescent="0.25">
      <c r="H801" s="211"/>
    </row>
    <row r="802" spans="8:8" x14ac:dyDescent="0.25">
      <c r="H802" s="211"/>
    </row>
    <row r="803" spans="8:8" x14ac:dyDescent="0.25">
      <c r="H803" s="211"/>
    </row>
    <row r="804" spans="8:8" x14ac:dyDescent="0.25">
      <c r="H804" s="211"/>
    </row>
    <row r="805" spans="8:8" x14ac:dyDescent="0.25">
      <c r="H805" s="211"/>
    </row>
    <row r="806" spans="8:8" x14ac:dyDescent="0.25">
      <c r="H806" s="211"/>
    </row>
    <row r="807" spans="8:8" x14ac:dyDescent="0.25">
      <c r="H807" s="211"/>
    </row>
    <row r="808" spans="8:8" x14ac:dyDescent="0.25">
      <c r="H808" s="211"/>
    </row>
    <row r="809" spans="8:8" x14ac:dyDescent="0.25">
      <c r="H809" s="211"/>
    </row>
    <row r="810" spans="8:8" x14ac:dyDescent="0.25">
      <c r="H810" s="211"/>
    </row>
    <row r="811" spans="8:8" x14ac:dyDescent="0.25">
      <c r="H811" s="211"/>
    </row>
    <row r="812" spans="8:8" x14ac:dyDescent="0.25">
      <c r="H812" s="211"/>
    </row>
    <row r="813" spans="8:8" x14ac:dyDescent="0.25">
      <c r="H813" s="211"/>
    </row>
    <row r="814" spans="8:8" x14ac:dyDescent="0.25">
      <c r="H814" s="211"/>
    </row>
    <row r="815" spans="8:8" x14ac:dyDescent="0.25">
      <c r="H815" s="211"/>
    </row>
    <row r="816" spans="8:8" x14ac:dyDescent="0.25">
      <c r="H816" s="211"/>
    </row>
    <row r="817" spans="8:8" x14ac:dyDescent="0.25">
      <c r="H817" s="211"/>
    </row>
    <row r="818" spans="8:8" x14ac:dyDescent="0.25">
      <c r="H818" s="211"/>
    </row>
    <row r="819" spans="8:8" x14ac:dyDescent="0.25">
      <c r="H819" s="211"/>
    </row>
    <row r="820" spans="8:8" x14ac:dyDescent="0.25">
      <c r="H820" s="211"/>
    </row>
    <row r="821" spans="8:8" x14ac:dyDescent="0.25">
      <c r="H821" s="211"/>
    </row>
    <row r="822" spans="8:8" x14ac:dyDescent="0.25">
      <c r="H822" s="211"/>
    </row>
    <row r="823" spans="8:8" x14ac:dyDescent="0.25">
      <c r="H823" s="211"/>
    </row>
    <row r="824" spans="8:8" x14ac:dyDescent="0.25">
      <c r="H824" s="211"/>
    </row>
    <row r="825" spans="8:8" x14ac:dyDescent="0.25">
      <c r="H825" s="211"/>
    </row>
    <row r="826" spans="8:8" x14ac:dyDescent="0.25">
      <c r="H826" s="211"/>
    </row>
    <row r="827" spans="8:8" x14ac:dyDescent="0.25">
      <c r="H827" s="211"/>
    </row>
    <row r="828" spans="8:8" x14ac:dyDescent="0.25">
      <c r="H828" s="211"/>
    </row>
    <row r="829" spans="8:8" x14ac:dyDescent="0.25">
      <c r="H829" s="211"/>
    </row>
    <row r="830" spans="8:8" x14ac:dyDescent="0.25">
      <c r="H830" s="211"/>
    </row>
    <row r="831" spans="8:8" x14ac:dyDescent="0.25">
      <c r="H831" s="211"/>
    </row>
    <row r="832" spans="8:8" x14ac:dyDescent="0.25">
      <c r="H832" s="211"/>
    </row>
    <row r="833" spans="8:8" x14ac:dyDescent="0.25">
      <c r="H833" s="211"/>
    </row>
    <row r="834" spans="8:8" x14ac:dyDescent="0.25">
      <c r="H834" s="211"/>
    </row>
    <row r="835" spans="8:8" x14ac:dyDescent="0.25">
      <c r="H835" s="211"/>
    </row>
    <row r="836" spans="8:8" x14ac:dyDescent="0.25">
      <c r="H836" s="211"/>
    </row>
    <row r="837" spans="8:8" x14ac:dyDescent="0.25">
      <c r="H837" s="211"/>
    </row>
    <row r="838" spans="8:8" x14ac:dyDescent="0.25">
      <c r="H838" s="211"/>
    </row>
    <row r="839" spans="8:8" x14ac:dyDescent="0.25">
      <c r="H839" s="211"/>
    </row>
    <row r="840" spans="8:8" x14ac:dyDescent="0.25">
      <c r="H840" s="211"/>
    </row>
    <row r="841" spans="8:8" x14ac:dyDescent="0.25">
      <c r="H841" s="211"/>
    </row>
    <row r="842" spans="8:8" x14ac:dyDescent="0.25">
      <c r="H842" s="211"/>
    </row>
    <row r="843" spans="8:8" x14ac:dyDescent="0.25">
      <c r="H843" s="211"/>
    </row>
    <row r="844" spans="8:8" x14ac:dyDescent="0.25">
      <c r="H844" s="211"/>
    </row>
    <row r="845" spans="8:8" x14ac:dyDescent="0.25">
      <c r="H845" s="211"/>
    </row>
    <row r="846" spans="8:8" x14ac:dyDescent="0.25">
      <c r="H846" s="211"/>
    </row>
    <row r="847" spans="8:8" x14ac:dyDescent="0.25">
      <c r="H847" s="211"/>
    </row>
    <row r="848" spans="8:8" x14ac:dyDescent="0.25">
      <c r="H848" s="211"/>
    </row>
    <row r="849" spans="8:8" x14ac:dyDescent="0.25">
      <c r="H849" s="211"/>
    </row>
    <row r="850" spans="8:8" x14ac:dyDescent="0.25">
      <c r="H850" s="211"/>
    </row>
    <row r="851" spans="8:8" x14ac:dyDescent="0.25">
      <c r="H851" s="211"/>
    </row>
    <row r="852" spans="8:8" x14ac:dyDescent="0.25">
      <c r="H852" s="211"/>
    </row>
    <row r="853" spans="8:8" x14ac:dyDescent="0.25">
      <c r="H853" s="211"/>
    </row>
    <row r="854" spans="8:8" x14ac:dyDescent="0.25">
      <c r="H854" s="211"/>
    </row>
    <row r="855" spans="8:8" x14ac:dyDescent="0.25">
      <c r="H855" s="211"/>
    </row>
    <row r="856" spans="8:8" x14ac:dyDescent="0.25">
      <c r="H856" s="211"/>
    </row>
    <row r="857" spans="8:8" x14ac:dyDescent="0.25">
      <c r="H857" s="211"/>
    </row>
    <row r="858" spans="8:8" x14ac:dyDescent="0.25">
      <c r="H858" s="211"/>
    </row>
    <row r="859" spans="8:8" x14ac:dyDescent="0.25">
      <c r="H859" s="211"/>
    </row>
    <row r="860" spans="8:8" x14ac:dyDescent="0.25">
      <c r="H860" s="211"/>
    </row>
    <row r="861" spans="8:8" x14ac:dyDescent="0.25">
      <c r="H861" s="211"/>
    </row>
    <row r="862" spans="8:8" x14ac:dyDescent="0.25">
      <c r="H862" s="211"/>
    </row>
    <row r="863" spans="8:8" x14ac:dyDescent="0.25">
      <c r="H863" s="211"/>
    </row>
    <row r="864" spans="8:8" x14ac:dyDescent="0.25">
      <c r="H864" s="211"/>
    </row>
    <row r="865" spans="8:8" x14ac:dyDescent="0.25">
      <c r="H865" s="211"/>
    </row>
    <row r="866" spans="8:8" x14ac:dyDescent="0.25">
      <c r="H866" s="211"/>
    </row>
    <row r="867" spans="8:8" x14ac:dyDescent="0.25">
      <c r="H867" s="211"/>
    </row>
    <row r="868" spans="8:8" x14ac:dyDescent="0.25">
      <c r="H868" s="211"/>
    </row>
    <row r="869" spans="8:8" x14ac:dyDescent="0.25">
      <c r="H869" s="211"/>
    </row>
    <row r="870" spans="8:8" x14ac:dyDescent="0.25">
      <c r="H870" s="211"/>
    </row>
    <row r="871" spans="8:8" x14ac:dyDescent="0.25">
      <c r="H871" s="211"/>
    </row>
    <row r="872" spans="8:8" x14ac:dyDescent="0.25">
      <c r="H872" s="211"/>
    </row>
    <row r="873" spans="8:8" x14ac:dyDescent="0.25">
      <c r="H873" s="211"/>
    </row>
    <row r="874" spans="8:8" x14ac:dyDescent="0.25">
      <c r="H874" s="211"/>
    </row>
    <row r="875" spans="8:8" x14ac:dyDescent="0.25">
      <c r="H875" s="211"/>
    </row>
    <row r="876" spans="8:8" x14ac:dyDescent="0.25">
      <c r="H876" s="211"/>
    </row>
    <row r="877" spans="8:8" x14ac:dyDescent="0.25">
      <c r="H877" s="211"/>
    </row>
    <row r="878" spans="8:8" x14ac:dyDescent="0.25">
      <c r="H878" s="211"/>
    </row>
    <row r="879" spans="8:8" x14ac:dyDescent="0.25">
      <c r="H879" s="211"/>
    </row>
    <row r="880" spans="8:8" x14ac:dyDescent="0.25">
      <c r="H880" s="211"/>
    </row>
    <row r="881" spans="8:8" x14ac:dyDescent="0.25">
      <c r="H881" s="211"/>
    </row>
    <row r="882" spans="8:8" x14ac:dyDescent="0.25">
      <c r="H882" s="211"/>
    </row>
    <row r="883" spans="8:8" x14ac:dyDescent="0.25">
      <c r="H883" s="211"/>
    </row>
    <row r="884" spans="8:8" x14ac:dyDescent="0.25">
      <c r="H884" s="211"/>
    </row>
    <row r="885" spans="8:8" x14ac:dyDescent="0.25">
      <c r="H885" s="211"/>
    </row>
    <row r="886" spans="8:8" x14ac:dyDescent="0.25">
      <c r="H886" s="211"/>
    </row>
    <row r="887" spans="8:8" x14ac:dyDescent="0.25">
      <c r="H887" s="211"/>
    </row>
    <row r="888" spans="8:8" x14ac:dyDescent="0.25">
      <c r="H888" s="211"/>
    </row>
    <row r="889" spans="8:8" x14ac:dyDescent="0.25">
      <c r="H889" s="211"/>
    </row>
    <row r="890" spans="8:8" x14ac:dyDescent="0.25">
      <c r="H890" s="211"/>
    </row>
    <row r="891" spans="8:8" x14ac:dyDescent="0.25">
      <c r="H891" s="211"/>
    </row>
    <row r="892" spans="8:8" x14ac:dyDescent="0.25">
      <c r="H892" s="211"/>
    </row>
    <row r="893" spans="8:8" x14ac:dyDescent="0.25">
      <c r="H893" s="211"/>
    </row>
    <row r="894" spans="8:8" x14ac:dyDescent="0.25">
      <c r="H894" s="211"/>
    </row>
    <row r="895" spans="8:8" x14ac:dyDescent="0.25">
      <c r="H895" s="211"/>
    </row>
    <row r="896" spans="8:8" x14ac:dyDescent="0.25">
      <c r="H896" s="211"/>
    </row>
    <row r="897" spans="8:8" x14ac:dyDescent="0.25">
      <c r="H897" s="211"/>
    </row>
    <row r="898" spans="8:8" x14ac:dyDescent="0.25">
      <c r="H898" s="211"/>
    </row>
    <row r="899" spans="8:8" x14ac:dyDescent="0.25">
      <c r="H899" s="211"/>
    </row>
    <row r="900" spans="8:8" x14ac:dyDescent="0.25">
      <c r="H900" s="211"/>
    </row>
    <row r="901" spans="8:8" x14ac:dyDescent="0.25">
      <c r="H901" s="211"/>
    </row>
    <row r="902" spans="8:8" x14ac:dyDescent="0.25">
      <c r="H902" s="211"/>
    </row>
    <row r="903" spans="8:8" x14ac:dyDescent="0.25">
      <c r="H903" s="211"/>
    </row>
    <row r="904" spans="8:8" x14ac:dyDescent="0.25">
      <c r="H904" s="211"/>
    </row>
    <row r="905" spans="8:8" x14ac:dyDescent="0.25">
      <c r="H905" s="211"/>
    </row>
    <row r="906" spans="8:8" x14ac:dyDescent="0.25">
      <c r="H906" s="211"/>
    </row>
    <row r="907" spans="8:8" x14ac:dyDescent="0.25">
      <c r="H907" s="211"/>
    </row>
    <row r="908" spans="8:8" x14ac:dyDescent="0.25">
      <c r="H908" s="211"/>
    </row>
    <row r="909" spans="8:8" x14ac:dyDescent="0.25">
      <c r="H909" s="211"/>
    </row>
    <row r="910" spans="8:8" x14ac:dyDescent="0.25">
      <c r="H910" s="211"/>
    </row>
    <row r="911" spans="8:8" x14ac:dyDescent="0.25">
      <c r="H911" s="211"/>
    </row>
    <row r="912" spans="8:8" x14ac:dyDescent="0.25">
      <c r="H912" s="211"/>
    </row>
    <row r="913" spans="8:8" x14ac:dyDescent="0.25">
      <c r="H913" s="211"/>
    </row>
    <row r="914" spans="8:8" x14ac:dyDescent="0.25">
      <c r="H914" s="211"/>
    </row>
    <row r="915" spans="8:8" x14ac:dyDescent="0.25">
      <c r="H915" s="211"/>
    </row>
    <row r="916" spans="8:8" x14ac:dyDescent="0.25">
      <c r="H916" s="211"/>
    </row>
    <row r="917" spans="8:8" x14ac:dyDescent="0.25">
      <c r="H917" s="211"/>
    </row>
    <row r="918" spans="8:8" x14ac:dyDescent="0.25">
      <c r="H918" s="211"/>
    </row>
    <row r="919" spans="8:8" x14ac:dyDescent="0.25">
      <c r="H919" s="211"/>
    </row>
    <row r="920" spans="8:8" x14ac:dyDescent="0.25">
      <c r="H920" s="211"/>
    </row>
    <row r="921" spans="8:8" x14ac:dyDescent="0.25">
      <c r="H921" s="211"/>
    </row>
    <row r="922" spans="8:8" x14ac:dyDescent="0.25">
      <c r="H922" s="211"/>
    </row>
    <row r="923" spans="8:8" x14ac:dyDescent="0.25">
      <c r="H923" s="211"/>
    </row>
    <row r="924" spans="8:8" x14ac:dyDescent="0.25">
      <c r="H924" s="211"/>
    </row>
    <row r="925" spans="8:8" x14ac:dyDescent="0.25">
      <c r="H925" s="211"/>
    </row>
    <row r="926" spans="8:8" x14ac:dyDescent="0.25">
      <c r="H926" s="211"/>
    </row>
    <row r="927" spans="8:8" x14ac:dyDescent="0.25">
      <c r="H927" s="211"/>
    </row>
    <row r="928" spans="8:8" x14ac:dyDescent="0.25">
      <c r="H928" s="211"/>
    </row>
    <row r="929" spans="8:8" x14ac:dyDescent="0.25">
      <c r="H929" s="211"/>
    </row>
    <row r="930" spans="8:8" x14ac:dyDescent="0.25">
      <c r="H930" s="211"/>
    </row>
    <row r="931" spans="8:8" x14ac:dyDescent="0.25">
      <c r="H931" s="211"/>
    </row>
    <row r="932" spans="8:8" x14ac:dyDescent="0.25">
      <c r="H932" s="211"/>
    </row>
    <row r="933" spans="8:8" x14ac:dyDescent="0.25">
      <c r="H933" s="211"/>
    </row>
    <row r="934" spans="8:8" x14ac:dyDescent="0.25">
      <c r="H934" s="211"/>
    </row>
    <row r="935" spans="8:8" x14ac:dyDescent="0.25">
      <c r="H935" s="211"/>
    </row>
    <row r="936" spans="8:8" x14ac:dyDescent="0.25">
      <c r="H936" s="211"/>
    </row>
    <row r="937" spans="8:8" x14ac:dyDescent="0.25">
      <c r="H937" s="211"/>
    </row>
    <row r="938" spans="8:8" x14ac:dyDescent="0.25">
      <c r="H938" s="211"/>
    </row>
    <row r="939" spans="8:8" x14ac:dyDescent="0.25">
      <c r="H939" s="211"/>
    </row>
    <row r="940" spans="8:8" x14ac:dyDescent="0.25">
      <c r="H940" s="211"/>
    </row>
    <row r="941" spans="8:8" x14ac:dyDescent="0.25">
      <c r="H941" s="211"/>
    </row>
    <row r="942" spans="8:8" x14ac:dyDescent="0.25">
      <c r="H942" s="211"/>
    </row>
    <row r="943" spans="8:8" x14ac:dyDescent="0.25">
      <c r="H943" s="211"/>
    </row>
    <row r="944" spans="8:8" x14ac:dyDescent="0.25">
      <c r="H944" s="211"/>
    </row>
    <row r="945" spans="8:8" x14ac:dyDescent="0.25">
      <c r="H945" s="211"/>
    </row>
    <row r="946" spans="8:8" x14ac:dyDescent="0.25">
      <c r="H946" s="211"/>
    </row>
    <row r="947" spans="8:8" x14ac:dyDescent="0.25">
      <c r="H947" s="211"/>
    </row>
    <row r="948" spans="8:8" x14ac:dyDescent="0.25">
      <c r="H948" s="211"/>
    </row>
    <row r="949" spans="8:8" x14ac:dyDescent="0.25">
      <c r="H949" s="211"/>
    </row>
    <row r="950" spans="8:8" x14ac:dyDescent="0.25">
      <c r="H950" s="211"/>
    </row>
    <row r="951" spans="8:8" x14ac:dyDescent="0.25">
      <c r="H951" s="211"/>
    </row>
    <row r="952" spans="8:8" x14ac:dyDescent="0.25">
      <c r="H952" s="211"/>
    </row>
    <row r="953" spans="8:8" x14ac:dyDescent="0.25">
      <c r="H953" s="211"/>
    </row>
    <row r="954" spans="8:8" x14ac:dyDescent="0.25">
      <c r="H954" s="211"/>
    </row>
    <row r="955" spans="8:8" x14ac:dyDescent="0.25">
      <c r="H955" s="211"/>
    </row>
    <row r="956" spans="8:8" x14ac:dyDescent="0.25">
      <c r="H956" s="211"/>
    </row>
    <row r="957" spans="8:8" x14ac:dyDescent="0.25">
      <c r="H957" s="211"/>
    </row>
    <row r="958" spans="8:8" x14ac:dyDescent="0.25">
      <c r="H958" s="211"/>
    </row>
    <row r="959" spans="8:8" x14ac:dyDescent="0.25">
      <c r="H959" s="211"/>
    </row>
    <row r="960" spans="8:8" x14ac:dyDescent="0.25">
      <c r="H960" s="211"/>
    </row>
    <row r="961" spans="8:8" x14ac:dyDescent="0.25">
      <c r="H961" s="211"/>
    </row>
    <row r="962" spans="8:8" x14ac:dyDescent="0.25">
      <c r="H962" s="211"/>
    </row>
    <row r="963" spans="8:8" x14ac:dyDescent="0.25">
      <c r="H963" s="211"/>
    </row>
    <row r="964" spans="8:8" x14ac:dyDescent="0.25">
      <c r="H964" s="211"/>
    </row>
    <row r="965" spans="8:8" x14ac:dyDescent="0.25">
      <c r="H965" s="211"/>
    </row>
    <row r="966" spans="8:8" x14ac:dyDescent="0.25">
      <c r="H966" s="211"/>
    </row>
    <row r="967" spans="8:8" x14ac:dyDescent="0.25">
      <c r="H967" s="211"/>
    </row>
    <row r="968" spans="8:8" x14ac:dyDescent="0.25">
      <c r="H968" s="211"/>
    </row>
    <row r="969" spans="8:8" x14ac:dyDescent="0.25">
      <c r="H969" s="211"/>
    </row>
    <row r="970" spans="8:8" x14ac:dyDescent="0.25">
      <c r="H970" s="211"/>
    </row>
    <row r="971" spans="8:8" x14ac:dyDescent="0.25">
      <c r="H971" s="211"/>
    </row>
    <row r="972" spans="8:8" x14ac:dyDescent="0.25">
      <c r="H972" s="211"/>
    </row>
    <row r="973" spans="8:8" x14ac:dyDescent="0.25">
      <c r="H973" s="211"/>
    </row>
    <row r="974" spans="8:8" x14ac:dyDescent="0.25">
      <c r="H974" s="211"/>
    </row>
    <row r="975" spans="8:8" x14ac:dyDescent="0.25">
      <c r="H975" s="211"/>
    </row>
    <row r="976" spans="8:8" x14ac:dyDescent="0.25">
      <c r="H976" s="211"/>
    </row>
    <row r="977" spans="8:8" x14ac:dyDescent="0.25">
      <c r="H977" s="211"/>
    </row>
    <row r="978" spans="8:8" x14ac:dyDescent="0.25">
      <c r="H978" s="211"/>
    </row>
    <row r="979" spans="8:8" x14ac:dyDescent="0.25">
      <c r="H979" s="211"/>
    </row>
    <row r="980" spans="8:8" x14ac:dyDescent="0.25">
      <c r="H980" s="211"/>
    </row>
    <row r="981" spans="8:8" x14ac:dyDescent="0.25">
      <c r="H981" s="211"/>
    </row>
    <row r="982" spans="8:8" x14ac:dyDescent="0.25">
      <c r="H982" s="211"/>
    </row>
    <row r="983" spans="8:8" x14ac:dyDescent="0.25">
      <c r="H983" s="211"/>
    </row>
    <row r="984" spans="8:8" x14ac:dyDescent="0.25">
      <c r="H984" s="211"/>
    </row>
    <row r="985" spans="8:8" x14ac:dyDescent="0.25">
      <c r="H985" s="211"/>
    </row>
    <row r="986" spans="8:8" x14ac:dyDescent="0.25">
      <c r="H986" s="211"/>
    </row>
    <row r="987" spans="8:8" x14ac:dyDescent="0.25">
      <c r="H987" s="211"/>
    </row>
    <row r="988" spans="8:8" x14ac:dyDescent="0.25">
      <c r="H988" s="211"/>
    </row>
    <row r="989" spans="8:8" x14ac:dyDescent="0.25">
      <c r="H989" s="211"/>
    </row>
    <row r="990" spans="8:8" x14ac:dyDescent="0.25">
      <c r="H990" s="211"/>
    </row>
    <row r="991" spans="8:8" x14ac:dyDescent="0.25">
      <c r="H991" s="211"/>
    </row>
    <row r="992" spans="8:8" x14ac:dyDescent="0.25">
      <c r="H992" s="211"/>
    </row>
    <row r="993" spans="8:8" x14ac:dyDescent="0.25">
      <c r="H993" s="211"/>
    </row>
    <row r="994" spans="8:8" x14ac:dyDescent="0.25">
      <c r="H994" s="211"/>
    </row>
    <row r="995" spans="8:8" x14ac:dyDescent="0.25">
      <c r="H995" s="211"/>
    </row>
    <row r="996" spans="8:8" x14ac:dyDescent="0.25">
      <c r="H996" s="211"/>
    </row>
    <row r="997" spans="8:8" x14ac:dyDescent="0.25">
      <c r="H997" s="211"/>
    </row>
    <row r="998" spans="8:8" x14ac:dyDescent="0.25">
      <c r="H998" s="211"/>
    </row>
    <row r="999" spans="8:8" x14ac:dyDescent="0.25">
      <c r="H999" s="211"/>
    </row>
    <row r="1000" spans="8:8" x14ac:dyDescent="0.25">
      <c r="H1000" s="211"/>
    </row>
    <row r="1001" spans="8:8" x14ac:dyDescent="0.25">
      <c r="H1001" s="211"/>
    </row>
    <row r="1002" spans="8:8" x14ac:dyDescent="0.25">
      <c r="H1002" s="211"/>
    </row>
    <row r="1003" spans="8:8" x14ac:dyDescent="0.25">
      <c r="H1003" s="211"/>
    </row>
    <row r="1004" spans="8:8" x14ac:dyDescent="0.25">
      <c r="H1004" s="211"/>
    </row>
    <row r="1005" spans="8:8" x14ac:dyDescent="0.25">
      <c r="H1005" s="211"/>
    </row>
    <row r="1006" spans="8:8" x14ac:dyDescent="0.25">
      <c r="H1006" s="211"/>
    </row>
    <row r="1007" spans="8:8" x14ac:dyDescent="0.25">
      <c r="H1007" s="211"/>
    </row>
    <row r="1008" spans="8:8" x14ac:dyDescent="0.25">
      <c r="H1008" s="211"/>
    </row>
    <row r="1009" spans="8:8" x14ac:dyDescent="0.25">
      <c r="H1009" s="211"/>
    </row>
    <row r="1010" spans="8:8" x14ac:dyDescent="0.25">
      <c r="H1010" s="211"/>
    </row>
    <row r="1011" spans="8:8" x14ac:dyDescent="0.25">
      <c r="H1011" s="211"/>
    </row>
    <row r="1012" spans="8:8" x14ac:dyDescent="0.25">
      <c r="H1012" s="211"/>
    </row>
    <row r="1013" spans="8:8" x14ac:dyDescent="0.25">
      <c r="H1013" s="211"/>
    </row>
    <row r="1014" spans="8:8" x14ac:dyDescent="0.25">
      <c r="H1014" s="211"/>
    </row>
    <row r="1015" spans="8:8" x14ac:dyDescent="0.25">
      <c r="H1015" s="211"/>
    </row>
    <row r="1016" spans="8:8" x14ac:dyDescent="0.25">
      <c r="H1016" s="211"/>
    </row>
    <row r="1017" spans="8:8" x14ac:dyDescent="0.25">
      <c r="H1017" s="211"/>
    </row>
    <row r="1018" spans="8:8" x14ac:dyDescent="0.25">
      <c r="H1018" s="211"/>
    </row>
    <row r="1019" spans="8:8" x14ac:dyDescent="0.25">
      <c r="H1019" s="211"/>
    </row>
    <row r="1020" spans="8:8" x14ac:dyDescent="0.25">
      <c r="H1020" s="211"/>
    </row>
    <row r="1021" spans="8:8" x14ac:dyDescent="0.25">
      <c r="H1021" s="211"/>
    </row>
    <row r="1022" spans="8:8" x14ac:dyDescent="0.25">
      <c r="H1022" s="211"/>
    </row>
    <row r="1023" spans="8:8" x14ac:dyDescent="0.25">
      <c r="H1023" s="211"/>
    </row>
    <row r="1024" spans="8:8" x14ac:dyDescent="0.25">
      <c r="H1024" s="211"/>
    </row>
    <row r="1025" spans="8:8" x14ac:dyDescent="0.25">
      <c r="H1025" s="211"/>
    </row>
    <row r="1026" spans="8:8" x14ac:dyDescent="0.25">
      <c r="H1026" s="211"/>
    </row>
    <row r="1027" spans="8:8" x14ac:dyDescent="0.25">
      <c r="H1027" s="211"/>
    </row>
    <row r="1028" spans="8:8" x14ac:dyDescent="0.25">
      <c r="H1028" s="211"/>
    </row>
    <row r="1029" spans="8:8" x14ac:dyDescent="0.25">
      <c r="H1029" s="211"/>
    </row>
    <row r="1030" spans="8:8" x14ac:dyDescent="0.25">
      <c r="H1030" s="211"/>
    </row>
    <row r="1031" spans="8:8" x14ac:dyDescent="0.25">
      <c r="H1031" s="211"/>
    </row>
    <row r="1032" spans="8:8" x14ac:dyDescent="0.25">
      <c r="H1032" s="211"/>
    </row>
    <row r="1033" spans="8:8" x14ac:dyDescent="0.25">
      <c r="H1033" s="211"/>
    </row>
    <row r="1034" spans="8:8" x14ac:dyDescent="0.25">
      <c r="H1034" s="211"/>
    </row>
    <row r="1035" spans="8:8" x14ac:dyDescent="0.25">
      <c r="H1035" s="211"/>
    </row>
    <row r="1036" spans="8:8" x14ac:dyDescent="0.25">
      <c r="H1036" s="211"/>
    </row>
    <row r="1037" spans="8:8" x14ac:dyDescent="0.25">
      <c r="H1037" s="211"/>
    </row>
    <row r="1038" spans="8:8" x14ac:dyDescent="0.25">
      <c r="H1038" s="211"/>
    </row>
    <row r="1039" spans="8:8" x14ac:dyDescent="0.25">
      <c r="H1039" s="211"/>
    </row>
    <row r="1040" spans="8:8" x14ac:dyDescent="0.25">
      <c r="H1040" s="211"/>
    </row>
    <row r="1041" spans="8:8" x14ac:dyDescent="0.25">
      <c r="H1041" s="211"/>
    </row>
    <row r="1042" spans="8:8" x14ac:dyDescent="0.25">
      <c r="H1042" s="211"/>
    </row>
    <row r="1043" spans="8:8" x14ac:dyDescent="0.25">
      <c r="H1043" s="211"/>
    </row>
    <row r="1044" spans="8:8" x14ac:dyDescent="0.25">
      <c r="H1044" s="211"/>
    </row>
    <row r="1045" spans="8:8" x14ac:dyDescent="0.25">
      <c r="H1045" s="211"/>
    </row>
    <row r="1046" spans="8:8" x14ac:dyDescent="0.25">
      <c r="H1046" s="211"/>
    </row>
    <row r="1047" spans="8:8" x14ac:dyDescent="0.25">
      <c r="H1047" s="211"/>
    </row>
    <row r="1048" spans="8:8" x14ac:dyDescent="0.25">
      <c r="H1048" s="211"/>
    </row>
    <row r="1049" spans="8:8" x14ac:dyDescent="0.25">
      <c r="H1049" s="211"/>
    </row>
    <row r="1050" spans="8:8" x14ac:dyDescent="0.25">
      <c r="H1050" s="211"/>
    </row>
    <row r="1051" spans="8:8" x14ac:dyDescent="0.25">
      <c r="H1051" s="211"/>
    </row>
    <row r="1052" spans="8:8" x14ac:dyDescent="0.25">
      <c r="H1052" s="211"/>
    </row>
    <row r="1053" spans="8:8" x14ac:dyDescent="0.25">
      <c r="H1053" s="211"/>
    </row>
    <row r="1054" spans="8:8" x14ac:dyDescent="0.25">
      <c r="H1054" s="211"/>
    </row>
    <row r="1055" spans="8:8" x14ac:dyDescent="0.25">
      <c r="H1055" s="211"/>
    </row>
    <row r="1056" spans="8:8" x14ac:dyDescent="0.25">
      <c r="H1056" s="211"/>
    </row>
    <row r="1057" spans="8:8" x14ac:dyDescent="0.25">
      <c r="H1057" s="211"/>
    </row>
    <row r="1058" spans="8:8" x14ac:dyDescent="0.25">
      <c r="H1058" s="211"/>
    </row>
    <row r="1059" spans="8:8" x14ac:dyDescent="0.25">
      <c r="H1059" s="211"/>
    </row>
    <row r="1060" spans="8:8" x14ac:dyDescent="0.25">
      <c r="H1060" s="211"/>
    </row>
    <row r="1061" spans="8:8" x14ac:dyDescent="0.25">
      <c r="H1061" s="211"/>
    </row>
    <row r="1062" spans="8:8" x14ac:dyDescent="0.25">
      <c r="H1062" s="211"/>
    </row>
    <row r="1063" spans="8:8" x14ac:dyDescent="0.25">
      <c r="H1063" s="211"/>
    </row>
    <row r="1064" spans="8:8" x14ac:dyDescent="0.25">
      <c r="H1064" s="211"/>
    </row>
    <row r="1065" spans="8:8" x14ac:dyDescent="0.25">
      <c r="H1065" s="211"/>
    </row>
    <row r="1066" spans="8:8" x14ac:dyDescent="0.25">
      <c r="H1066" s="211"/>
    </row>
    <row r="1067" spans="8:8" x14ac:dyDescent="0.25">
      <c r="H1067" s="211"/>
    </row>
    <row r="1068" spans="8:8" x14ac:dyDescent="0.25">
      <c r="H1068" s="211"/>
    </row>
    <row r="1069" spans="8:8" x14ac:dyDescent="0.25">
      <c r="H1069" s="211"/>
    </row>
    <row r="1070" spans="8:8" x14ac:dyDescent="0.25">
      <c r="H1070" s="211"/>
    </row>
    <row r="1071" spans="8:8" x14ac:dyDescent="0.25">
      <c r="H1071" s="211"/>
    </row>
    <row r="1072" spans="8:8" x14ac:dyDescent="0.25">
      <c r="H1072" s="211"/>
    </row>
    <row r="1073" spans="8:8" x14ac:dyDescent="0.25">
      <c r="H1073" s="211"/>
    </row>
    <row r="1074" spans="8:8" x14ac:dyDescent="0.25">
      <c r="H1074" s="211"/>
    </row>
    <row r="1075" spans="8:8" x14ac:dyDescent="0.25">
      <c r="H1075" s="211"/>
    </row>
    <row r="1076" spans="8:8" x14ac:dyDescent="0.25">
      <c r="H1076" s="211"/>
    </row>
    <row r="1077" spans="8:8" x14ac:dyDescent="0.25">
      <c r="H1077" s="211"/>
    </row>
    <row r="1078" spans="8:8" x14ac:dyDescent="0.25">
      <c r="H1078" s="211"/>
    </row>
    <row r="1079" spans="8:8" x14ac:dyDescent="0.25">
      <c r="H1079" s="211"/>
    </row>
    <row r="1080" spans="8:8" x14ac:dyDescent="0.25">
      <c r="H1080" s="211"/>
    </row>
    <row r="1081" spans="8:8" x14ac:dyDescent="0.25">
      <c r="H1081" s="211"/>
    </row>
    <row r="1082" spans="8:8" x14ac:dyDescent="0.25">
      <c r="H1082" s="211"/>
    </row>
    <row r="1083" spans="8:8" x14ac:dyDescent="0.25">
      <c r="H1083" s="211"/>
    </row>
    <row r="1084" spans="8:8" x14ac:dyDescent="0.25">
      <c r="H1084" s="211"/>
    </row>
    <row r="1085" spans="8:8" x14ac:dyDescent="0.25">
      <c r="H1085" s="211"/>
    </row>
    <row r="1086" spans="8:8" x14ac:dyDescent="0.25">
      <c r="H1086" s="211"/>
    </row>
    <row r="1087" spans="8:8" x14ac:dyDescent="0.25">
      <c r="H1087" s="211"/>
    </row>
    <row r="1088" spans="8:8" x14ac:dyDescent="0.25">
      <c r="H1088" s="211"/>
    </row>
    <row r="1089" spans="8:8" x14ac:dyDescent="0.25">
      <c r="H1089" s="211"/>
    </row>
    <row r="1090" spans="8:8" x14ac:dyDescent="0.25">
      <c r="H1090" s="211"/>
    </row>
    <row r="1091" spans="8:8" x14ac:dyDescent="0.25">
      <c r="H1091" s="211"/>
    </row>
    <row r="1092" spans="8:8" x14ac:dyDescent="0.25">
      <c r="H1092" s="211"/>
    </row>
    <row r="1093" spans="8:8" x14ac:dyDescent="0.25">
      <c r="H1093" s="211"/>
    </row>
    <row r="1094" spans="8:8" x14ac:dyDescent="0.25">
      <c r="H1094" s="211"/>
    </row>
    <row r="1095" spans="8:8" x14ac:dyDescent="0.25">
      <c r="H1095" s="211"/>
    </row>
    <row r="1096" spans="8:8" x14ac:dyDescent="0.25">
      <c r="H1096" s="211"/>
    </row>
    <row r="1097" spans="8:8" x14ac:dyDescent="0.25">
      <c r="H1097" s="211"/>
    </row>
    <row r="1098" spans="8:8" x14ac:dyDescent="0.25">
      <c r="H1098" s="211"/>
    </row>
    <row r="1099" spans="8:8" x14ac:dyDescent="0.25">
      <c r="H1099" s="211"/>
    </row>
    <row r="1100" spans="8:8" x14ac:dyDescent="0.25">
      <c r="H1100" s="211"/>
    </row>
    <row r="1101" spans="8:8" x14ac:dyDescent="0.25">
      <c r="H1101" s="211"/>
    </row>
    <row r="1102" spans="8:8" x14ac:dyDescent="0.25">
      <c r="H1102" s="211"/>
    </row>
    <row r="1103" spans="8:8" x14ac:dyDescent="0.25">
      <c r="H1103" s="211"/>
    </row>
    <row r="1104" spans="8:8" x14ac:dyDescent="0.25">
      <c r="H1104" s="211"/>
    </row>
    <row r="1105" spans="8:8" x14ac:dyDescent="0.25">
      <c r="H1105" s="211"/>
    </row>
    <row r="1106" spans="8:8" x14ac:dyDescent="0.25">
      <c r="H1106" s="211"/>
    </row>
    <row r="1107" spans="8:8" x14ac:dyDescent="0.25">
      <c r="H1107" s="211"/>
    </row>
    <row r="1108" spans="8:8" x14ac:dyDescent="0.25">
      <c r="H1108" s="211"/>
    </row>
    <row r="1109" spans="8:8" x14ac:dyDescent="0.25">
      <c r="H1109" s="211"/>
    </row>
    <row r="1110" spans="8:8" x14ac:dyDescent="0.25">
      <c r="H1110" s="211"/>
    </row>
    <row r="1111" spans="8:8" x14ac:dyDescent="0.25">
      <c r="H1111" s="211"/>
    </row>
    <row r="1112" spans="8:8" x14ac:dyDescent="0.25">
      <c r="H1112" s="211"/>
    </row>
    <row r="1113" spans="8:8" x14ac:dyDescent="0.25">
      <c r="H1113" s="211"/>
    </row>
    <row r="1114" spans="8:8" x14ac:dyDescent="0.25">
      <c r="H1114" s="211"/>
    </row>
    <row r="1115" spans="8:8" x14ac:dyDescent="0.25">
      <c r="H1115" s="211"/>
    </row>
    <row r="1116" spans="8:8" x14ac:dyDescent="0.25">
      <c r="H1116" s="211"/>
    </row>
    <row r="1117" spans="8:8" x14ac:dyDescent="0.25">
      <c r="H1117" s="211"/>
    </row>
    <row r="1118" spans="8:8" x14ac:dyDescent="0.25">
      <c r="H1118" s="211"/>
    </row>
    <row r="1119" spans="8:8" x14ac:dyDescent="0.25">
      <c r="H1119" s="211"/>
    </row>
    <row r="1120" spans="8:8" x14ac:dyDescent="0.25">
      <c r="H1120" s="211"/>
    </row>
    <row r="1121" spans="8:8" x14ac:dyDescent="0.25">
      <c r="H1121" s="211"/>
    </row>
    <row r="1122" spans="8:8" x14ac:dyDescent="0.25">
      <c r="H1122" s="211"/>
    </row>
    <row r="1123" spans="8:8" x14ac:dyDescent="0.25">
      <c r="H1123" s="211"/>
    </row>
    <row r="1124" spans="8:8" x14ac:dyDescent="0.25">
      <c r="H1124" s="211"/>
    </row>
    <row r="1125" spans="8:8" x14ac:dyDescent="0.25">
      <c r="H1125" s="211"/>
    </row>
    <row r="1126" spans="8:8" x14ac:dyDescent="0.25">
      <c r="H1126" s="211"/>
    </row>
    <row r="1127" spans="8:8" x14ac:dyDescent="0.25">
      <c r="H1127" s="211"/>
    </row>
    <row r="1128" spans="8:8" x14ac:dyDescent="0.25">
      <c r="H1128" s="211"/>
    </row>
    <row r="1129" spans="8:8" x14ac:dyDescent="0.25">
      <c r="H1129" s="211"/>
    </row>
    <row r="1130" spans="8:8" x14ac:dyDescent="0.25">
      <c r="H1130" s="211"/>
    </row>
    <row r="1131" spans="8:8" x14ac:dyDescent="0.25">
      <c r="H1131" s="211"/>
    </row>
    <row r="1132" spans="8:8" x14ac:dyDescent="0.25">
      <c r="H1132" s="211"/>
    </row>
    <row r="1133" spans="8:8" x14ac:dyDescent="0.25">
      <c r="H1133" s="211"/>
    </row>
    <row r="1134" spans="8:8" x14ac:dyDescent="0.25">
      <c r="H1134" s="211"/>
    </row>
    <row r="1135" spans="8:8" x14ac:dyDescent="0.25">
      <c r="H1135" s="211"/>
    </row>
    <row r="1136" spans="8:8" x14ac:dyDescent="0.25">
      <c r="H1136" s="211"/>
    </row>
    <row r="1137" spans="8:8" x14ac:dyDescent="0.25">
      <c r="H1137" s="211"/>
    </row>
    <row r="1138" spans="8:8" x14ac:dyDescent="0.25">
      <c r="H1138" s="211"/>
    </row>
    <row r="1139" spans="8:8" x14ac:dyDescent="0.25">
      <c r="H1139" s="211"/>
    </row>
    <row r="1140" spans="8:8" x14ac:dyDescent="0.25">
      <c r="H1140" s="211"/>
    </row>
    <row r="1141" spans="8:8" x14ac:dyDescent="0.25">
      <c r="H1141" s="211"/>
    </row>
    <row r="1142" spans="8:8" x14ac:dyDescent="0.25">
      <c r="H1142" s="211"/>
    </row>
    <row r="1143" spans="8:8" x14ac:dyDescent="0.25">
      <c r="H1143" s="211"/>
    </row>
    <row r="1144" spans="8:8" x14ac:dyDescent="0.25">
      <c r="H1144" s="211"/>
    </row>
    <row r="1145" spans="8:8" x14ac:dyDescent="0.25">
      <c r="H1145" s="211"/>
    </row>
    <row r="1146" spans="8:8" x14ac:dyDescent="0.25">
      <c r="H1146" s="211"/>
    </row>
    <row r="1147" spans="8:8" x14ac:dyDescent="0.25">
      <c r="H1147" s="211"/>
    </row>
    <row r="1148" spans="8:8" x14ac:dyDescent="0.25">
      <c r="H1148" s="211"/>
    </row>
    <row r="1149" spans="8:8" x14ac:dyDescent="0.25">
      <c r="H1149" s="211"/>
    </row>
    <row r="1150" spans="8:8" x14ac:dyDescent="0.25">
      <c r="H1150" s="211"/>
    </row>
    <row r="1151" spans="8:8" x14ac:dyDescent="0.25">
      <c r="H1151" s="211"/>
    </row>
    <row r="1152" spans="8:8" x14ac:dyDescent="0.25">
      <c r="H1152" s="211"/>
    </row>
    <row r="1153" spans="8:8" x14ac:dyDescent="0.25">
      <c r="H1153" s="211"/>
    </row>
    <row r="1154" spans="8:8" x14ac:dyDescent="0.25">
      <c r="H1154" s="211"/>
    </row>
    <row r="1155" spans="8:8" x14ac:dyDescent="0.25">
      <c r="H1155" s="211"/>
    </row>
    <row r="1156" spans="8:8" x14ac:dyDescent="0.25">
      <c r="H1156" s="211"/>
    </row>
    <row r="1157" spans="8:8" x14ac:dyDescent="0.25">
      <c r="H1157" s="211"/>
    </row>
    <row r="1158" spans="8:8" x14ac:dyDescent="0.25">
      <c r="H1158" s="211"/>
    </row>
    <row r="1159" spans="8:8" x14ac:dyDescent="0.25">
      <c r="H1159" s="211"/>
    </row>
    <row r="1160" spans="8:8" x14ac:dyDescent="0.25">
      <c r="H1160" s="211"/>
    </row>
    <row r="1161" spans="8:8" x14ac:dyDescent="0.25">
      <c r="H1161" s="211"/>
    </row>
    <row r="1162" spans="8:8" x14ac:dyDescent="0.25">
      <c r="H1162" s="211"/>
    </row>
    <row r="1163" spans="8:8" x14ac:dyDescent="0.25">
      <c r="H1163" s="211"/>
    </row>
    <row r="1164" spans="8:8" x14ac:dyDescent="0.25">
      <c r="H1164" s="211"/>
    </row>
    <row r="1165" spans="8:8" x14ac:dyDescent="0.25">
      <c r="H1165" s="211"/>
    </row>
    <row r="1166" spans="8:8" x14ac:dyDescent="0.25">
      <c r="H1166" s="211"/>
    </row>
    <row r="1167" spans="8:8" x14ac:dyDescent="0.25">
      <c r="H1167" s="211"/>
    </row>
    <row r="1168" spans="8:8" x14ac:dyDescent="0.25">
      <c r="H1168" s="211"/>
    </row>
    <row r="1169" spans="8:8" x14ac:dyDescent="0.25">
      <c r="H1169" s="211"/>
    </row>
    <row r="1170" spans="8:8" x14ac:dyDescent="0.25">
      <c r="H1170" s="211"/>
    </row>
    <row r="1171" spans="8:8" x14ac:dyDescent="0.25">
      <c r="H1171" s="211"/>
    </row>
    <row r="1172" spans="8:8" x14ac:dyDescent="0.25">
      <c r="H1172" s="211"/>
    </row>
    <row r="1173" spans="8:8" x14ac:dyDescent="0.25">
      <c r="H1173" s="211"/>
    </row>
    <row r="1174" spans="8:8" x14ac:dyDescent="0.25">
      <c r="H1174" s="211"/>
    </row>
    <row r="1175" spans="8:8" x14ac:dyDescent="0.25">
      <c r="H1175" s="211"/>
    </row>
    <row r="1176" spans="8:8" x14ac:dyDescent="0.25">
      <c r="H1176" s="211"/>
    </row>
    <row r="1177" spans="8:8" x14ac:dyDescent="0.25">
      <c r="H1177" s="211"/>
    </row>
    <row r="1178" spans="8:8" x14ac:dyDescent="0.25">
      <c r="H1178" s="211"/>
    </row>
    <row r="1179" spans="8:8" x14ac:dyDescent="0.25">
      <c r="H1179" s="211"/>
    </row>
    <row r="1180" spans="8:8" x14ac:dyDescent="0.25">
      <c r="H1180" s="211"/>
    </row>
    <row r="1181" spans="8:8" x14ac:dyDescent="0.25">
      <c r="H1181" s="211"/>
    </row>
    <row r="1182" spans="8:8" x14ac:dyDescent="0.25">
      <c r="H1182" s="211"/>
    </row>
    <row r="1183" spans="8:8" x14ac:dyDescent="0.25">
      <c r="H1183" s="211"/>
    </row>
    <row r="1184" spans="8:8" x14ac:dyDescent="0.25">
      <c r="H1184" s="211"/>
    </row>
    <row r="1185" spans="8:8" x14ac:dyDescent="0.25">
      <c r="H1185" s="211"/>
    </row>
    <row r="1186" spans="8:8" x14ac:dyDescent="0.25">
      <c r="H1186" s="211"/>
    </row>
    <row r="1187" spans="8:8" x14ac:dyDescent="0.25">
      <c r="H1187" s="211"/>
    </row>
    <row r="1188" spans="8:8" x14ac:dyDescent="0.25">
      <c r="H1188" s="211"/>
    </row>
    <row r="1189" spans="8:8" x14ac:dyDescent="0.25">
      <c r="H1189" s="211"/>
    </row>
    <row r="1190" spans="8:8" x14ac:dyDescent="0.25">
      <c r="H1190" s="211"/>
    </row>
    <row r="1191" spans="8:8" x14ac:dyDescent="0.25">
      <c r="H1191" s="211"/>
    </row>
    <row r="1192" spans="8:8" x14ac:dyDescent="0.25">
      <c r="H1192" s="211"/>
    </row>
    <row r="1193" spans="8:8" x14ac:dyDescent="0.25">
      <c r="H1193" s="211"/>
    </row>
    <row r="1194" spans="8:8" x14ac:dyDescent="0.25">
      <c r="H1194" s="211"/>
    </row>
    <row r="1195" spans="8:8" x14ac:dyDescent="0.25">
      <c r="H1195" s="211"/>
    </row>
    <row r="1196" spans="8:8" x14ac:dyDescent="0.25">
      <c r="H1196" s="211"/>
    </row>
    <row r="1197" spans="8:8" x14ac:dyDescent="0.25">
      <c r="H1197" s="211"/>
    </row>
    <row r="1198" spans="8:8" x14ac:dyDescent="0.25">
      <c r="H1198" s="211"/>
    </row>
    <row r="1199" spans="8:8" x14ac:dyDescent="0.25">
      <c r="H1199" s="211"/>
    </row>
    <row r="1200" spans="8:8" x14ac:dyDescent="0.25">
      <c r="H1200" s="211"/>
    </row>
    <row r="1201" spans="8:8" x14ac:dyDescent="0.25">
      <c r="H1201" s="211"/>
    </row>
    <row r="1202" spans="8:8" x14ac:dyDescent="0.25">
      <c r="H1202" s="211"/>
    </row>
    <row r="1203" spans="8:8" x14ac:dyDescent="0.25">
      <c r="H1203" s="211"/>
    </row>
    <row r="1204" spans="8:8" x14ac:dyDescent="0.25">
      <c r="H1204" s="211"/>
    </row>
    <row r="1205" spans="8:8" x14ac:dyDescent="0.25">
      <c r="H1205" s="211"/>
    </row>
    <row r="1206" spans="8:8" x14ac:dyDescent="0.25">
      <c r="H1206" s="211"/>
    </row>
    <row r="1207" spans="8:8" x14ac:dyDescent="0.25">
      <c r="H1207" s="211"/>
    </row>
    <row r="1208" spans="8:8" x14ac:dyDescent="0.25">
      <c r="H1208" s="211"/>
    </row>
    <row r="1209" spans="8:8" x14ac:dyDescent="0.25">
      <c r="H1209" s="211"/>
    </row>
    <row r="1210" spans="8:8" x14ac:dyDescent="0.25">
      <c r="H1210" s="211"/>
    </row>
    <row r="1211" spans="8:8" x14ac:dyDescent="0.25">
      <c r="H1211" s="211"/>
    </row>
    <row r="1212" spans="8:8" x14ac:dyDescent="0.25">
      <c r="H1212" s="211"/>
    </row>
    <row r="1213" spans="8:8" x14ac:dyDescent="0.25">
      <c r="H1213" s="211"/>
    </row>
    <row r="1214" spans="8:8" x14ac:dyDescent="0.25">
      <c r="H1214" s="211"/>
    </row>
    <row r="1215" spans="8:8" x14ac:dyDescent="0.25">
      <c r="H1215" s="211"/>
    </row>
    <row r="1216" spans="8:8" x14ac:dyDescent="0.25">
      <c r="H1216" s="211"/>
    </row>
    <row r="1217" spans="8:8" x14ac:dyDescent="0.25">
      <c r="H1217" s="211"/>
    </row>
    <row r="1218" spans="8:8" x14ac:dyDescent="0.25">
      <c r="H1218" s="211"/>
    </row>
    <row r="1219" spans="8:8" x14ac:dyDescent="0.25">
      <c r="H1219" s="211"/>
    </row>
    <row r="1220" spans="8:8" x14ac:dyDescent="0.25">
      <c r="H1220" s="211"/>
    </row>
    <row r="1221" spans="8:8" x14ac:dyDescent="0.25">
      <c r="H1221" s="211"/>
    </row>
    <row r="1222" spans="8:8" x14ac:dyDescent="0.25">
      <c r="H1222" s="211"/>
    </row>
    <row r="1223" spans="8:8" x14ac:dyDescent="0.25">
      <c r="H1223" s="211"/>
    </row>
    <row r="1224" spans="8:8" x14ac:dyDescent="0.25">
      <c r="H1224" s="211"/>
    </row>
    <row r="1225" spans="8:8" x14ac:dyDescent="0.25">
      <c r="H1225" s="211"/>
    </row>
    <row r="1226" spans="8:8" x14ac:dyDescent="0.25">
      <c r="H1226" s="211"/>
    </row>
    <row r="1227" spans="8:8" x14ac:dyDescent="0.25">
      <c r="H1227" s="211"/>
    </row>
    <row r="1228" spans="8:8" x14ac:dyDescent="0.25">
      <c r="H1228" s="211"/>
    </row>
    <row r="1229" spans="8:8" x14ac:dyDescent="0.25">
      <c r="H1229" s="211"/>
    </row>
    <row r="1230" spans="8:8" x14ac:dyDescent="0.25">
      <c r="H1230" s="211"/>
    </row>
    <row r="1231" spans="8:8" x14ac:dyDescent="0.25">
      <c r="H1231" s="211"/>
    </row>
    <row r="1232" spans="8:8" x14ac:dyDescent="0.25">
      <c r="H1232" s="211"/>
    </row>
    <row r="1233" spans="8:8" x14ac:dyDescent="0.25">
      <c r="H1233" s="211"/>
    </row>
    <row r="1234" spans="8:8" x14ac:dyDescent="0.25">
      <c r="H1234" s="211"/>
    </row>
    <row r="1235" spans="8:8" x14ac:dyDescent="0.25">
      <c r="H1235" s="211"/>
    </row>
    <row r="1236" spans="8:8" x14ac:dyDescent="0.25">
      <c r="H1236" s="211"/>
    </row>
    <row r="1237" spans="8:8" x14ac:dyDescent="0.25">
      <c r="H1237" s="211"/>
    </row>
    <row r="1238" spans="8:8" x14ac:dyDescent="0.25">
      <c r="H1238" s="211"/>
    </row>
    <row r="1239" spans="8:8" x14ac:dyDescent="0.25">
      <c r="H1239" s="211"/>
    </row>
    <row r="1240" spans="8:8" x14ac:dyDescent="0.25">
      <c r="H1240" s="211"/>
    </row>
    <row r="1241" spans="8:8" x14ac:dyDescent="0.25">
      <c r="H1241" s="211"/>
    </row>
    <row r="1242" spans="8:8" x14ac:dyDescent="0.25">
      <c r="H1242" s="211"/>
    </row>
    <row r="1243" spans="8:8" x14ac:dyDescent="0.25">
      <c r="H1243" s="211"/>
    </row>
    <row r="1244" spans="8:8" x14ac:dyDescent="0.25">
      <c r="H1244" s="211"/>
    </row>
    <row r="1245" spans="8:8" x14ac:dyDescent="0.25">
      <c r="H1245" s="211"/>
    </row>
    <row r="1246" spans="8:8" x14ac:dyDescent="0.25">
      <c r="H1246" s="211"/>
    </row>
    <row r="1247" spans="8:8" x14ac:dyDescent="0.25">
      <c r="H1247" s="211"/>
    </row>
    <row r="1248" spans="8:8" x14ac:dyDescent="0.25">
      <c r="H1248" s="211"/>
    </row>
    <row r="1249" spans="8:8" x14ac:dyDescent="0.25">
      <c r="H1249" s="211"/>
    </row>
    <row r="1250" spans="8:8" x14ac:dyDescent="0.25">
      <c r="H1250" s="211"/>
    </row>
    <row r="1251" spans="8:8" x14ac:dyDescent="0.25">
      <c r="H1251" s="211"/>
    </row>
    <row r="1252" spans="8:8" x14ac:dyDescent="0.25">
      <c r="H1252" s="211"/>
    </row>
    <row r="1253" spans="8:8" x14ac:dyDescent="0.25">
      <c r="H1253" s="211"/>
    </row>
    <row r="1254" spans="8:8" x14ac:dyDescent="0.25">
      <c r="H1254" s="211"/>
    </row>
    <row r="1255" spans="8:8" x14ac:dyDescent="0.25">
      <c r="H1255" s="211"/>
    </row>
    <row r="1256" spans="8:8" x14ac:dyDescent="0.25">
      <c r="H1256" s="211"/>
    </row>
    <row r="1257" spans="8:8" x14ac:dyDescent="0.25">
      <c r="H1257" s="211"/>
    </row>
    <row r="1258" spans="8:8" x14ac:dyDescent="0.25">
      <c r="H1258" s="211"/>
    </row>
    <row r="1259" spans="8:8" x14ac:dyDescent="0.25">
      <c r="H1259" s="211"/>
    </row>
    <row r="1260" spans="8:8" x14ac:dyDescent="0.25">
      <c r="H1260" s="211"/>
    </row>
    <row r="1261" spans="8:8" x14ac:dyDescent="0.25">
      <c r="H1261" s="211"/>
    </row>
    <row r="1262" spans="8:8" x14ac:dyDescent="0.25">
      <c r="H1262" s="211"/>
    </row>
    <row r="1263" spans="8:8" x14ac:dyDescent="0.25">
      <c r="H1263" s="211"/>
    </row>
    <row r="1264" spans="8:8" x14ac:dyDescent="0.25">
      <c r="H1264" s="211"/>
    </row>
    <row r="1265" spans="8:8" x14ac:dyDescent="0.25">
      <c r="H1265" s="211"/>
    </row>
    <row r="1266" spans="8:8" x14ac:dyDescent="0.25">
      <c r="H1266" s="211"/>
    </row>
    <row r="1267" spans="8:8" x14ac:dyDescent="0.25">
      <c r="H1267" s="211"/>
    </row>
    <row r="1268" spans="8:8" x14ac:dyDescent="0.25">
      <c r="H1268" s="211"/>
    </row>
    <row r="1269" spans="8:8" x14ac:dyDescent="0.25">
      <c r="H1269" s="211"/>
    </row>
    <row r="1270" spans="8:8" x14ac:dyDescent="0.25">
      <c r="H1270" s="211"/>
    </row>
    <row r="1271" spans="8:8" x14ac:dyDescent="0.25">
      <c r="H1271" s="211"/>
    </row>
    <row r="1272" spans="8:8" x14ac:dyDescent="0.25">
      <c r="H1272" s="211"/>
    </row>
    <row r="1273" spans="8:8" x14ac:dyDescent="0.25">
      <c r="H1273" s="211"/>
    </row>
    <row r="1274" spans="8:8" x14ac:dyDescent="0.25">
      <c r="H1274" s="211"/>
    </row>
    <row r="1275" spans="8:8" x14ac:dyDescent="0.25">
      <c r="H1275" s="211"/>
    </row>
    <row r="1276" spans="8:8" x14ac:dyDescent="0.25">
      <c r="H1276" s="211"/>
    </row>
    <row r="1277" spans="8:8" x14ac:dyDescent="0.25">
      <c r="H1277" s="211"/>
    </row>
    <row r="1278" spans="8:8" x14ac:dyDescent="0.25">
      <c r="H1278" s="211"/>
    </row>
    <row r="1279" spans="8:8" x14ac:dyDescent="0.25">
      <c r="H1279" s="211"/>
    </row>
    <row r="1280" spans="8:8" x14ac:dyDescent="0.25">
      <c r="H1280" s="211"/>
    </row>
    <row r="1281" spans="8:8" x14ac:dyDescent="0.25">
      <c r="H1281" s="211"/>
    </row>
    <row r="1282" spans="8:8" x14ac:dyDescent="0.25">
      <c r="H1282" s="211"/>
    </row>
    <row r="1283" spans="8:8" x14ac:dyDescent="0.25">
      <c r="H1283" s="211"/>
    </row>
    <row r="1284" spans="8:8" x14ac:dyDescent="0.25">
      <c r="H1284" s="211"/>
    </row>
    <row r="1285" spans="8:8" x14ac:dyDescent="0.25">
      <c r="H1285" s="211"/>
    </row>
    <row r="1286" spans="8:8" x14ac:dyDescent="0.25">
      <c r="H1286" s="211"/>
    </row>
    <row r="1287" spans="8:8" x14ac:dyDescent="0.25">
      <c r="H1287" s="211"/>
    </row>
    <row r="1288" spans="8:8" x14ac:dyDescent="0.25">
      <c r="H1288" s="211"/>
    </row>
    <row r="1289" spans="8:8" x14ac:dyDescent="0.25">
      <c r="H1289" s="211"/>
    </row>
    <row r="1290" spans="8:8" x14ac:dyDescent="0.25">
      <c r="H1290" s="211"/>
    </row>
    <row r="1291" spans="8:8" x14ac:dyDescent="0.25">
      <c r="H1291" s="211"/>
    </row>
    <row r="1292" spans="8:8" x14ac:dyDescent="0.25">
      <c r="H1292" s="211"/>
    </row>
    <row r="1293" spans="8:8" x14ac:dyDescent="0.25">
      <c r="H1293" s="211"/>
    </row>
    <row r="1294" spans="8:8" x14ac:dyDescent="0.25">
      <c r="H1294" s="211"/>
    </row>
    <row r="1295" spans="8:8" x14ac:dyDescent="0.25">
      <c r="H1295" s="211"/>
    </row>
    <row r="1296" spans="8:8" x14ac:dyDescent="0.25">
      <c r="H1296" s="211"/>
    </row>
    <row r="1297" spans="8:8" x14ac:dyDescent="0.25">
      <c r="H1297" s="211"/>
    </row>
    <row r="1298" spans="8:8" x14ac:dyDescent="0.25">
      <c r="H1298" s="211"/>
    </row>
    <row r="1299" spans="8:8" x14ac:dyDescent="0.25">
      <c r="H1299" s="211"/>
    </row>
    <row r="1300" spans="8:8" x14ac:dyDescent="0.25">
      <c r="H1300" s="211"/>
    </row>
    <row r="1301" spans="8:8" x14ac:dyDescent="0.25">
      <c r="H1301" s="211"/>
    </row>
    <row r="1302" spans="8:8" x14ac:dyDescent="0.25">
      <c r="H1302" s="211"/>
    </row>
    <row r="1303" spans="8:8" x14ac:dyDescent="0.25">
      <c r="H1303" s="211"/>
    </row>
    <row r="1304" spans="8:8" x14ac:dyDescent="0.25">
      <c r="H1304" s="211"/>
    </row>
    <row r="1305" spans="8:8" x14ac:dyDescent="0.25">
      <c r="H1305" s="211"/>
    </row>
    <row r="1306" spans="8:8" x14ac:dyDescent="0.25">
      <c r="H1306" s="211"/>
    </row>
    <row r="1307" spans="8:8" x14ac:dyDescent="0.25">
      <c r="H1307" s="211"/>
    </row>
    <row r="1308" spans="8:8" x14ac:dyDescent="0.25">
      <c r="H1308" s="211"/>
    </row>
    <row r="1309" spans="8:8" x14ac:dyDescent="0.25">
      <c r="H1309" s="211"/>
    </row>
    <row r="1310" spans="8:8" x14ac:dyDescent="0.25">
      <c r="H1310" s="211"/>
    </row>
    <row r="1311" spans="8:8" x14ac:dyDescent="0.25">
      <c r="H1311" s="211"/>
    </row>
    <row r="1312" spans="8:8" x14ac:dyDescent="0.25">
      <c r="H1312" s="211"/>
    </row>
    <row r="1313" spans="8:8" x14ac:dyDescent="0.25">
      <c r="H1313" s="211"/>
    </row>
    <row r="1314" spans="8:8" x14ac:dyDescent="0.25">
      <c r="H1314" s="211"/>
    </row>
    <row r="1315" spans="8:8" x14ac:dyDescent="0.25">
      <c r="H1315" s="211"/>
    </row>
    <row r="1316" spans="8:8" x14ac:dyDescent="0.25">
      <c r="H1316" s="211"/>
    </row>
    <row r="1317" spans="8:8" x14ac:dyDescent="0.25">
      <c r="H1317" s="211"/>
    </row>
    <row r="1318" spans="8:8" x14ac:dyDescent="0.25">
      <c r="H1318" s="211"/>
    </row>
    <row r="1319" spans="8:8" x14ac:dyDescent="0.25">
      <c r="H1319" s="211"/>
    </row>
    <row r="1320" spans="8:8" x14ac:dyDescent="0.25">
      <c r="H1320" s="211"/>
    </row>
    <row r="1321" spans="8:8" x14ac:dyDescent="0.25">
      <c r="H1321" s="211"/>
    </row>
    <row r="1322" spans="8:8" x14ac:dyDescent="0.25">
      <c r="H1322" s="211"/>
    </row>
    <row r="1323" spans="8:8" x14ac:dyDescent="0.25">
      <c r="H1323" s="211"/>
    </row>
    <row r="1324" spans="8:8" x14ac:dyDescent="0.25">
      <c r="H1324" s="211"/>
    </row>
    <row r="1325" spans="8:8" x14ac:dyDescent="0.25">
      <c r="H1325" s="211"/>
    </row>
    <row r="1326" spans="8:8" x14ac:dyDescent="0.25">
      <c r="H1326" s="211"/>
    </row>
    <row r="1327" spans="8:8" x14ac:dyDescent="0.25">
      <c r="H1327" s="211"/>
    </row>
    <row r="1328" spans="8:8" x14ac:dyDescent="0.25">
      <c r="H1328" s="211"/>
    </row>
    <row r="1329" spans="8:8" x14ac:dyDescent="0.25">
      <c r="H1329" s="211"/>
    </row>
    <row r="1330" spans="8:8" x14ac:dyDescent="0.25">
      <c r="H1330" s="211"/>
    </row>
    <row r="1331" spans="8:8" x14ac:dyDescent="0.25">
      <c r="H1331" s="211"/>
    </row>
    <row r="1332" spans="8:8" x14ac:dyDescent="0.25">
      <c r="H1332" s="211"/>
    </row>
    <row r="1333" spans="8:8" x14ac:dyDescent="0.25">
      <c r="H1333" s="211"/>
    </row>
    <row r="1334" spans="8:8" x14ac:dyDescent="0.25">
      <c r="H1334" s="211"/>
    </row>
    <row r="1335" spans="8:8" x14ac:dyDescent="0.25">
      <c r="H1335" s="211"/>
    </row>
    <row r="1336" spans="8:8" x14ac:dyDescent="0.25">
      <c r="H1336" s="211"/>
    </row>
    <row r="1337" spans="8:8" x14ac:dyDescent="0.25">
      <c r="H1337" s="211"/>
    </row>
    <row r="1338" spans="8:8" x14ac:dyDescent="0.25">
      <c r="H1338" s="211"/>
    </row>
    <row r="1339" spans="8:8" x14ac:dyDescent="0.25">
      <c r="H1339" s="211"/>
    </row>
    <row r="1340" spans="8:8" x14ac:dyDescent="0.25">
      <c r="H1340" s="211"/>
    </row>
    <row r="1341" spans="8:8" x14ac:dyDescent="0.25">
      <c r="H1341" s="211"/>
    </row>
    <row r="1342" spans="8:8" x14ac:dyDescent="0.25">
      <c r="H1342" s="211"/>
    </row>
    <row r="1343" spans="8:8" x14ac:dyDescent="0.25">
      <c r="H1343" s="211"/>
    </row>
    <row r="1344" spans="8:8" x14ac:dyDescent="0.25">
      <c r="H1344" s="211"/>
    </row>
    <row r="1345" spans="8:8" x14ac:dyDescent="0.25">
      <c r="H1345" s="211"/>
    </row>
    <row r="1346" spans="8:8" x14ac:dyDescent="0.25">
      <c r="H1346" s="211"/>
    </row>
    <row r="1347" spans="8:8" x14ac:dyDescent="0.25">
      <c r="H1347" s="211"/>
    </row>
    <row r="1348" spans="8:8" x14ac:dyDescent="0.25">
      <c r="H1348" s="211"/>
    </row>
    <row r="1349" spans="8:8" x14ac:dyDescent="0.25">
      <c r="H1349" s="211"/>
    </row>
    <row r="1350" spans="8:8" x14ac:dyDescent="0.25">
      <c r="H1350" s="211"/>
    </row>
    <row r="1351" spans="8:8" x14ac:dyDescent="0.25">
      <c r="H1351" s="211"/>
    </row>
    <row r="1352" spans="8:8" x14ac:dyDescent="0.25">
      <c r="H1352" s="211"/>
    </row>
    <row r="1353" spans="8:8" x14ac:dyDescent="0.25">
      <c r="H1353" s="211"/>
    </row>
    <row r="1354" spans="8:8" x14ac:dyDescent="0.25">
      <c r="H1354" s="211"/>
    </row>
    <row r="1355" spans="8:8" x14ac:dyDescent="0.25">
      <c r="H1355" s="211"/>
    </row>
    <row r="1356" spans="8:8" x14ac:dyDescent="0.25">
      <c r="H1356" s="211"/>
    </row>
    <row r="1357" spans="8:8" x14ac:dyDescent="0.25">
      <c r="H1357" s="211"/>
    </row>
    <row r="1358" spans="8:8" x14ac:dyDescent="0.25">
      <c r="H1358" s="211"/>
    </row>
    <row r="1359" spans="8:8" x14ac:dyDescent="0.25">
      <c r="H1359" s="211"/>
    </row>
    <row r="1360" spans="8:8" x14ac:dyDescent="0.25">
      <c r="H1360" s="211"/>
    </row>
    <row r="1361" spans="8:8" x14ac:dyDescent="0.25">
      <c r="H1361" s="211"/>
    </row>
    <row r="1362" spans="8:8" x14ac:dyDescent="0.25">
      <c r="H1362" s="211"/>
    </row>
    <row r="1363" spans="8:8" x14ac:dyDescent="0.25">
      <c r="H1363" s="211"/>
    </row>
    <row r="1364" spans="8:8" x14ac:dyDescent="0.25">
      <c r="H1364" s="211"/>
    </row>
    <row r="1365" spans="8:8" x14ac:dyDescent="0.25">
      <c r="H1365" s="211"/>
    </row>
    <row r="1366" spans="8:8" x14ac:dyDescent="0.25">
      <c r="H1366" s="211"/>
    </row>
    <row r="1367" spans="8:8" x14ac:dyDescent="0.25">
      <c r="H1367" s="211"/>
    </row>
    <row r="1368" spans="8:8" x14ac:dyDescent="0.25">
      <c r="H1368" s="211"/>
    </row>
    <row r="1369" spans="8:8" x14ac:dyDescent="0.25">
      <c r="H1369" s="211"/>
    </row>
    <row r="1370" spans="8:8" x14ac:dyDescent="0.25">
      <c r="H1370" s="211"/>
    </row>
    <row r="1371" spans="8:8" x14ac:dyDescent="0.25">
      <c r="H1371" s="211"/>
    </row>
    <row r="1372" spans="8:8" x14ac:dyDescent="0.25">
      <c r="H1372" s="211"/>
    </row>
    <row r="1373" spans="8:8" x14ac:dyDescent="0.25">
      <c r="H1373" s="211"/>
    </row>
    <row r="1374" spans="8:8" x14ac:dyDescent="0.25">
      <c r="H1374" s="211"/>
    </row>
    <row r="1375" spans="8:8" x14ac:dyDescent="0.25">
      <c r="H1375" s="211"/>
    </row>
    <row r="1376" spans="8:8" x14ac:dyDescent="0.25">
      <c r="H1376" s="211"/>
    </row>
    <row r="1377" spans="8:8" x14ac:dyDescent="0.25">
      <c r="H1377" s="211"/>
    </row>
    <row r="1378" spans="8:8" x14ac:dyDescent="0.25">
      <c r="H1378" s="211"/>
    </row>
    <row r="1379" spans="8:8" x14ac:dyDescent="0.25">
      <c r="H1379" s="211"/>
    </row>
    <row r="1380" spans="8:8" x14ac:dyDescent="0.25">
      <c r="H1380" s="211"/>
    </row>
    <row r="1381" spans="8:8" x14ac:dyDescent="0.25">
      <c r="H1381" s="211"/>
    </row>
    <row r="1382" spans="8:8" x14ac:dyDescent="0.25">
      <c r="H1382" s="211"/>
    </row>
    <row r="1383" spans="8:8" x14ac:dyDescent="0.25">
      <c r="H1383" s="211"/>
    </row>
    <row r="1384" spans="8:8" x14ac:dyDescent="0.25">
      <c r="H1384" s="211"/>
    </row>
    <row r="1385" spans="8:8" x14ac:dyDescent="0.25">
      <c r="H1385" s="211"/>
    </row>
    <row r="1386" spans="8:8" x14ac:dyDescent="0.25">
      <c r="H1386" s="211"/>
    </row>
    <row r="1387" spans="8:8" x14ac:dyDescent="0.25">
      <c r="H1387" s="211"/>
    </row>
    <row r="1388" spans="8:8" x14ac:dyDescent="0.25">
      <c r="H1388" s="211"/>
    </row>
    <row r="1389" spans="8:8" x14ac:dyDescent="0.25">
      <c r="H1389" s="211"/>
    </row>
    <row r="1390" spans="8:8" x14ac:dyDescent="0.25">
      <c r="H1390" s="211"/>
    </row>
    <row r="1391" spans="8:8" x14ac:dyDescent="0.25">
      <c r="H1391" s="211"/>
    </row>
    <row r="1392" spans="8:8" x14ac:dyDescent="0.25">
      <c r="H1392" s="211"/>
    </row>
    <row r="1393" spans="8:8" x14ac:dyDescent="0.25">
      <c r="H1393" s="211"/>
    </row>
    <row r="1394" spans="8:8" x14ac:dyDescent="0.25">
      <c r="H1394" s="211"/>
    </row>
    <row r="1395" spans="8:8" x14ac:dyDescent="0.25">
      <c r="H1395" s="211"/>
    </row>
    <row r="1396" spans="8:8" x14ac:dyDescent="0.25">
      <c r="H1396" s="211"/>
    </row>
    <row r="1397" spans="8:8" x14ac:dyDescent="0.25">
      <c r="H1397" s="211"/>
    </row>
    <row r="1398" spans="8:8" x14ac:dyDescent="0.25">
      <c r="H1398" s="211"/>
    </row>
    <row r="1399" spans="8:8" x14ac:dyDescent="0.25">
      <c r="H1399" s="211"/>
    </row>
    <row r="1400" spans="8:8" x14ac:dyDescent="0.25">
      <c r="H1400" s="211"/>
    </row>
    <row r="1401" spans="8:8" x14ac:dyDescent="0.25">
      <c r="H1401" s="211"/>
    </row>
    <row r="1402" spans="8:8" x14ac:dyDescent="0.25">
      <c r="H1402" s="211"/>
    </row>
    <row r="1403" spans="8:8" x14ac:dyDescent="0.25">
      <c r="H1403" s="211"/>
    </row>
    <row r="1404" spans="8:8" x14ac:dyDescent="0.25">
      <c r="H1404" s="211"/>
    </row>
    <row r="1405" spans="8:8" x14ac:dyDescent="0.25">
      <c r="H1405" s="211"/>
    </row>
    <row r="1406" spans="8:8" x14ac:dyDescent="0.25">
      <c r="H1406" s="211"/>
    </row>
    <row r="1407" spans="8:8" x14ac:dyDescent="0.25">
      <c r="H1407" s="211"/>
    </row>
    <row r="1408" spans="8:8" x14ac:dyDescent="0.25">
      <c r="H1408" s="211"/>
    </row>
    <row r="1409" spans="8:8" x14ac:dyDescent="0.25">
      <c r="H1409" s="211"/>
    </row>
    <row r="1410" spans="8:8" x14ac:dyDescent="0.25">
      <c r="H1410" s="211"/>
    </row>
    <row r="1411" spans="8:8" x14ac:dyDescent="0.25">
      <c r="H1411" s="211"/>
    </row>
    <row r="1412" spans="8:8" x14ac:dyDescent="0.25">
      <c r="H1412" s="211"/>
    </row>
    <row r="1413" spans="8:8" x14ac:dyDescent="0.25">
      <c r="H1413" s="211"/>
    </row>
    <row r="1414" spans="8:8" x14ac:dyDescent="0.25">
      <c r="H1414" s="211"/>
    </row>
    <row r="1415" spans="8:8" x14ac:dyDescent="0.25">
      <c r="H1415" s="211"/>
    </row>
    <row r="1416" spans="8:8" x14ac:dyDescent="0.25">
      <c r="H1416" s="211"/>
    </row>
    <row r="1417" spans="8:8" x14ac:dyDescent="0.25">
      <c r="H1417" s="211"/>
    </row>
    <row r="1418" spans="8:8" x14ac:dyDescent="0.25">
      <c r="H1418" s="211"/>
    </row>
    <row r="1419" spans="8:8" x14ac:dyDescent="0.25">
      <c r="H1419" s="211"/>
    </row>
    <row r="1420" spans="8:8" x14ac:dyDescent="0.25">
      <c r="H1420" s="211"/>
    </row>
    <row r="1421" spans="8:8" x14ac:dyDescent="0.25">
      <c r="H1421" s="211"/>
    </row>
    <row r="1422" spans="8:8" x14ac:dyDescent="0.25">
      <c r="H1422" s="211"/>
    </row>
    <row r="1423" spans="8:8" x14ac:dyDescent="0.25">
      <c r="H1423" s="211"/>
    </row>
    <row r="1424" spans="8:8" x14ac:dyDescent="0.25">
      <c r="H1424" s="211"/>
    </row>
    <row r="1425" spans="8:8" x14ac:dyDescent="0.25">
      <c r="H1425" s="211"/>
    </row>
    <row r="1426" spans="8:8" x14ac:dyDescent="0.25">
      <c r="H1426" s="211"/>
    </row>
    <row r="1427" spans="8:8" x14ac:dyDescent="0.25">
      <c r="H1427" s="211"/>
    </row>
    <row r="1428" spans="8:8" x14ac:dyDescent="0.25">
      <c r="H1428" s="211"/>
    </row>
    <row r="1429" spans="8:8" x14ac:dyDescent="0.25">
      <c r="H1429" s="211"/>
    </row>
    <row r="1430" spans="8:8" x14ac:dyDescent="0.25">
      <c r="H1430" s="211"/>
    </row>
    <row r="1431" spans="8:8" x14ac:dyDescent="0.25">
      <c r="H1431" s="211"/>
    </row>
    <row r="1432" spans="8:8" x14ac:dyDescent="0.25">
      <c r="H1432" s="211"/>
    </row>
    <row r="1433" spans="8:8" x14ac:dyDescent="0.25">
      <c r="H1433" s="211"/>
    </row>
    <row r="1434" spans="8:8" x14ac:dyDescent="0.25">
      <c r="H1434" s="211"/>
    </row>
    <row r="1435" spans="8:8" x14ac:dyDescent="0.25">
      <c r="H1435" s="211"/>
    </row>
    <row r="1436" spans="8:8" x14ac:dyDescent="0.25">
      <c r="H1436" s="211"/>
    </row>
    <row r="1437" spans="8:8" x14ac:dyDescent="0.25">
      <c r="H1437" s="211"/>
    </row>
    <row r="1438" spans="8:8" x14ac:dyDescent="0.25">
      <c r="H1438" s="211"/>
    </row>
    <row r="1439" spans="8:8" x14ac:dyDescent="0.25">
      <c r="H1439" s="211"/>
    </row>
    <row r="1440" spans="8:8" x14ac:dyDescent="0.25">
      <c r="H1440" s="211"/>
    </row>
    <row r="1441" spans="8:8" x14ac:dyDescent="0.25">
      <c r="H1441" s="211"/>
    </row>
    <row r="1442" spans="8:8" x14ac:dyDescent="0.25">
      <c r="H1442" s="211"/>
    </row>
    <row r="1443" spans="8:8" x14ac:dyDescent="0.25">
      <c r="H1443" s="211"/>
    </row>
    <row r="1444" spans="8:8" x14ac:dyDescent="0.25">
      <c r="H1444" s="211"/>
    </row>
    <row r="1445" spans="8:8" x14ac:dyDescent="0.25">
      <c r="H1445" s="211"/>
    </row>
    <row r="1446" spans="8:8" x14ac:dyDescent="0.25">
      <c r="H1446" s="211"/>
    </row>
    <row r="1447" spans="8:8" x14ac:dyDescent="0.25">
      <c r="H1447" s="211"/>
    </row>
    <row r="1448" spans="8:8" x14ac:dyDescent="0.25">
      <c r="H1448" s="211"/>
    </row>
    <row r="1449" spans="8:8" x14ac:dyDescent="0.25">
      <c r="H1449" s="211"/>
    </row>
    <row r="1450" spans="8:8" x14ac:dyDescent="0.25">
      <c r="H1450" s="211"/>
    </row>
    <row r="1451" spans="8:8" x14ac:dyDescent="0.25">
      <c r="H1451" s="211"/>
    </row>
    <row r="1452" spans="8:8" x14ac:dyDescent="0.25">
      <c r="H1452" s="211"/>
    </row>
    <row r="1453" spans="8:8" x14ac:dyDescent="0.25">
      <c r="H1453" s="211"/>
    </row>
    <row r="1454" spans="8:8" x14ac:dyDescent="0.25">
      <c r="H1454" s="211"/>
    </row>
    <row r="1455" spans="8:8" x14ac:dyDescent="0.25">
      <c r="H1455" s="211"/>
    </row>
    <row r="1456" spans="8:8" x14ac:dyDescent="0.25">
      <c r="H1456" s="211"/>
    </row>
    <row r="1457" spans="8:8" x14ac:dyDescent="0.25">
      <c r="H1457" s="211"/>
    </row>
    <row r="1458" spans="8:8" x14ac:dyDescent="0.25">
      <c r="H1458" s="211"/>
    </row>
    <row r="1459" spans="8:8" x14ac:dyDescent="0.25">
      <c r="H1459" s="211"/>
    </row>
    <row r="1460" spans="8:8" x14ac:dyDescent="0.25">
      <c r="H1460" s="211"/>
    </row>
    <row r="1461" spans="8:8" x14ac:dyDescent="0.25">
      <c r="H1461" s="211"/>
    </row>
    <row r="1462" spans="8:8" x14ac:dyDescent="0.25">
      <c r="H1462" s="211"/>
    </row>
    <row r="1463" spans="8:8" x14ac:dyDescent="0.25">
      <c r="H1463" s="211"/>
    </row>
    <row r="1464" spans="8:8" x14ac:dyDescent="0.25">
      <c r="H1464" s="211"/>
    </row>
    <row r="1465" spans="8:8" x14ac:dyDescent="0.25">
      <c r="H1465" s="211"/>
    </row>
    <row r="1466" spans="8:8" x14ac:dyDescent="0.25">
      <c r="H1466" s="211"/>
    </row>
    <row r="1467" spans="8:8" x14ac:dyDescent="0.25">
      <c r="H1467" s="211"/>
    </row>
    <row r="1468" spans="8:8" x14ac:dyDescent="0.25">
      <c r="H1468" s="211"/>
    </row>
    <row r="1469" spans="8:8" x14ac:dyDescent="0.25">
      <c r="H1469" s="211"/>
    </row>
    <row r="1470" spans="8:8" x14ac:dyDescent="0.25">
      <c r="H1470" s="211"/>
    </row>
    <row r="1471" spans="8:8" x14ac:dyDescent="0.25">
      <c r="H1471" s="211"/>
    </row>
    <row r="1472" spans="8:8" x14ac:dyDescent="0.25">
      <c r="H1472" s="211"/>
    </row>
    <row r="1473" spans="8:8" x14ac:dyDescent="0.25">
      <c r="H1473" s="211"/>
    </row>
    <row r="1474" spans="8:8" x14ac:dyDescent="0.25">
      <c r="H1474" s="211"/>
    </row>
    <row r="1475" spans="8:8" x14ac:dyDescent="0.25">
      <c r="H1475" s="211"/>
    </row>
    <row r="1476" spans="8:8" x14ac:dyDescent="0.25">
      <c r="H1476" s="211"/>
    </row>
    <row r="1477" spans="8:8" x14ac:dyDescent="0.25">
      <c r="H1477" s="211"/>
    </row>
    <row r="1478" spans="8:8" x14ac:dyDescent="0.25">
      <c r="H1478" s="211"/>
    </row>
    <row r="1479" spans="8:8" x14ac:dyDescent="0.25">
      <c r="H1479" s="211"/>
    </row>
    <row r="1480" spans="8:8" x14ac:dyDescent="0.25">
      <c r="H1480" s="211"/>
    </row>
    <row r="1481" spans="8:8" x14ac:dyDescent="0.25">
      <c r="H1481" s="211"/>
    </row>
    <row r="1482" spans="8:8" x14ac:dyDescent="0.25">
      <c r="H1482" s="211"/>
    </row>
    <row r="1483" spans="8:8" x14ac:dyDescent="0.25">
      <c r="H1483" s="211"/>
    </row>
    <row r="1484" spans="8:8" x14ac:dyDescent="0.25">
      <c r="H1484" s="211"/>
    </row>
    <row r="1485" spans="8:8" x14ac:dyDescent="0.25">
      <c r="H1485" s="211"/>
    </row>
    <row r="1486" spans="8:8" x14ac:dyDescent="0.25">
      <c r="H1486" s="211"/>
    </row>
    <row r="1487" spans="8:8" x14ac:dyDescent="0.25">
      <c r="H1487" s="211"/>
    </row>
    <row r="1488" spans="8:8" x14ac:dyDescent="0.25">
      <c r="H1488" s="211"/>
    </row>
    <row r="1489" spans="8:8" x14ac:dyDescent="0.25">
      <c r="H1489" s="211"/>
    </row>
    <row r="1490" spans="8:8" x14ac:dyDescent="0.25">
      <c r="H1490" s="211"/>
    </row>
    <row r="1491" spans="8:8" x14ac:dyDescent="0.25">
      <c r="H1491" s="211"/>
    </row>
    <row r="1492" spans="8:8" x14ac:dyDescent="0.25">
      <c r="H1492" s="211"/>
    </row>
    <row r="1493" spans="8:8" x14ac:dyDescent="0.25">
      <c r="H1493" s="211"/>
    </row>
    <row r="1494" spans="8:8" x14ac:dyDescent="0.25">
      <c r="H1494" s="211"/>
    </row>
    <row r="1495" spans="8:8" x14ac:dyDescent="0.25">
      <c r="H1495" s="211"/>
    </row>
    <row r="1496" spans="8:8" x14ac:dyDescent="0.25">
      <c r="H1496" s="211"/>
    </row>
    <row r="1497" spans="8:8" x14ac:dyDescent="0.25">
      <c r="H1497" s="211"/>
    </row>
    <row r="1498" spans="8:8" x14ac:dyDescent="0.25">
      <c r="H1498" s="211"/>
    </row>
    <row r="1499" spans="8:8" x14ac:dyDescent="0.25">
      <c r="H1499" s="211"/>
    </row>
    <row r="1500" spans="8:8" x14ac:dyDescent="0.25">
      <c r="H1500" s="211"/>
    </row>
    <row r="1501" spans="8:8" x14ac:dyDescent="0.25">
      <c r="H1501" s="211"/>
    </row>
    <row r="1502" spans="8:8" x14ac:dyDescent="0.25">
      <c r="H1502" s="211"/>
    </row>
    <row r="1503" spans="8:8" x14ac:dyDescent="0.25">
      <c r="H1503" s="211"/>
    </row>
    <row r="1504" spans="8:8" x14ac:dyDescent="0.25">
      <c r="H1504" s="211"/>
    </row>
    <row r="1505" spans="8:8" x14ac:dyDescent="0.25">
      <c r="H1505" s="211"/>
    </row>
    <row r="1506" spans="8:8" x14ac:dyDescent="0.25">
      <c r="H1506" s="211"/>
    </row>
    <row r="1507" spans="8:8" x14ac:dyDescent="0.25">
      <c r="H1507" s="211"/>
    </row>
    <row r="1508" spans="8:8" x14ac:dyDescent="0.25">
      <c r="H1508" s="211"/>
    </row>
    <row r="1509" spans="8:8" x14ac:dyDescent="0.25">
      <c r="H1509" s="211"/>
    </row>
    <row r="1510" spans="8:8" x14ac:dyDescent="0.25">
      <c r="H1510" s="211"/>
    </row>
    <row r="1511" spans="8:8" x14ac:dyDescent="0.25">
      <c r="H1511" s="211"/>
    </row>
    <row r="1512" spans="8:8" x14ac:dyDescent="0.25">
      <c r="H1512" s="211"/>
    </row>
    <row r="1513" spans="8:8" x14ac:dyDescent="0.25">
      <c r="H1513" s="211"/>
    </row>
    <row r="1514" spans="8:8" x14ac:dyDescent="0.25">
      <c r="H1514" s="211"/>
    </row>
    <row r="1515" spans="8:8" x14ac:dyDescent="0.25">
      <c r="H1515" s="211"/>
    </row>
    <row r="1516" spans="8:8" x14ac:dyDescent="0.25">
      <c r="H1516" s="211"/>
    </row>
    <row r="1517" spans="8:8" x14ac:dyDescent="0.25">
      <c r="H1517" s="211"/>
    </row>
    <row r="1518" spans="8:8" x14ac:dyDescent="0.25">
      <c r="H1518" s="211"/>
    </row>
    <row r="1519" spans="8:8" x14ac:dyDescent="0.25">
      <c r="H1519" s="211"/>
    </row>
    <row r="1520" spans="8:8" x14ac:dyDescent="0.25">
      <c r="H1520" s="211"/>
    </row>
    <row r="1521" spans="8:8" x14ac:dyDescent="0.25">
      <c r="H1521" s="211"/>
    </row>
    <row r="1522" spans="8:8" x14ac:dyDescent="0.25">
      <c r="H1522" s="211"/>
    </row>
    <row r="1523" spans="8:8" x14ac:dyDescent="0.25">
      <c r="H1523" s="211"/>
    </row>
    <row r="1524" spans="8:8" x14ac:dyDescent="0.25">
      <c r="H1524" s="211"/>
    </row>
    <row r="1525" spans="8:8" x14ac:dyDescent="0.25">
      <c r="H1525" s="211"/>
    </row>
    <row r="1526" spans="8:8" x14ac:dyDescent="0.25">
      <c r="H1526" s="211"/>
    </row>
    <row r="1527" spans="8:8" x14ac:dyDescent="0.25">
      <c r="H1527" s="211"/>
    </row>
    <row r="1528" spans="8:8" x14ac:dyDescent="0.25">
      <c r="H1528" s="211"/>
    </row>
    <row r="1529" spans="8:8" x14ac:dyDescent="0.25">
      <c r="H1529" s="211"/>
    </row>
    <row r="1530" spans="8:8" x14ac:dyDescent="0.25">
      <c r="H1530" s="211"/>
    </row>
    <row r="1531" spans="8:8" x14ac:dyDescent="0.25">
      <c r="H1531" s="211"/>
    </row>
    <row r="1532" spans="8:8" x14ac:dyDescent="0.25">
      <c r="H1532" s="211"/>
    </row>
    <row r="1533" spans="8:8" x14ac:dyDescent="0.25">
      <c r="H1533" s="211"/>
    </row>
    <row r="1534" spans="8:8" x14ac:dyDescent="0.25">
      <c r="H1534" s="211"/>
    </row>
    <row r="1535" spans="8:8" x14ac:dyDescent="0.25">
      <c r="H1535" s="211"/>
    </row>
    <row r="1536" spans="8:8" x14ac:dyDescent="0.25">
      <c r="H1536" s="211"/>
    </row>
    <row r="1537" spans="8:8" x14ac:dyDescent="0.25">
      <c r="H1537" s="211"/>
    </row>
    <row r="1538" spans="8:8" x14ac:dyDescent="0.25">
      <c r="H1538" s="211"/>
    </row>
    <row r="1539" spans="8:8" x14ac:dyDescent="0.25">
      <c r="H1539" s="211"/>
    </row>
    <row r="1540" spans="8:8" x14ac:dyDescent="0.25">
      <c r="H1540" s="211"/>
    </row>
    <row r="1541" spans="8:8" x14ac:dyDescent="0.25">
      <c r="H1541" s="211"/>
    </row>
    <row r="1542" spans="8:8" x14ac:dyDescent="0.25">
      <c r="H1542" s="211"/>
    </row>
    <row r="1543" spans="8:8" x14ac:dyDescent="0.25">
      <c r="H1543" s="211"/>
    </row>
    <row r="1544" spans="8:8" x14ac:dyDescent="0.25">
      <c r="H1544" s="211"/>
    </row>
    <row r="1545" spans="8:8" x14ac:dyDescent="0.25">
      <c r="H1545" s="211"/>
    </row>
    <row r="1546" spans="8:8" x14ac:dyDescent="0.25">
      <c r="H1546" s="211"/>
    </row>
    <row r="1547" spans="8:8" x14ac:dyDescent="0.25">
      <c r="H1547" s="211"/>
    </row>
    <row r="1548" spans="8:8" x14ac:dyDescent="0.25">
      <c r="H1548" s="211"/>
    </row>
    <row r="1549" spans="8:8" x14ac:dyDescent="0.25">
      <c r="H1549" s="211"/>
    </row>
    <row r="1550" spans="8:8" x14ac:dyDescent="0.25">
      <c r="H1550" s="211"/>
    </row>
    <row r="1551" spans="8:8" x14ac:dyDescent="0.25">
      <c r="H1551" s="211"/>
    </row>
    <row r="1552" spans="8:8" x14ac:dyDescent="0.25">
      <c r="H1552" s="211"/>
    </row>
    <row r="1553" spans="8:8" x14ac:dyDescent="0.25">
      <c r="H1553" s="211"/>
    </row>
    <row r="1554" spans="8:8" x14ac:dyDescent="0.25">
      <c r="H1554" s="211"/>
    </row>
    <row r="1555" spans="8:8" x14ac:dyDescent="0.25">
      <c r="H1555" s="211"/>
    </row>
    <row r="1556" spans="8:8" x14ac:dyDescent="0.25">
      <c r="H1556" s="211"/>
    </row>
    <row r="1557" spans="8:8" x14ac:dyDescent="0.25">
      <c r="H1557" s="211"/>
    </row>
    <row r="1558" spans="8:8" x14ac:dyDescent="0.25">
      <c r="H1558" s="211"/>
    </row>
    <row r="1559" spans="8:8" x14ac:dyDescent="0.25">
      <c r="H1559" s="211"/>
    </row>
    <row r="1560" spans="8:8" x14ac:dyDescent="0.25">
      <c r="H1560" s="211"/>
    </row>
    <row r="1561" spans="8:8" x14ac:dyDescent="0.25">
      <c r="H1561" s="211"/>
    </row>
    <row r="1562" spans="8:8" x14ac:dyDescent="0.25">
      <c r="H1562" s="211"/>
    </row>
    <row r="1563" spans="8:8" x14ac:dyDescent="0.25">
      <c r="H1563" s="211"/>
    </row>
    <row r="1564" spans="8:8" x14ac:dyDescent="0.25">
      <c r="H1564" s="211"/>
    </row>
    <row r="1565" spans="8:8" x14ac:dyDescent="0.25">
      <c r="H1565" s="211"/>
    </row>
    <row r="1566" spans="8:8" x14ac:dyDescent="0.25">
      <c r="H1566" s="211"/>
    </row>
    <row r="1567" spans="8:8" x14ac:dyDescent="0.25">
      <c r="H1567" s="211"/>
    </row>
    <row r="1568" spans="8:8" x14ac:dyDescent="0.25">
      <c r="H1568" s="211"/>
    </row>
    <row r="1569" spans="8:8" x14ac:dyDescent="0.25">
      <c r="H1569" s="211"/>
    </row>
    <row r="1570" spans="8:8" x14ac:dyDescent="0.25">
      <c r="H1570" s="211"/>
    </row>
    <row r="1571" spans="8:8" x14ac:dyDescent="0.25">
      <c r="H1571" s="211"/>
    </row>
    <row r="1572" spans="8:8" x14ac:dyDescent="0.25">
      <c r="H1572" s="211"/>
    </row>
    <row r="1573" spans="8:8" x14ac:dyDescent="0.25">
      <c r="H1573" s="211"/>
    </row>
    <row r="1574" spans="8:8" x14ac:dyDescent="0.25">
      <c r="H1574" s="211"/>
    </row>
    <row r="1575" spans="8:8" x14ac:dyDescent="0.25">
      <c r="H1575" s="211"/>
    </row>
    <row r="1576" spans="8:8" x14ac:dyDescent="0.25">
      <c r="H1576" s="211"/>
    </row>
    <row r="1577" spans="8:8" x14ac:dyDescent="0.25">
      <c r="H1577" s="211"/>
    </row>
    <row r="1578" spans="8:8" x14ac:dyDescent="0.25">
      <c r="H1578" s="211"/>
    </row>
    <row r="1579" spans="8:8" x14ac:dyDescent="0.25">
      <c r="H1579" s="211"/>
    </row>
    <row r="1580" spans="8:8" x14ac:dyDescent="0.25">
      <c r="H1580" s="211"/>
    </row>
    <row r="1581" spans="8:8" x14ac:dyDescent="0.25">
      <c r="H1581" s="211"/>
    </row>
    <row r="1582" spans="8:8" x14ac:dyDescent="0.25">
      <c r="H1582" s="211"/>
    </row>
    <row r="1583" spans="8:8" x14ac:dyDescent="0.25">
      <c r="H1583" s="211"/>
    </row>
    <row r="1584" spans="8:8" x14ac:dyDescent="0.25">
      <c r="H1584" s="211"/>
    </row>
    <row r="1585" spans="8:8" x14ac:dyDescent="0.25">
      <c r="H1585" s="211"/>
    </row>
    <row r="1586" spans="8:8" x14ac:dyDescent="0.25">
      <c r="H1586" s="211"/>
    </row>
    <row r="1587" spans="8:8" x14ac:dyDescent="0.25">
      <c r="H1587" s="211"/>
    </row>
    <row r="1588" spans="8:8" x14ac:dyDescent="0.25">
      <c r="H1588" s="211"/>
    </row>
    <row r="1589" spans="8:8" x14ac:dyDescent="0.25">
      <c r="H1589" s="211"/>
    </row>
    <row r="1590" spans="8:8" x14ac:dyDescent="0.25">
      <c r="H1590" s="211"/>
    </row>
    <row r="1591" spans="8:8" x14ac:dyDescent="0.25">
      <c r="H1591" s="211"/>
    </row>
    <row r="1592" spans="8:8" x14ac:dyDescent="0.25">
      <c r="H1592" s="211"/>
    </row>
    <row r="1593" spans="8:8" x14ac:dyDescent="0.25">
      <c r="H1593" s="211"/>
    </row>
    <row r="1594" spans="8:8" x14ac:dyDescent="0.25">
      <c r="H1594" s="211"/>
    </row>
    <row r="1595" spans="8:8" x14ac:dyDescent="0.25">
      <c r="H1595" s="211"/>
    </row>
    <row r="1596" spans="8:8" x14ac:dyDescent="0.25">
      <c r="H1596" s="211"/>
    </row>
    <row r="1597" spans="8:8" x14ac:dyDescent="0.25">
      <c r="H1597" s="211"/>
    </row>
    <row r="1598" spans="8:8" x14ac:dyDescent="0.25">
      <c r="H1598" s="211"/>
    </row>
    <row r="1599" spans="8:8" x14ac:dyDescent="0.25">
      <c r="H1599" s="211"/>
    </row>
    <row r="1600" spans="8:8" x14ac:dyDescent="0.25">
      <c r="H1600" s="211"/>
    </row>
    <row r="1601" spans="8:8" x14ac:dyDescent="0.25">
      <c r="H1601" s="211"/>
    </row>
    <row r="1602" spans="8:8" x14ac:dyDescent="0.25">
      <c r="H1602" s="211"/>
    </row>
    <row r="1603" spans="8:8" x14ac:dyDescent="0.25">
      <c r="H1603" s="211"/>
    </row>
    <row r="1604" spans="8:8" x14ac:dyDescent="0.25">
      <c r="H1604" s="211"/>
    </row>
    <row r="1605" spans="8:8" x14ac:dyDescent="0.25">
      <c r="H1605" s="211"/>
    </row>
    <row r="1606" spans="8:8" x14ac:dyDescent="0.25">
      <c r="H1606" s="211"/>
    </row>
    <row r="1607" spans="8:8" x14ac:dyDescent="0.25">
      <c r="H1607" s="211"/>
    </row>
    <row r="1608" spans="8:8" x14ac:dyDescent="0.25">
      <c r="H1608" s="211"/>
    </row>
    <row r="1609" spans="8:8" x14ac:dyDescent="0.25">
      <c r="H1609" s="211"/>
    </row>
    <row r="1610" spans="8:8" x14ac:dyDescent="0.25">
      <c r="H1610" s="211"/>
    </row>
    <row r="1611" spans="8:8" x14ac:dyDescent="0.25">
      <c r="H1611" s="211"/>
    </row>
    <row r="1612" spans="8:8" x14ac:dyDescent="0.25">
      <c r="H1612" s="211"/>
    </row>
    <row r="1613" spans="8:8" x14ac:dyDescent="0.25">
      <c r="H1613" s="211"/>
    </row>
    <row r="1614" spans="8:8" x14ac:dyDescent="0.25">
      <c r="H1614" s="211"/>
    </row>
    <row r="1615" spans="8:8" x14ac:dyDescent="0.25">
      <c r="H1615" s="211"/>
    </row>
    <row r="1616" spans="8:8" x14ac:dyDescent="0.25">
      <c r="H1616" s="211"/>
    </row>
    <row r="1617" spans="8:8" x14ac:dyDescent="0.25">
      <c r="H1617" s="211"/>
    </row>
    <row r="1618" spans="8:8" x14ac:dyDescent="0.25">
      <c r="H1618" s="211"/>
    </row>
    <row r="1619" spans="8:8" x14ac:dyDescent="0.25">
      <c r="H1619" s="211"/>
    </row>
    <row r="1620" spans="8:8" x14ac:dyDescent="0.25">
      <c r="H1620" s="211"/>
    </row>
    <row r="1621" spans="8:8" x14ac:dyDescent="0.25">
      <c r="H1621" s="211"/>
    </row>
    <row r="1622" spans="8:8" x14ac:dyDescent="0.25">
      <c r="H1622" s="211"/>
    </row>
    <row r="1623" spans="8:8" x14ac:dyDescent="0.25">
      <c r="H1623" s="211"/>
    </row>
    <row r="1624" spans="8:8" x14ac:dyDescent="0.25">
      <c r="H1624" s="211"/>
    </row>
    <row r="1625" spans="8:8" x14ac:dyDescent="0.25">
      <c r="H1625" s="211"/>
    </row>
    <row r="1626" spans="8:8" x14ac:dyDescent="0.25">
      <c r="H1626" s="211"/>
    </row>
    <row r="1627" spans="8:8" x14ac:dyDescent="0.25">
      <c r="H1627" s="211"/>
    </row>
    <row r="1628" spans="8:8" x14ac:dyDescent="0.25">
      <c r="H1628" s="211"/>
    </row>
    <row r="1629" spans="8:8" x14ac:dyDescent="0.25">
      <c r="H1629" s="211"/>
    </row>
    <row r="1630" spans="8:8" x14ac:dyDescent="0.25">
      <c r="H1630" s="211"/>
    </row>
    <row r="1631" spans="8:8" x14ac:dyDescent="0.25">
      <c r="H1631" s="211"/>
    </row>
    <row r="1632" spans="8:8" x14ac:dyDescent="0.25">
      <c r="H1632" s="211"/>
    </row>
    <row r="1633" spans="8:8" x14ac:dyDescent="0.25">
      <c r="H1633" s="211"/>
    </row>
    <row r="1634" spans="8:8" x14ac:dyDescent="0.25">
      <c r="H1634" s="211"/>
    </row>
    <row r="1635" spans="8:8" x14ac:dyDescent="0.25">
      <c r="H1635" s="211"/>
    </row>
    <row r="1636" spans="8:8" x14ac:dyDescent="0.25">
      <c r="H1636" s="211"/>
    </row>
    <row r="1637" spans="8:8" x14ac:dyDescent="0.25">
      <c r="H1637" s="211"/>
    </row>
    <row r="1638" spans="8:8" x14ac:dyDescent="0.25">
      <c r="H1638" s="211"/>
    </row>
    <row r="1639" spans="8:8" x14ac:dyDescent="0.25">
      <c r="H1639" s="211"/>
    </row>
    <row r="1640" spans="8:8" x14ac:dyDescent="0.25">
      <c r="H1640" s="211"/>
    </row>
    <row r="1641" spans="8:8" x14ac:dyDescent="0.25">
      <c r="H1641" s="211"/>
    </row>
    <row r="1642" spans="8:8" x14ac:dyDescent="0.25">
      <c r="H1642" s="211"/>
    </row>
    <row r="1643" spans="8:8" x14ac:dyDescent="0.25">
      <c r="H1643" s="211"/>
    </row>
    <row r="1644" spans="8:8" x14ac:dyDescent="0.25">
      <c r="H1644" s="211"/>
    </row>
    <row r="1645" spans="8:8" x14ac:dyDescent="0.25">
      <c r="H1645" s="211"/>
    </row>
    <row r="1646" spans="8:8" x14ac:dyDescent="0.25">
      <c r="H1646" s="211"/>
    </row>
    <row r="1647" spans="8:8" x14ac:dyDescent="0.25">
      <c r="H1647" s="211"/>
    </row>
    <row r="1648" spans="8:8" x14ac:dyDescent="0.25">
      <c r="H1648" s="211"/>
    </row>
    <row r="1649" spans="8:8" x14ac:dyDescent="0.25">
      <c r="H1649" s="211"/>
    </row>
    <row r="1650" spans="8:8" x14ac:dyDescent="0.25">
      <c r="H1650" s="211"/>
    </row>
    <row r="1651" spans="8:8" x14ac:dyDescent="0.25">
      <c r="H1651" s="211"/>
    </row>
    <row r="1652" spans="8:8" x14ac:dyDescent="0.25">
      <c r="H1652" s="211"/>
    </row>
    <row r="1653" spans="8:8" x14ac:dyDescent="0.25">
      <c r="H1653" s="211"/>
    </row>
    <row r="1654" spans="8:8" x14ac:dyDescent="0.25">
      <c r="H1654" s="211"/>
    </row>
    <row r="1655" spans="8:8" x14ac:dyDescent="0.25">
      <c r="H1655" s="211"/>
    </row>
    <row r="1656" spans="8:8" x14ac:dyDescent="0.25">
      <c r="H1656" s="211"/>
    </row>
    <row r="1657" spans="8:8" x14ac:dyDescent="0.25">
      <c r="H1657" s="211"/>
    </row>
    <row r="1658" spans="8:8" x14ac:dyDescent="0.25">
      <c r="H1658" s="211"/>
    </row>
    <row r="1659" spans="8:8" x14ac:dyDescent="0.25">
      <c r="H1659" s="211"/>
    </row>
    <row r="1660" spans="8:8" x14ac:dyDescent="0.25">
      <c r="H1660" s="211"/>
    </row>
    <row r="1661" spans="8:8" x14ac:dyDescent="0.25">
      <c r="H1661" s="211"/>
    </row>
    <row r="1662" spans="8:8" x14ac:dyDescent="0.25">
      <c r="H1662" s="211"/>
    </row>
    <row r="1663" spans="8:8" x14ac:dyDescent="0.25">
      <c r="H1663" s="211"/>
    </row>
    <row r="1664" spans="8:8" x14ac:dyDescent="0.25">
      <c r="H1664" s="211"/>
    </row>
    <row r="1665" spans="8:8" x14ac:dyDescent="0.25">
      <c r="H1665" s="211"/>
    </row>
    <row r="1666" spans="8:8" x14ac:dyDescent="0.25">
      <c r="H1666" s="211"/>
    </row>
    <row r="1667" spans="8:8" x14ac:dyDescent="0.25">
      <c r="H1667" s="211"/>
    </row>
    <row r="1668" spans="8:8" x14ac:dyDescent="0.25">
      <c r="H1668" s="211"/>
    </row>
    <row r="1669" spans="8:8" x14ac:dyDescent="0.25">
      <c r="H1669" s="211"/>
    </row>
    <row r="1670" spans="8:8" x14ac:dyDescent="0.25">
      <c r="H1670" s="211"/>
    </row>
    <row r="1671" spans="8:8" x14ac:dyDescent="0.25">
      <c r="H1671" s="211"/>
    </row>
    <row r="1672" spans="8:8" x14ac:dyDescent="0.25">
      <c r="H1672" s="211"/>
    </row>
    <row r="1673" spans="8:8" x14ac:dyDescent="0.25">
      <c r="H1673" s="211"/>
    </row>
    <row r="1674" spans="8:8" x14ac:dyDescent="0.25">
      <c r="H1674" s="211"/>
    </row>
    <row r="1675" spans="8:8" x14ac:dyDescent="0.25">
      <c r="H1675" s="211"/>
    </row>
    <row r="1676" spans="8:8" x14ac:dyDescent="0.25">
      <c r="H1676" s="211"/>
    </row>
    <row r="1677" spans="8:8" x14ac:dyDescent="0.25">
      <c r="H1677" s="211"/>
    </row>
    <row r="1678" spans="8:8" x14ac:dyDescent="0.25">
      <c r="H1678" s="211"/>
    </row>
    <row r="1679" spans="8:8" x14ac:dyDescent="0.25">
      <c r="H1679" s="211"/>
    </row>
    <row r="1680" spans="8:8" x14ac:dyDescent="0.25">
      <c r="H1680" s="211"/>
    </row>
    <row r="1681" spans="8:8" x14ac:dyDescent="0.25">
      <c r="H1681" s="211"/>
    </row>
    <row r="1682" spans="8:8" x14ac:dyDescent="0.25">
      <c r="H1682" s="211"/>
    </row>
    <row r="1683" spans="8:8" x14ac:dyDescent="0.25">
      <c r="H1683" s="211"/>
    </row>
    <row r="1684" spans="8:8" x14ac:dyDescent="0.25">
      <c r="H1684" s="211"/>
    </row>
    <row r="1685" spans="8:8" x14ac:dyDescent="0.25">
      <c r="H1685" s="211"/>
    </row>
    <row r="1686" spans="8:8" x14ac:dyDescent="0.25">
      <c r="H1686" s="211"/>
    </row>
    <row r="1687" spans="8:8" x14ac:dyDescent="0.25">
      <c r="H1687" s="211"/>
    </row>
    <row r="1688" spans="8:8" x14ac:dyDescent="0.25">
      <c r="H1688" s="211"/>
    </row>
    <row r="1689" spans="8:8" x14ac:dyDescent="0.25">
      <c r="H1689" s="211"/>
    </row>
    <row r="1690" spans="8:8" x14ac:dyDescent="0.25">
      <c r="H1690" s="211"/>
    </row>
    <row r="1691" spans="8:8" x14ac:dyDescent="0.25">
      <c r="H1691" s="211"/>
    </row>
    <row r="1692" spans="8:8" x14ac:dyDescent="0.25">
      <c r="H1692" s="211"/>
    </row>
    <row r="1693" spans="8:8" x14ac:dyDescent="0.25">
      <c r="H1693" s="211"/>
    </row>
    <row r="1694" spans="8:8" x14ac:dyDescent="0.25">
      <c r="H1694" s="211"/>
    </row>
    <row r="1695" spans="8:8" x14ac:dyDescent="0.25">
      <c r="H1695" s="211"/>
    </row>
    <row r="1696" spans="8:8" x14ac:dyDescent="0.25">
      <c r="H1696" s="211"/>
    </row>
    <row r="1697" spans="8:8" x14ac:dyDescent="0.25">
      <c r="H1697" s="211"/>
    </row>
    <row r="1698" spans="8:8" x14ac:dyDescent="0.25">
      <c r="H1698" s="211"/>
    </row>
    <row r="1699" spans="8:8" x14ac:dyDescent="0.25">
      <c r="H1699" s="211"/>
    </row>
    <row r="1700" spans="8:8" x14ac:dyDescent="0.25">
      <c r="H1700" s="211"/>
    </row>
    <row r="1701" spans="8:8" x14ac:dyDescent="0.25">
      <c r="H1701" s="211"/>
    </row>
    <row r="1702" spans="8:8" x14ac:dyDescent="0.25">
      <c r="H1702" s="211"/>
    </row>
    <row r="1703" spans="8:8" x14ac:dyDescent="0.25">
      <c r="H1703" s="211"/>
    </row>
    <row r="1704" spans="8:8" x14ac:dyDescent="0.25">
      <c r="H1704" s="211"/>
    </row>
    <row r="1705" spans="8:8" x14ac:dyDescent="0.25">
      <c r="H1705" s="211"/>
    </row>
    <row r="1706" spans="8:8" x14ac:dyDescent="0.25">
      <c r="H1706" s="211"/>
    </row>
    <row r="1707" spans="8:8" x14ac:dyDescent="0.25">
      <c r="H1707" s="211"/>
    </row>
    <row r="1708" spans="8:8" x14ac:dyDescent="0.25">
      <c r="H1708" s="211"/>
    </row>
    <row r="1709" spans="8:8" x14ac:dyDescent="0.25">
      <c r="H1709" s="211"/>
    </row>
    <row r="1710" spans="8:8" x14ac:dyDescent="0.25">
      <c r="H1710" s="211"/>
    </row>
    <row r="1711" spans="8:8" x14ac:dyDescent="0.25">
      <c r="H1711" s="211"/>
    </row>
    <row r="1712" spans="8:8" x14ac:dyDescent="0.25">
      <c r="H1712" s="211"/>
    </row>
    <row r="1713" spans="8:8" x14ac:dyDescent="0.25">
      <c r="H1713" s="211"/>
    </row>
    <row r="1714" spans="8:8" x14ac:dyDescent="0.25">
      <c r="H1714" s="211"/>
    </row>
    <row r="1715" spans="8:8" x14ac:dyDescent="0.25">
      <c r="H1715" s="211"/>
    </row>
    <row r="1716" spans="8:8" x14ac:dyDescent="0.25">
      <c r="H1716" s="211"/>
    </row>
    <row r="1717" spans="8:8" x14ac:dyDescent="0.25">
      <c r="H1717" s="211"/>
    </row>
    <row r="1718" spans="8:8" x14ac:dyDescent="0.25">
      <c r="H1718" s="211"/>
    </row>
    <row r="1719" spans="8:8" x14ac:dyDescent="0.25">
      <c r="H1719" s="211"/>
    </row>
    <row r="1720" spans="8:8" x14ac:dyDescent="0.25">
      <c r="H1720" s="211"/>
    </row>
    <row r="1721" spans="8:8" x14ac:dyDescent="0.25">
      <c r="H1721" s="211"/>
    </row>
    <row r="1722" spans="8:8" x14ac:dyDescent="0.25">
      <c r="H1722" s="211"/>
    </row>
    <row r="1723" spans="8:8" x14ac:dyDescent="0.25">
      <c r="H1723" s="211"/>
    </row>
    <row r="1724" spans="8:8" x14ac:dyDescent="0.25">
      <c r="H1724" s="211"/>
    </row>
    <row r="1725" spans="8:8" x14ac:dyDescent="0.25">
      <c r="H1725" s="211"/>
    </row>
    <row r="1726" spans="8:8" x14ac:dyDescent="0.25">
      <c r="H1726" s="211"/>
    </row>
    <row r="1727" spans="8:8" x14ac:dyDescent="0.25">
      <c r="H1727" s="211"/>
    </row>
    <row r="1728" spans="8:8" x14ac:dyDescent="0.25">
      <c r="H1728" s="211"/>
    </row>
    <row r="1729" spans="8:8" x14ac:dyDescent="0.25">
      <c r="H1729" s="211"/>
    </row>
    <row r="1730" spans="8:8" x14ac:dyDescent="0.25">
      <c r="H1730" s="211"/>
    </row>
    <row r="1731" spans="8:8" x14ac:dyDescent="0.25">
      <c r="H1731" s="211"/>
    </row>
    <row r="1732" spans="8:8" x14ac:dyDescent="0.25">
      <c r="H1732" s="211"/>
    </row>
    <row r="1733" spans="8:8" x14ac:dyDescent="0.25">
      <c r="H1733" s="211"/>
    </row>
    <row r="1734" spans="8:8" x14ac:dyDescent="0.25">
      <c r="H1734" s="211"/>
    </row>
    <row r="1735" spans="8:8" x14ac:dyDescent="0.25">
      <c r="H1735" s="211"/>
    </row>
    <row r="1736" spans="8:8" x14ac:dyDescent="0.25">
      <c r="H1736" s="211"/>
    </row>
    <row r="1737" spans="8:8" x14ac:dyDescent="0.25">
      <c r="H1737" s="211"/>
    </row>
    <row r="1738" spans="8:8" x14ac:dyDescent="0.25">
      <c r="H1738" s="211"/>
    </row>
    <row r="1739" spans="8:8" x14ac:dyDescent="0.25">
      <c r="H1739" s="211"/>
    </row>
    <row r="1740" spans="8:8" x14ac:dyDescent="0.25">
      <c r="H1740" s="211"/>
    </row>
    <row r="1741" spans="8:8" x14ac:dyDescent="0.25">
      <c r="H1741" s="211"/>
    </row>
    <row r="1742" spans="8:8" x14ac:dyDescent="0.25">
      <c r="H1742" s="211"/>
    </row>
    <row r="1743" spans="8:8" x14ac:dyDescent="0.25">
      <c r="H1743" s="211"/>
    </row>
    <row r="1744" spans="8:8" x14ac:dyDescent="0.25">
      <c r="H1744" s="211"/>
    </row>
    <row r="1745" spans="8:8" x14ac:dyDescent="0.25">
      <c r="H1745" s="211"/>
    </row>
    <row r="1746" spans="8:8" x14ac:dyDescent="0.25">
      <c r="H1746" s="211"/>
    </row>
    <row r="1747" spans="8:8" x14ac:dyDescent="0.25">
      <c r="H1747" s="211"/>
    </row>
    <row r="1748" spans="8:8" x14ac:dyDescent="0.25">
      <c r="H1748" s="211"/>
    </row>
    <row r="1749" spans="8:8" x14ac:dyDescent="0.25">
      <c r="H1749" s="211"/>
    </row>
    <row r="1750" spans="8:8" x14ac:dyDescent="0.25">
      <c r="H1750" s="211"/>
    </row>
    <row r="1751" spans="8:8" x14ac:dyDescent="0.25">
      <c r="H1751" s="211"/>
    </row>
    <row r="1752" spans="8:8" x14ac:dyDescent="0.25">
      <c r="H1752" s="211"/>
    </row>
    <row r="1753" spans="8:8" x14ac:dyDescent="0.25">
      <c r="H1753" s="211"/>
    </row>
    <row r="1754" spans="8:8" x14ac:dyDescent="0.25">
      <c r="H1754" s="211"/>
    </row>
    <row r="1755" spans="8:8" x14ac:dyDescent="0.25">
      <c r="H1755" s="211"/>
    </row>
    <row r="1756" spans="8:8" x14ac:dyDescent="0.25">
      <c r="H1756" s="211"/>
    </row>
    <row r="1757" spans="8:8" x14ac:dyDescent="0.25">
      <c r="H1757" s="211"/>
    </row>
    <row r="1758" spans="8:8" x14ac:dyDescent="0.25">
      <c r="H1758" s="211"/>
    </row>
    <row r="1759" spans="8:8" x14ac:dyDescent="0.25">
      <c r="H1759" s="211"/>
    </row>
    <row r="1760" spans="8:8" x14ac:dyDescent="0.25">
      <c r="H1760" s="211"/>
    </row>
    <row r="1761" spans="8:8" x14ac:dyDescent="0.25">
      <c r="H1761" s="211"/>
    </row>
    <row r="1762" spans="8:8" x14ac:dyDescent="0.25">
      <c r="H1762" s="211"/>
    </row>
    <row r="1763" spans="8:8" x14ac:dyDescent="0.25">
      <c r="H1763" s="211"/>
    </row>
    <row r="1764" spans="8:8" x14ac:dyDescent="0.25">
      <c r="H1764" s="211"/>
    </row>
    <row r="1765" spans="8:8" x14ac:dyDescent="0.25">
      <c r="H1765" s="211"/>
    </row>
    <row r="1766" spans="8:8" x14ac:dyDescent="0.25">
      <c r="H1766" s="211"/>
    </row>
    <row r="1767" spans="8:8" x14ac:dyDescent="0.25">
      <c r="H1767" s="211"/>
    </row>
    <row r="1768" spans="8:8" x14ac:dyDescent="0.25">
      <c r="H1768" s="211"/>
    </row>
    <row r="1769" spans="8:8" x14ac:dyDescent="0.25">
      <c r="H1769" s="211"/>
    </row>
    <row r="1770" spans="8:8" x14ac:dyDescent="0.25">
      <c r="H1770" s="211"/>
    </row>
    <row r="1771" spans="8:8" x14ac:dyDescent="0.25">
      <c r="H1771" s="211"/>
    </row>
    <row r="1772" spans="8:8" x14ac:dyDescent="0.25">
      <c r="H1772" s="211"/>
    </row>
    <row r="1773" spans="8:8" x14ac:dyDescent="0.25">
      <c r="H1773" s="211"/>
    </row>
    <row r="1774" spans="8:8" x14ac:dyDescent="0.25">
      <c r="H1774" s="211"/>
    </row>
    <row r="1775" spans="8:8" x14ac:dyDescent="0.25">
      <c r="H1775" s="211"/>
    </row>
    <row r="1776" spans="8:8" x14ac:dyDescent="0.25">
      <c r="H1776" s="211"/>
    </row>
    <row r="1777" spans="8:8" x14ac:dyDescent="0.25">
      <c r="H1777" s="211"/>
    </row>
    <row r="1778" spans="8:8" x14ac:dyDescent="0.25">
      <c r="H1778" s="211"/>
    </row>
    <row r="1779" spans="8:8" x14ac:dyDescent="0.25">
      <c r="H1779" s="211"/>
    </row>
    <row r="1780" spans="8:8" x14ac:dyDescent="0.25">
      <c r="H1780" s="211"/>
    </row>
    <row r="1781" spans="8:8" x14ac:dyDescent="0.25">
      <c r="H1781" s="211"/>
    </row>
    <row r="1782" spans="8:8" x14ac:dyDescent="0.25">
      <c r="H1782" s="211"/>
    </row>
    <row r="1783" spans="8:8" x14ac:dyDescent="0.25">
      <c r="H1783" s="211"/>
    </row>
    <row r="1784" spans="8:8" x14ac:dyDescent="0.25">
      <c r="H1784" s="211"/>
    </row>
    <row r="1785" spans="8:8" x14ac:dyDescent="0.25">
      <c r="H1785" s="211"/>
    </row>
    <row r="1786" spans="8:8" x14ac:dyDescent="0.25">
      <c r="H1786" s="211"/>
    </row>
    <row r="1787" spans="8:8" x14ac:dyDescent="0.25">
      <c r="H1787" s="211"/>
    </row>
    <row r="1788" spans="8:8" x14ac:dyDescent="0.25">
      <c r="H1788" s="211"/>
    </row>
    <row r="1789" spans="8:8" x14ac:dyDescent="0.25">
      <c r="H1789" s="211"/>
    </row>
    <row r="1790" spans="8:8" x14ac:dyDescent="0.25">
      <c r="H1790" s="211"/>
    </row>
    <row r="1791" spans="8:8" x14ac:dyDescent="0.25">
      <c r="H1791" s="211"/>
    </row>
    <row r="1792" spans="8:8" x14ac:dyDescent="0.25">
      <c r="H1792" s="211"/>
    </row>
    <row r="1793" spans="8:8" x14ac:dyDescent="0.25">
      <c r="H1793" s="211"/>
    </row>
    <row r="1794" spans="8:8" x14ac:dyDescent="0.25">
      <c r="H1794" s="211"/>
    </row>
    <row r="1795" spans="8:8" x14ac:dyDescent="0.25">
      <c r="H1795" s="211"/>
    </row>
    <row r="1796" spans="8:8" x14ac:dyDescent="0.25">
      <c r="H1796" s="211"/>
    </row>
    <row r="1797" spans="8:8" x14ac:dyDescent="0.25">
      <c r="H1797" s="211"/>
    </row>
    <row r="1798" spans="8:8" x14ac:dyDescent="0.25">
      <c r="H1798" s="211"/>
    </row>
    <row r="1799" spans="8:8" x14ac:dyDescent="0.25">
      <c r="H1799" s="211"/>
    </row>
    <row r="1800" spans="8:8" x14ac:dyDescent="0.25">
      <c r="H1800" s="211"/>
    </row>
    <row r="1801" spans="8:8" x14ac:dyDescent="0.25">
      <c r="H1801" s="211"/>
    </row>
    <row r="1802" spans="8:8" x14ac:dyDescent="0.25">
      <c r="H1802" s="211"/>
    </row>
    <row r="1803" spans="8:8" x14ac:dyDescent="0.25">
      <c r="H1803" s="211"/>
    </row>
    <row r="1804" spans="8:8" x14ac:dyDescent="0.25">
      <c r="H1804" s="211"/>
    </row>
    <row r="1805" spans="8:8" x14ac:dyDescent="0.25">
      <c r="H1805" s="211"/>
    </row>
    <row r="1806" spans="8:8" x14ac:dyDescent="0.25">
      <c r="H1806" s="211"/>
    </row>
    <row r="1807" spans="8:8" x14ac:dyDescent="0.25">
      <c r="H1807" s="211"/>
    </row>
    <row r="1808" spans="8:8" x14ac:dyDescent="0.25">
      <c r="H1808" s="211"/>
    </row>
    <row r="1809" spans="8:8" x14ac:dyDescent="0.25">
      <c r="H1809" s="211"/>
    </row>
    <row r="1810" spans="8:8" x14ac:dyDescent="0.25">
      <c r="H1810" s="211"/>
    </row>
    <row r="1811" spans="8:8" x14ac:dyDescent="0.25">
      <c r="H1811" s="211"/>
    </row>
    <row r="1812" spans="8:8" x14ac:dyDescent="0.25">
      <c r="H1812" s="211"/>
    </row>
    <row r="1813" spans="8:8" x14ac:dyDescent="0.25">
      <c r="H1813" s="211"/>
    </row>
    <row r="1814" spans="8:8" x14ac:dyDescent="0.25">
      <c r="H1814" s="211"/>
    </row>
    <row r="1815" spans="8:8" x14ac:dyDescent="0.25">
      <c r="H1815" s="211"/>
    </row>
    <row r="1816" spans="8:8" x14ac:dyDescent="0.25">
      <c r="H1816" s="211"/>
    </row>
    <row r="1817" spans="8:8" x14ac:dyDescent="0.25">
      <c r="H1817" s="211"/>
    </row>
    <row r="1818" spans="8:8" x14ac:dyDescent="0.25">
      <c r="H1818" s="211"/>
    </row>
    <row r="1819" spans="8:8" x14ac:dyDescent="0.25">
      <c r="H1819" s="211"/>
    </row>
    <row r="1820" spans="8:8" x14ac:dyDescent="0.25">
      <c r="H1820" s="211"/>
    </row>
    <row r="1821" spans="8:8" x14ac:dyDescent="0.25">
      <c r="H1821" s="211"/>
    </row>
    <row r="1822" spans="8:8" x14ac:dyDescent="0.25">
      <c r="H1822" s="211"/>
    </row>
    <row r="1823" spans="8:8" x14ac:dyDescent="0.25">
      <c r="H1823" s="211"/>
    </row>
    <row r="1824" spans="8:8" x14ac:dyDescent="0.25">
      <c r="H1824" s="211"/>
    </row>
    <row r="1825" spans="8:8" x14ac:dyDescent="0.25">
      <c r="H1825" s="211"/>
    </row>
    <row r="1826" spans="8:8" x14ac:dyDescent="0.25">
      <c r="H1826" s="211"/>
    </row>
    <row r="1827" spans="8:8" x14ac:dyDescent="0.25">
      <c r="H1827" s="211"/>
    </row>
    <row r="1828" spans="8:8" x14ac:dyDescent="0.25">
      <c r="H1828" s="211"/>
    </row>
    <row r="1829" spans="8:8" x14ac:dyDescent="0.25">
      <c r="H1829" s="211"/>
    </row>
    <row r="1830" spans="8:8" x14ac:dyDescent="0.25">
      <c r="H1830" s="211"/>
    </row>
    <row r="1831" spans="8:8" x14ac:dyDescent="0.25">
      <c r="H1831" s="211"/>
    </row>
    <row r="1832" spans="8:8" x14ac:dyDescent="0.25">
      <c r="H1832" s="211"/>
    </row>
    <row r="1833" spans="8:8" x14ac:dyDescent="0.25">
      <c r="H1833" s="211"/>
    </row>
    <row r="1834" spans="8:8" x14ac:dyDescent="0.25">
      <c r="H1834" s="211"/>
    </row>
    <row r="1835" spans="8:8" x14ac:dyDescent="0.25">
      <c r="H1835" s="211"/>
    </row>
    <row r="1836" spans="8:8" x14ac:dyDescent="0.25">
      <c r="H1836" s="211"/>
    </row>
    <row r="1837" spans="8:8" x14ac:dyDescent="0.25">
      <c r="H1837" s="211"/>
    </row>
    <row r="1838" spans="8:8" x14ac:dyDescent="0.25">
      <c r="H1838" s="211"/>
    </row>
    <row r="1839" spans="8:8" x14ac:dyDescent="0.25">
      <c r="H1839" s="211"/>
    </row>
    <row r="1840" spans="8:8" x14ac:dyDescent="0.25">
      <c r="H1840" s="211"/>
    </row>
    <row r="1841" spans="8:8" x14ac:dyDescent="0.25">
      <c r="H1841" s="211"/>
    </row>
    <row r="1842" spans="8:8" x14ac:dyDescent="0.25">
      <c r="H1842" s="211"/>
    </row>
    <row r="1843" spans="8:8" x14ac:dyDescent="0.25">
      <c r="H1843" s="211"/>
    </row>
    <row r="1844" spans="8:8" x14ac:dyDescent="0.25">
      <c r="H1844" s="211"/>
    </row>
    <row r="1845" spans="8:8" x14ac:dyDescent="0.25">
      <c r="H1845" s="211"/>
    </row>
    <row r="1846" spans="8:8" x14ac:dyDescent="0.25">
      <c r="H1846" s="211"/>
    </row>
    <row r="1847" spans="8:8" x14ac:dyDescent="0.25">
      <c r="H1847" s="211"/>
    </row>
    <row r="1848" spans="8:8" x14ac:dyDescent="0.25">
      <c r="H1848" s="211"/>
    </row>
    <row r="1849" spans="8:8" x14ac:dyDescent="0.25">
      <c r="H1849" s="211"/>
    </row>
    <row r="1850" spans="8:8" x14ac:dyDescent="0.25">
      <c r="H1850" s="211"/>
    </row>
    <row r="1851" spans="8:8" x14ac:dyDescent="0.25">
      <c r="H1851" s="211"/>
    </row>
    <row r="1852" spans="8:8" x14ac:dyDescent="0.25">
      <c r="H1852" s="211"/>
    </row>
    <row r="1853" spans="8:8" x14ac:dyDescent="0.25">
      <c r="H1853" s="211"/>
    </row>
    <row r="1854" spans="8:8" x14ac:dyDescent="0.25">
      <c r="H1854" s="211"/>
    </row>
    <row r="1855" spans="8:8" x14ac:dyDescent="0.25">
      <c r="H1855" s="211"/>
    </row>
    <row r="1856" spans="8:8" x14ac:dyDescent="0.25">
      <c r="H1856" s="211"/>
    </row>
    <row r="1857" spans="8:8" x14ac:dyDescent="0.25">
      <c r="H1857" s="211"/>
    </row>
    <row r="1858" spans="8:8" x14ac:dyDescent="0.25">
      <c r="H1858" s="211"/>
    </row>
    <row r="1859" spans="8:8" x14ac:dyDescent="0.25">
      <c r="H1859" s="211"/>
    </row>
    <row r="1860" spans="8:8" x14ac:dyDescent="0.25">
      <c r="H1860" s="211"/>
    </row>
    <row r="1861" spans="8:8" x14ac:dyDescent="0.25">
      <c r="H1861" s="211"/>
    </row>
    <row r="1862" spans="8:8" x14ac:dyDescent="0.25">
      <c r="H1862" s="211"/>
    </row>
    <row r="1863" spans="8:8" x14ac:dyDescent="0.25">
      <c r="H1863" s="211"/>
    </row>
    <row r="1864" spans="8:8" x14ac:dyDescent="0.25">
      <c r="H1864" s="211"/>
    </row>
    <row r="1865" spans="8:8" x14ac:dyDescent="0.25">
      <c r="H1865" s="211"/>
    </row>
    <row r="1866" spans="8:8" x14ac:dyDescent="0.25">
      <c r="H1866" s="211"/>
    </row>
    <row r="1867" spans="8:8" x14ac:dyDescent="0.25">
      <c r="H1867" s="211"/>
    </row>
    <row r="1868" spans="8:8" x14ac:dyDescent="0.25">
      <c r="H1868" s="211"/>
    </row>
    <row r="1869" spans="8:8" x14ac:dyDescent="0.25">
      <c r="H1869" s="211"/>
    </row>
    <row r="1870" spans="8:8" x14ac:dyDescent="0.25">
      <c r="H1870" s="211"/>
    </row>
    <row r="1871" spans="8:8" x14ac:dyDescent="0.25">
      <c r="H1871" s="211"/>
    </row>
    <row r="1872" spans="8:8" x14ac:dyDescent="0.25">
      <c r="H1872" s="211"/>
    </row>
    <row r="1873" spans="8:8" x14ac:dyDescent="0.25">
      <c r="H1873" s="211"/>
    </row>
    <row r="1874" spans="8:8" x14ac:dyDescent="0.25">
      <c r="H1874" s="211"/>
    </row>
    <row r="1875" spans="8:8" x14ac:dyDescent="0.25">
      <c r="H1875" s="211"/>
    </row>
    <row r="1876" spans="8:8" x14ac:dyDescent="0.25">
      <c r="H1876" s="211"/>
    </row>
    <row r="1877" spans="8:8" x14ac:dyDescent="0.25">
      <c r="H1877" s="211"/>
    </row>
    <row r="1878" spans="8:8" x14ac:dyDescent="0.25">
      <c r="H1878" s="211"/>
    </row>
    <row r="1879" spans="8:8" x14ac:dyDescent="0.25">
      <c r="H1879" s="211"/>
    </row>
    <row r="1880" spans="8:8" x14ac:dyDescent="0.25">
      <c r="H1880" s="211"/>
    </row>
    <row r="1881" spans="8:8" x14ac:dyDescent="0.25">
      <c r="H1881" s="211"/>
    </row>
    <row r="1882" spans="8:8" x14ac:dyDescent="0.25">
      <c r="H1882" s="211"/>
    </row>
    <row r="1883" spans="8:8" x14ac:dyDescent="0.25">
      <c r="H1883" s="211"/>
    </row>
    <row r="1884" spans="8:8" x14ac:dyDescent="0.25">
      <c r="H1884" s="211"/>
    </row>
    <row r="1885" spans="8:8" x14ac:dyDescent="0.25">
      <c r="H1885" s="211"/>
    </row>
    <row r="1886" spans="8:8" x14ac:dyDescent="0.25">
      <c r="H1886" s="211"/>
    </row>
    <row r="1887" spans="8:8" x14ac:dyDescent="0.25">
      <c r="H1887" s="211"/>
    </row>
    <row r="1888" spans="8:8" x14ac:dyDescent="0.25">
      <c r="H1888" s="211"/>
    </row>
    <row r="1889" spans="8:8" x14ac:dyDescent="0.25">
      <c r="H1889" s="211"/>
    </row>
    <row r="1890" spans="8:8" x14ac:dyDescent="0.25">
      <c r="H1890" s="211"/>
    </row>
    <row r="1891" spans="8:8" x14ac:dyDescent="0.25">
      <c r="H1891" s="211"/>
    </row>
    <row r="1892" spans="8:8" x14ac:dyDescent="0.25">
      <c r="H1892" s="211"/>
    </row>
    <row r="1893" spans="8:8" x14ac:dyDescent="0.25">
      <c r="H1893" s="211"/>
    </row>
    <row r="1894" spans="8:8" x14ac:dyDescent="0.25">
      <c r="H1894" s="211"/>
    </row>
    <row r="1895" spans="8:8" x14ac:dyDescent="0.25">
      <c r="H1895" s="211"/>
    </row>
    <row r="1896" spans="8:8" x14ac:dyDescent="0.25">
      <c r="H1896" s="211"/>
    </row>
    <row r="1897" spans="8:8" x14ac:dyDescent="0.25">
      <c r="H1897" s="211"/>
    </row>
    <row r="1898" spans="8:8" x14ac:dyDescent="0.25">
      <c r="H1898" s="211"/>
    </row>
    <row r="1899" spans="8:8" x14ac:dyDescent="0.25">
      <c r="H1899" s="211"/>
    </row>
    <row r="1900" spans="8:8" x14ac:dyDescent="0.25">
      <c r="H1900" s="211"/>
    </row>
    <row r="1901" spans="8:8" x14ac:dyDescent="0.25">
      <c r="H1901" s="211"/>
    </row>
    <row r="1902" spans="8:8" x14ac:dyDescent="0.25">
      <c r="H1902" s="211"/>
    </row>
    <row r="1903" spans="8:8" x14ac:dyDescent="0.25">
      <c r="H1903" s="211"/>
    </row>
    <row r="1904" spans="8:8" x14ac:dyDescent="0.25">
      <c r="H1904" s="211"/>
    </row>
    <row r="1905" spans="8:8" x14ac:dyDescent="0.25">
      <c r="H1905" s="211"/>
    </row>
    <row r="1906" spans="8:8" x14ac:dyDescent="0.25">
      <c r="H1906" s="211"/>
    </row>
    <row r="1907" spans="8:8" x14ac:dyDescent="0.25">
      <c r="H1907" s="211"/>
    </row>
    <row r="1908" spans="8:8" x14ac:dyDescent="0.25">
      <c r="H1908" s="211"/>
    </row>
    <row r="1909" spans="8:8" x14ac:dyDescent="0.25">
      <c r="H1909" s="211"/>
    </row>
    <row r="1910" spans="8:8" x14ac:dyDescent="0.25">
      <c r="H1910" s="211"/>
    </row>
    <row r="1911" spans="8:8" x14ac:dyDescent="0.25">
      <c r="H1911" s="211"/>
    </row>
    <row r="1912" spans="8:8" x14ac:dyDescent="0.25">
      <c r="H1912" s="211"/>
    </row>
    <row r="1913" spans="8:8" x14ac:dyDescent="0.25">
      <c r="H1913" s="211"/>
    </row>
    <row r="1914" spans="8:8" x14ac:dyDescent="0.25">
      <c r="H1914" s="211"/>
    </row>
    <row r="1915" spans="8:8" x14ac:dyDescent="0.25">
      <c r="H1915" s="211"/>
    </row>
    <row r="1916" spans="8:8" x14ac:dyDescent="0.25">
      <c r="H1916" s="211"/>
    </row>
    <row r="1917" spans="8:8" x14ac:dyDescent="0.25">
      <c r="H1917" s="211"/>
    </row>
    <row r="1918" spans="8:8" x14ac:dyDescent="0.25">
      <c r="H1918" s="211"/>
    </row>
    <row r="1919" spans="8:8" x14ac:dyDescent="0.25">
      <c r="H1919" s="211"/>
    </row>
    <row r="1920" spans="8:8" x14ac:dyDescent="0.25">
      <c r="H1920" s="211"/>
    </row>
    <row r="1921" spans="8:8" x14ac:dyDescent="0.25">
      <c r="H1921" s="211"/>
    </row>
    <row r="1922" spans="8:8" x14ac:dyDescent="0.25">
      <c r="H1922" s="211"/>
    </row>
    <row r="1923" spans="8:8" x14ac:dyDescent="0.25">
      <c r="H1923" s="211"/>
    </row>
    <row r="1924" spans="8:8" x14ac:dyDescent="0.25">
      <c r="H1924" s="211"/>
    </row>
    <row r="1925" spans="8:8" x14ac:dyDescent="0.25">
      <c r="H1925" s="211"/>
    </row>
    <row r="1926" spans="8:8" x14ac:dyDescent="0.25">
      <c r="H1926" s="211"/>
    </row>
    <row r="1927" spans="8:8" x14ac:dyDescent="0.25">
      <c r="H1927" s="211"/>
    </row>
    <row r="1928" spans="8:8" x14ac:dyDescent="0.25">
      <c r="H1928" s="211"/>
    </row>
    <row r="1929" spans="8:8" x14ac:dyDescent="0.25">
      <c r="H1929" s="211"/>
    </row>
    <row r="1930" spans="8:8" x14ac:dyDescent="0.25">
      <c r="H1930" s="211"/>
    </row>
    <row r="1931" spans="8:8" x14ac:dyDescent="0.25">
      <c r="H1931" s="211"/>
    </row>
    <row r="1932" spans="8:8" x14ac:dyDescent="0.25">
      <c r="H1932" s="211"/>
    </row>
    <row r="1933" spans="8:8" x14ac:dyDescent="0.25">
      <c r="H1933" s="211"/>
    </row>
    <row r="1934" spans="8:8" x14ac:dyDescent="0.25">
      <c r="H1934" s="211"/>
    </row>
    <row r="1935" spans="8:8" x14ac:dyDescent="0.25">
      <c r="H1935" s="211"/>
    </row>
    <row r="1936" spans="8:8" x14ac:dyDescent="0.25">
      <c r="H1936" s="211"/>
    </row>
    <row r="1937" spans="8:8" x14ac:dyDescent="0.25">
      <c r="H1937" s="211"/>
    </row>
    <row r="1938" spans="8:8" x14ac:dyDescent="0.25">
      <c r="H1938" s="211"/>
    </row>
    <row r="1939" spans="8:8" x14ac:dyDescent="0.25">
      <c r="H1939" s="211"/>
    </row>
    <row r="1940" spans="8:8" x14ac:dyDescent="0.25">
      <c r="H1940" s="211"/>
    </row>
    <row r="1941" spans="8:8" x14ac:dyDescent="0.25">
      <c r="H1941" s="211"/>
    </row>
    <row r="1942" spans="8:8" x14ac:dyDescent="0.25">
      <c r="H1942" s="211"/>
    </row>
    <row r="1943" spans="8:8" x14ac:dyDescent="0.25">
      <c r="H1943" s="211"/>
    </row>
    <row r="1944" spans="8:8" x14ac:dyDescent="0.25">
      <c r="H1944" s="211"/>
    </row>
    <row r="1945" spans="8:8" x14ac:dyDescent="0.25">
      <c r="H1945" s="211"/>
    </row>
    <row r="1946" spans="8:8" x14ac:dyDescent="0.25">
      <c r="H1946" s="211"/>
    </row>
    <row r="1947" spans="8:8" x14ac:dyDescent="0.25">
      <c r="H1947" s="211"/>
    </row>
    <row r="1948" spans="8:8" x14ac:dyDescent="0.25">
      <c r="H1948" s="211"/>
    </row>
    <row r="1949" spans="8:8" x14ac:dyDescent="0.25">
      <c r="H1949" s="211"/>
    </row>
    <row r="1950" spans="8:8" x14ac:dyDescent="0.25">
      <c r="H1950" s="211"/>
    </row>
    <row r="1951" spans="8:8" x14ac:dyDescent="0.25">
      <c r="H1951" s="211"/>
    </row>
    <row r="1952" spans="8:8" x14ac:dyDescent="0.25">
      <c r="H1952" s="211"/>
    </row>
    <row r="1953" spans="8:8" x14ac:dyDescent="0.25">
      <c r="H1953" s="211"/>
    </row>
    <row r="1954" spans="8:8" x14ac:dyDescent="0.25">
      <c r="H1954" s="211"/>
    </row>
    <row r="1955" spans="8:8" x14ac:dyDescent="0.25">
      <c r="H1955" s="211"/>
    </row>
    <row r="1956" spans="8:8" x14ac:dyDescent="0.25">
      <c r="H1956" s="211"/>
    </row>
    <row r="1957" spans="8:8" x14ac:dyDescent="0.25">
      <c r="H1957" s="211"/>
    </row>
    <row r="1958" spans="8:8" x14ac:dyDescent="0.25">
      <c r="H1958" s="211"/>
    </row>
    <row r="1959" spans="8:8" x14ac:dyDescent="0.25">
      <c r="H1959" s="211"/>
    </row>
    <row r="1960" spans="8:8" x14ac:dyDescent="0.25">
      <c r="H1960" s="211"/>
    </row>
    <row r="1961" spans="8:8" x14ac:dyDescent="0.25">
      <c r="H1961" s="211"/>
    </row>
    <row r="1962" spans="8:8" x14ac:dyDescent="0.25">
      <c r="H1962" s="211"/>
    </row>
    <row r="1963" spans="8:8" x14ac:dyDescent="0.25">
      <c r="H1963" s="211"/>
    </row>
    <row r="1964" spans="8:8" x14ac:dyDescent="0.25">
      <c r="H1964" s="211"/>
    </row>
    <row r="1965" spans="8:8" x14ac:dyDescent="0.25">
      <c r="H1965" s="211"/>
    </row>
    <row r="1966" spans="8:8" x14ac:dyDescent="0.25">
      <c r="H1966" s="211"/>
    </row>
    <row r="1967" spans="8:8" x14ac:dyDescent="0.25">
      <c r="H1967" s="211"/>
    </row>
    <row r="1968" spans="8:8" x14ac:dyDescent="0.25">
      <c r="H1968" s="211"/>
    </row>
    <row r="1969" spans="8:8" x14ac:dyDescent="0.25">
      <c r="H1969" s="211"/>
    </row>
    <row r="1970" spans="8:8" x14ac:dyDescent="0.25">
      <c r="H1970" s="211"/>
    </row>
    <row r="1971" spans="8:8" x14ac:dyDescent="0.25">
      <c r="H1971" s="211"/>
    </row>
    <row r="1972" spans="8:8" x14ac:dyDescent="0.25">
      <c r="H1972" s="211"/>
    </row>
    <row r="1973" spans="8:8" x14ac:dyDescent="0.25">
      <c r="H1973" s="211"/>
    </row>
    <row r="1974" spans="8:8" x14ac:dyDescent="0.25">
      <c r="H1974" s="211"/>
    </row>
    <row r="1975" spans="8:8" x14ac:dyDescent="0.25">
      <c r="H1975" s="211"/>
    </row>
    <row r="1976" spans="8:8" x14ac:dyDescent="0.25">
      <c r="H1976" s="211"/>
    </row>
    <row r="1977" spans="8:8" x14ac:dyDescent="0.25">
      <c r="H1977" s="211"/>
    </row>
    <row r="1978" spans="8:8" x14ac:dyDescent="0.25">
      <c r="H1978" s="211"/>
    </row>
    <row r="1979" spans="8:8" x14ac:dyDescent="0.25">
      <c r="H1979" s="211"/>
    </row>
    <row r="1980" spans="8:8" x14ac:dyDescent="0.25">
      <c r="H1980" s="211"/>
    </row>
    <row r="1981" spans="8:8" x14ac:dyDescent="0.25">
      <c r="H1981" s="211"/>
    </row>
    <row r="1982" spans="8:8" x14ac:dyDescent="0.25">
      <c r="H1982" s="211"/>
    </row>
    <row r="1983" spans="8:8" x14ac:dyDescent="0.25">
      <c r="H1983" s="211"/>
    </row>
    <row r="1984" spans="8:8" x14ac:dyDescent="0.25">
      <c r="H1984" s="211"/>
    </row>
    <row r="1985" spans="8:8" x14ac:dyDescent="0.25">
      <c r="H1985" s="211"/>
    </row>
    <row r="1986" spans="8:8" x14ac:dyDescent="0.25">
      <c r="H1986" s="211"/>
    </row>
    <row r="1987" spans="8:8" x14ac:dyDescent="0.25">
      <c r="H1987" s="211"/>
    </row>
    <row r="1988" spans="8:8" x14ac:dyDescent="0.25">
      <c r="H1988" s="211"/>
    </row>
    <row r="1989" spans="8:8" x14ac:dyDescent="0.25">
      <c r="H1989" s="211"/>
    </row>
    <row r="1990" spans="8:8" x14ac:dyDescent="0.25">
      <c r="H1990" s="211"/>
    </row>
    <row r="1991" spans="8:8" x14ac:dyDescent="0.25">
      <c r="H1991" s="211"/>
    </row>
    <row r="1992" spans="8:8" x14ac:dyDescent="0.25">
      <c r="H1992" s="211"/>
    </row>
    <row r="1993" spans="8:8" x14ac:dyDescent="0.25">
      <c r="H1993" s="211"/>
    </row>
    <row r="1994" spans="8:8" x14ac:dyDescent="0.25">
      <c r="H1994" s="211"/>
    </row>
    <row r="1995" spans="8:8" x14ac:dyDescent="0.25">
      <c r="H1995" s="211"/>
    </row>
    <row r="1996" spans="8:8" x14ac:dyDescent="0.25">
      <c r="H1996" s="211"/>
    </row>
    <row r="1997" spans="8:8" x14ac:dyDescent="0.25">
      <c r="H1997" s="211"/>
    </row>
    <row r="1998" spans="8:8" x14ac:dyDescent="0.25">
      <c r="H1998" s="211"/>
    </row>
    <row r="1999" spans="8:8" x14ac:dyDescent="0.25">
      <c r="H1999" s="211"/>
    </row>
    <row r="2000" spans="8:8" x14ac:dyDescent="0.25">
      <c r="H2000" s="211"/>
    </row>
    <row r="2001" spans="8:8" x14ac:dyDescent="0.25">
      <c r="H2001" s="211"/>
    </row>
    <row r="2002" spans="8:8" x14ac:dyDescent="0.25">
      <c r="H2002" s="211"/>
    </row>
    <row r="2003" spans="8:8" x14ac:dyDescent="0.25">
      <c r="H2003" s="211"/>
    </row>
    <row r="2004" spans="8:8" x14ac:dyDescent="0.25">
      <c r="H2004" s="211"/>
    </row>
    <row r="2005" spans="8:8" x14ac:dyDescent="0.25">
      <c r="H2005" s="211"/>
    </row>
    <row r="2006" spans="8:8" x14ac:dyDescent="0.25">
      <c r="H2006" s="211"/>
    </row>
    <row r="2007" spans="8:8" x14ac:dyDescent="0.25">
      <c r="H2007" s="211"/>
    </row>
    <row r="2008" spans="8:8" x14ac:dyDescent="0.25">
      <c r="H2008" s="211"/>
    </row>
    <row r="2009" spans="8:8" x14ac:dyDescent="0.25">
      <c r="H2009" s="211"/>
    </row>
    <row r="2010" spans="8:8" x14ac:dyDescent="0.25">
      <c r="H2010" s="211"/>
    </row>
    <row r="2011" spans="8:8" x14ac:dyDescent="0.25">
      <c r="H2011" s="211"/>
    </row>
    <row r="2012" spans="8:8" x14ac:dyDescent="0.25">
      <c r="H2012" s="211"/>
    </row>
    <row r="2013" spans="8:8" x14ac:dyDescent="0.25">
      <c r="H2013" s="211"/>
    </row>
    <row r="2014" spans="8:8" x14ac:dyDescent="0.25">
      <c r="H2014" s="211"/>
    </row>
    <row r="2015" spans="8:8" x14ac:dyDescent="0.25">
      <c r="H2015" s="211"/>
    </row>
    <row r="2016" spans="8:8" x14ac:dyDescent="0.25">
      <c r="H2016" s="211"/>
    </row>
    <row r="2017" spans="8:8" x14ac:dyDescent="0.25">
      <c r="H2017" s="211"/>
    </row>
    <row r="2018" spans="8:8" x14ac:dyDescent="0.25">
      <c r="H2018" s="211"/>
    </row>
    <row r="2019" spans="8:8" x14ac:dyDescent="0.25">
      <c r="H2019" s="211"/>
    </row>
    <row r="2020" spans="8:8" x14ac:dyDescent="0.25">
      <c r="H2020" s="211"/>
    </row>
    <row r="2021" spans="8:8" x14ac:dyDescent="0.25">
      <c r="H2021" s="211"/>
    </row>
    <row r="2022" spans="8:8" x14ac:dyDescent="0.25">
      <c r="H2022" s="211"/>
    </row>
    <row r="2023" spans="8:8" x14ac:dyDescent="0.25">
      <c r="H2023" s="211"/>
    </row>
    <row r="2024" spans="8:8" x14ac:dyDescent="0.25">
      <c r="H2024" s="211"/>
    </row>
    <row r="2025" spans="8:8" x14ac:dyDescent="0.25">
      <c r="H2025" s="211"/>
    </row>
    <row r="2026" spans="8:8" x14ac:dyDescent="0.25">
      <c r="H2026" s="211"/>
    </row>
    <row r="2027" spans="8:8" x14ac:dyDescent="0.25">
      <c r="H2027" s="211"/>
    </row>
    <row r="2028" spans="8:8" x14ac:dyDescent="0.25">
      <c r="H2028" s="211"/>
    </row>
    <row r="2029" spans="8:8" x14ac:dyDescent="0.25">
      <c r="H2029" s="211"/>
    </row>
    <row r="2030" spans="8:8" x14ac:dyDescent="0.25">
      <c r="H2030" s="211"/>
    </row>
    <row r="2031" spans="8:8" x14ac:dyDescent="0.25">
      <c r="H2031" s="211"/>
    </row>
    <row r="2032" spans="8:8" x14ac:dyDescent="0.25">
      <c r="H2032" s="211"/>
    </row>
    <row r="2033" spans="8:8" x14ac:dyDescent="0.25">
      <c r="H2033" s="211"/>
    </row>
    <row r="2034" spans="8:8" x14ac:dyDescent="0.25">
      <c r="H2034" s="211"/>
    </row>
    <row r="2035" spans="8:8" x14ac:dyDescent="0.25">
      <c r="H2035" s="211"/>
    </row>
    <row r="2036" spans="8:8" x14ac:dyDescent="0.25">
      <c r="H2036" s="211"/>
    </row>
    <row r="2037" spans="8:8" x14ac:dyDescent="0.25">
      <c r="H2037" s="211"/>
    </row>
    <row r="2038" spans="8:8" x14ac:dyDescent="0.25">
      <c r="H2038" s="211"/>
    </row>
    <row r="2039" spans="8:8" x14ac:dyDescent="0.25">
      <c r="H2039" s="211"/>
    </row>
    <row r="2040" spans="8:8" x14ac:dyDescent="0.25">
      <c r="H2040" s="211"/>
    </row>
    <row r="2041" spans="8:8" x14ac:dyDescent="0.25">
      <c r="H2041" s="211"/>
    </row>
    <row r="2042" spans="8:8" x14ac:dyDescent="0.25">
      <c r="H2042" s="211"/>
    </row>
    <row r="2043" spans="8:8" x14ac:dyDescent="0.25">
      <c r="H2043" s="211"/>
    </row>
    <row r="2044" spans="8:8" x14ac:dyDescent="0.25">
      <c r="H2044" s="211"/>
    </row>
    <row r="2045" spans="8:8" x14ac:dyDescent="0.25">
      <c r="H2045" s="211"/>
    </row>
    <row r="2046" spans="8:8" x14ac:dyDescent="0.25">
      <c r="H2046" s="211"/>
    </row>
    <row r="2047" spans="8:8" x14ac:dyDescent="0.25">
      <c r="H2047" s="211"/>
    </row>
    <row r="2048" spans="8:8" x14ac:dyDescent="0.25">
      <c r="H2048" s="211"/>
    </row>
    <row r="2049" spans="8:8" x14ac:dyDescent="0.25">
      <c r="H2049" s="211"/>
    </row>
    <row r="2050" spans="8:8" x14ac:dyDescent="0.25">
      <c r="H2050" s="211"/>
    </row>
    <row r="2051" spans="8:8" x14ac:dyDescent="0.25">
      <c r="H2051" s="211"/>
    </row>
    <row r="2052" spans="8:8" x14ac:dyDescent="0.25">
      <c r="H2052" s="211"/>
    </row>
    <row r="2053" spans="8:8" x14ac:dyDescent="0.25">
      <c r="H2053" s="211"/>
    </row>
    <row r="2054" spans="8:8" x14ac:dyDescent="0.25">
      <c r="H2054" s="211"/>
    </row>
    <row r="2055" spans="8:8" x14ac:dyDescent="0.25">
      <c r="H2055" s="211"/>
    </row>
    <row r="2056" spans="8:8" x14ac:dyDescent="0.25">
      <c r="H2056" s="211"/>
    </row>
    <row r="2057" spans="8:8" x14ac:dyDescent="0.25">
      <c r="H2057" s="211"/>
    </row>
    <row r="2058" spans="8:8" x14ac:dyDescent="0.25">
      <c r="H2058" s="211"/>
    </row>
    <row r="2059" spans="8:8" x14ac:dyDescent="0.25">
      <c r="H2059" s="211"/>
    </row>
    <row r="2060" spans="8:8" x14ac:dyDescent="0.25">
      <c r="H2060" s="211"/>
    </row>
    <row r="2061" spans="8:8" x14ac:dyDescent="0.25">
      <c r="H2061" s="211"/>
    </row>
    <row r="2062" spans="8:8" x14ac:dyDescent="0.25">
      <c r="H2062" s="211"/>
    </row>
    <row r="2063" spans="8:8" x14ac:dyDescent="0.25">
      <c r="H2063" s="211"/>
    </row>
    <row r="2064" spans="8:8" x14ac:dyDescent="0.25">
      <c r="H2064" s="211"/>
    </row>
    <row r="2065" spans="8:8" x14ac:dyDescent="0.25">
      <c r="H2065" s="211"/>
    </row>
    <row r="2066" spans="8:8" x14ac:dyDescent="0.25">
      <c r="H2066" s="211"/>
    </row>
    <row r="2067" spans="8:8" x14ac:dyDescent="0.25">
      <c r="H2067" s="211"/>
    </row>
    <row r="2068" spans="8:8" x14ac:dyDescent="0.25">
      <c r="H2068" s="211"/>
    </row>
    <row r="2069" spans="8:8" x14ac:dyDescent="0.25">
      <c r="H2069" s="211"/>
    </row>
    <row r="2070" spans="8:8" x14ac:dyDescent="0.25">
      <c r="H2070" s="211"/>
    </row>
    <row r="2071" spans="8:8" x14ac:dyDescent="0.25">
      <c r="H2071" s="211"/>
    </row>
    <row r="2072" spans="8:8" x14ac:dyDescent="0.25">
      <c r="H2072" s="211"/>
    </row>
    <row r="2073" spans="8:8" x14ac:dyDescent="0.25">
      <c r="H2073" s="211"/>
    </row>
    <row r="2074" spans="8:8" x14ac:dyDescent="0.25">
      <c r="H2074" s="211"/>
    </row>
    <row r="2075" spans="8:8" x14ac:dyDescent="0.25">
      <c r="H2075" s="211"/>
    </row>
    <row r="2076" spans="8:8" x14ac:dyDescent="0.25">
      <c r="H2076" s="211"/>
    </row>
    <row r="2077" spans="8:8" x14ac:dyDescent="0.25">
      <c r="H2077" s="211"/>
    </row>
    <row r="2078" spans="8:8" x14ac:dyDescent="0.25">
      <c r="H2078" s="211"/>
    </row>
    <row r="2079" spans="8:8" x14ac:dyDescent="0.25">
      <c r="H2079" s="211"/>
    </row>
    <row r="2080" spans="8:8" x14ac:dyDescent="0.25">
      <c r="H2080" s="211"/>
    </row>
    <row r="2081" spans="8:8" x14ac:dyDescent="0.25">
      <c r="H2081" s="211"/>
    </row>
    <row r="2082" spans="8:8" x14ac:dyDescent="0.25">
      <c r="H2082" s="211"/>
    </row>
    <row r="2083" spans="8:8" x14ac:dyDescent="0.25">
      <c r="H2083" s="211"/>
    </row>
    <row r="2084" spans="8:8" x14ac:dyDescent="0.25">
      <c r="H2084" s="211"/>
    </row>
    <row r="2085" spans="8:8" x14ac:dyDescent="0.25">
      <c r="H2085" s="211"/>
    </row>
    <row r="2086" spans="8:8" x14ac:dyDescent="0.25">
      <c r="H2086" s="211"/>
    </row>
    <row r="2087" spans="8:8" x14ac:dyDescent="0.25">
      <c r="H2087" s="211"/>
    </row>
    <row r="2088" spans="8:8" x14ac:dyDescent="0.25">
      <c r="H2088" s="211"/>
    </row>
    <row r="2089" spans="8:8" x14ac:dyDescent="0.25">
      <c r="H2089" s="211"/>
    </row>
    <row r="2090" spans="8:8" x14ac:dyDescent="0.25">
      <c r="H2090" s="211"/>
    </row>
    <row r="2091" spans="8:8" x14ac:dyDescent="0.25">
      <c r="H2091" s="211"/>
    </row>
    <row r="2092" spans="8:8" x14ac:dyDescent="0.25">
      <c r="H2092" s="211"/>
    </row>
    <row r="2093" spans="8:8" x14ac:dyDescent="0.25">
      <c r="H2093" s="211"/>
    </row>
    <row r="2094" spans="8:8" x14ac:dyDescent="0.25">
      <c r="H2094" s="211"/>
    </row>
    <row r="2095" spans="8:8" x14ac:dyDescent="0.25">
      <c r="H2095" s="211"/>
    </row>
    <row r="2096" spans="8:8" x14ac:dyDescent="0.25">
      <c r="H2096" s="211"/>
    </row>
    <row r="2097" spans="8:8" x14ac:dyDescent="0.25">
      <c r="H2097" s="211"/>
    </row>
    <row r="2098" spans="8:8" x14ac:dyDescent="0.25">
      <c r="H2098" s="211"/>
    </row>
    <row r="2099" spans="8:8" x14ac:dyDescent="0.25">
      <c r="H2099" s="211"/>
    </row>
    <row r="2100" spans="8:8" x14ac:dyDescent="0.25">
      <c r="H2100" s="211"/>
    </row>
    <row r="2101" spans="8:8" x14ac:dyDescent="0.25">
      <c r="H2101" s="211"/>
    </row>
    <row r="2102" spans="8:8" x14ac:dyDescent="0.25">
      <c r="H2102" s="211"/>
    </row>
    <row r="2103" spans="8:8" x14ac:dyDescent="0.25">
      <c r="H2103" s="211"/>
    </row>
    <row r="2104" spans="8:8" x14ac:dyDescent="0.25">
      <c r="H2104" s="211"/>
    </row>
    <row r="2105" spans="8:8" x14ac:dyDescent="0.25">
      <c r="H2105" s="211"/>
    </row>
    <row r="2106" spans="8:8" x14ac:dyDescent="0.25">
      <c r="H2106" s="211"/>
    </row>
    <row r="2107" spans="8:8" x14ac:dyDescent="0.25">
      <c r="H2107" s="211"/>
    </row>
    <row r="2108" spans="8:8" x14ac:dyDescent="0.25">
      <c r="H2108" s="211"/>
    </row>
    <row r="2109" spans="8:8" x14ac:dyDescent="0.25">
      <c r="H2109" s="211"/>
    </row>
    <row r="2110" spans="8:8" x14ac:dyDescent="0.25">
      <c r="H2110" s="211"/>
    </row>
    <row r="2111" spans="8:8" x14ac:dyDescent="0.25">
      <c r="H2111" s="211"/>
    </row>
    <row r="2112" spans="8:8" x14ac:dyDescent="0.25">
      <c r="H2112" s="211"/>
    </row>
    <row r="2113" spans="8:8" x14ac:dyDescent="0.25">
      <c r="H2113" s="211"/>
    </row>
    <row r="2114" spans="8:8" x14ac:dyDescent="0.25">
      <c r="H2114" s="211"/>
    </row>
    <row r="2115" spans="8:8" x14ac:dyDescent="0.25">
      <c r="H2115" s="211"/>
    </row>
    <row r="2116" spans="8:8" x14ac:dyDescent="0.25">
      <c r="H2116" s="211"/>
    </row>
    <row r="2117" spans="8:8" x14ac:dyDescent="0.25">
      <c r="H2117" s="211"/>
    </row>
    <row r="2118" spans="8:8" x14ac:dyDescent="0.25">
      <c r="H2118" s="211"/>
    </row>
    <row r="2119" spans="8:8" x14ac:dyDescent="0.25">
      <c r="H2119" s="211"/>
    </row>
    <row r="2120" spans="8:8" x14ac:dyDescent="0.25">
      <c r="H2120" s="211"/>
    </row>
    <row r="2121" spans="8:8" x14ac:dyDescent="0.25">
      <c r="H2121" s="211"/>
    </row>
    <row r="2122" spans="8:8" x14ac:dyDescent="0.25">
      <c r="H2122" s="211"/>
    </row>
    <row r="2123" spans="8:8" x14ac:dyDescent="0.25">
      <c r="H2123" s="211"/>
    </row>
    <row r="2124" spans="8:8" x14ac:dyDescent="0.25">
      <c r="H2124" s="211"/>
    </row>
    <row r="2125" spans="8:8" x14ac:dyDescent="0.25">
      <c r="H2125" s="211"/>
    </row>
    <row r="2126" spans="8:8" x14ac:dyDescent="0.25">
      <c r="H2126" s="211"/>
    </row>
    <row r="2127" spans="8:8" x14ac:dyDescent="0.25">
      <c r="H2127" s="211"/>
    </row>
    <row r="2128" spans="8:8" x14ac:dyDescent="0.25">
      <c r="H2128" s="211"/>
    </row>
    <row r="2129" spans="8:8" x14ac:dyDescent="0.25">
      <c r="H2129" s="211"/>
    </row>
    <row r="2130" spans="8:8" x14ac:dyDescent="0.25">
      <c r="H2130" s="211"/>
    </row>
    <row r="2131" spans="8:8" x14ac:dyDescent="0.25">
      <c r="H2131" s="211"/>
    </row>
    <row r="2132" spans="8:8" x14ac:dyDescent="0.25">
      <c r="H2132" s="211"/>
    </row>
    <row r="2133" spans="8:8" x14ac:dyDescent="0.25">
      <c r="H2133" s="211"/>
    </row>
    <row r="2134" spans="8:8" x14ac:dyDescent="0.25">
      <c r="H2134" s="211"/>
    </row>
    <row r="2135" spans="8:8" x14ac:dyDescent="0.25">
      <c r="H2135" s="211"/>
    </row>
    <row r="2136" spans="8:8" x14ac:dyDescent="0.25">
      <c r="H2136" s="211"/>
    </row>
    <row r="2137" spans="8:8" x14ac:dyDescent="0.25">
      <c r="H2137" s="211"/>
    </row>
    <row r="2138" spans="8:8" x14ac:dyDescent="0.25">
      <c r="H2138" s="211"/>
    </row>
    <row r="2139" spans="8:8" x14ac:dyDescent="0.25">
      <c r="H2139" s="211"/>
    </row>
    <row r="2140" spans="8:8" x14ac:dyDescent="0.25">
      <c r="H2140" s="211"/>
    </row>
    <row r="2141" spans="8:8" x14ac:dyDescent="0.25">
      <c r="H2141" s="211"/>
    </row>
    <row r="2142" spans="8:8" x14ac:dyDescent="0.25">
      <c r="H2142" s="211"/>
    </row>
    <row r="2143" spans="8:8" x14ac:dyDescent="0.25">
      <c r="H2143" s="211"/>
    </row>
    <row r="2144" spans="8:8" x14ac:dyDescent="0.25">
      <c r="H2144" s="211"/>
    </row>
    <row r="2145" spans="8:8" x14ac:dyDescent="0.25">
      <c r="H2145" s="211"/>
    </row>
    <row r="2146" spans="8:8" x14ac:dyDescent="0.25">
      <c r="H2146" s="211"/>
    </row>
    <row r="2147" spans="8:8" x14ac:dyDescent="0.25">
      <c r="H2147" s="211"/>
    </row>
    <row r="2148" spans="8:8" x14ac:dyDescent="0.25">
      <c r="H2148" s="211"/>
    </row>
    <row r="2149" spans="8:8" x14ac:dyDescent="0.25">
      <c r="H2149" s="211"/>
    </row>
    <row r="2150" spans="8:8" x14ac:dyDescent="0.25">
      <c r="H2150" s="211"/>
    </row>
    <row r="2151" spans="8:8" x14ac:dyDescent="0.25">
      <c r="H2151" s="211"/>
    </row>
    <row r="2152" spans="8:8" x14ac:dyDescent="0.25">
      <c r="H2152" s="211"/>
    </row>
    <row r="2153" spans="8:8" x14ac:dyDescent="0.25">
      <c r="H2153" s="211"/>
    </row>
    <row r="2154" spans="8:8" x14ac:dyDescent="0.25">
      <c r="H2154" s="211"/>
    </row>
    <row r="2155" spans="8:8" x14ac:dyDescent="0.25">
      <c r="H2155" s="211"/>
    </row>
    <row r="2156" spans="8:8" x14ac:dyDescent="0.25">
      <c r="H2156" s="211"/>
    </row>
    <row r="2157" spans="8:8" x14ac:dyDescent="0.25">
      <c r="H2157" s="211"/>
    </row>
    <row r="2158" spans="8:8" x14ac:dyDescent="0.25">
      <c r="H2158" s="211"/>
    </row>
    <row r="2159" spans="8:8" x14ac:dyDescent="0.25">
      <c r="H2159" s="211"/>
    </row>
    <row r="2160" spans="8:8" x14ac:dyDescent="0.25">
      <c r="H2160" s="211"/>
    </row>
    <row r="2161" spans="8:8" x14ac:dyDescent="0.25">
      <c r="H2161" s="211"/>
    </row>
    <row r="2162" spans="8:8" x14ac:dyDescent="0.25">
      <c r="H2162" s="211"/>
    </row>
    <row r="2163" spans="8:8" x14ac:dyDescent="0.25">
      <c r="H2163" s="211"/>
    </row>
    <row r="2164" spans="8:8" x14ac:dyDescent="0.25">
      <c r="H2164" s="211"/>
    </row>
    <row r="2165" spans="8:8" x14ac:dyDescent="0.25">
      <c r="H2165" s="211"/>
    </row>
    <row r="2166" spans="8:8" x14ac:dyDescent="0.25">
      <c r="H2166" s="211"/>
    </row>
    <row r="2167" spans="8:8" x14ac:dyDescent="0.25">
      <c r="H2167" s="211"/>
    </row>
    <row r="2168" spans="8:8" x14ac:dyDescent="0.25">
      <c r="H2168" s="211"/>
    </row>
    <row r="2169" spans="8:8" x14ac:dyDescent="0.25">
      <c r="H2169" s="211"/>
    </row>
    <row r="2170" spans="8:8" x14ac:dyDescent="0.25">
      <c r="H2170" s="211"/>
    </row>
    <row r="2171" spans="8:8" x14ac:dyDescent="0.25">
      <c r="H2171" s="211"/>
    </row>
    <row r="2172" spans="8:8" x14ac:dyDescent="0.25">
      <c r="H2172" s="211"/>
    </row>
    <row r="2173" spans="8:8" x14ac:dyDescent="0.25">
      <c r="H2173" s="211"/>
    </row>
    <row r="2174" spans="8:8" x14ac:dyDescent="0.25">
      <c r="H2174" s="211"/>
    </row>
    <row r="2175" spans="8:8" x14ac:dyDescent="0.25">
      <c r="H2175" s="211"/>
    </row>
    <row r="2176" spans="8:8" x14ac:dyDescent="0.25">
      <c r="H2176" s="211"/>
    </row>
    <row r="2177" spans="8:8" x14ac:dyDescent="0.25">
      <c r="H2177" s="211"/>
    </row>
    <row r="2178" spans="8:8" x14ac:dyDescent="0.25">
      <c r="H2178" s="211"/>
    </row>
    <row r="2179" spans="8:8" x14ac:dyDescent="0.25">
      <c r="H2179" s="211"/>
    </row>
    <row r="2180" spans="8:8" x14ac:dyDescent="0.25">
      <c r="H2180" s="211"/>
    </row>
    <row r="2181" spans="8:8" x14ac:dyDescent="0.25">
      <c r="H2181" s="211"/>
    </row>
    <row r="2182" spans="8:8" x14ac:dyDescent="0.25">
      <c r="H2182" s="211"/>
    </row>
    <row r="2183" spans="8:8" x14ac:dyDescent="0.25">
      <c r="H2183" s="211"/>
    </row>
    <row r="2184" spans="8:8" x14ac:dyDescent="0.25">
      <c r="H2184" s="211"/>
    </row>
    <row r="2185" spans="8:8" x14ac:dyDescent="0.25">
      <c r="H2185" s="211"/>
    </row>
    <row r="2186" spans="8:8" x14ac:dyDescent="0.25">
      <c r="H2186" s="211"/>
    </row>
    <row r="2187" spans="8:8" x14ac:dyDescent="0.25">
      <c r="H2187" s="211"/>
    </row>
    <row r="2188" spans="8:8" x14ac:dyDescent="0.25">
      <c r="H2188" s="211"/>
    </row>
    <row r="2189" spans="8:8" x14ac:dyDescent="0.25">
      <c r="H2189" s="211"/>
    </row>
    <row r="2190" spans="8:8" x14ac:dyDescent="0.25">
      <c r="H2190" s="211"/>
    </row>
    <row r="2191" spans="8:8" x14ac:dyDescent="0.25">
      <c r="H2191" s="211"/>
    </row>
    <row r="2192" spans="8:8" x14ac:dyDescent="0.25">
      <c r="H2192" s="211"/>
    </row>
    <row r="2193" spans="8:8" x14ac:dyDescent="0.25">
      <c r="H2193" s="211"/>
    </row>
    <row r="2194" spans="8:8" x14ac:dyDescent="0.25">
      <c r="H2194" s="211"/>
    </row>
    <row r="2195" spans="8:8" x14ac:dyDescent="0.25">
      <c r="H2195" s="211"/>
    </row>
    <row r="2196" spans="8:8" x14ac:dyDescent="0.25">
      <c r="H2196" s="211"/>
    </row>
    <row r="2197" spans="8:8" x14ac:dyDescent="0.25">
      <c r="H2197" s="211"/>
    </row>
    <row r="2198" spans="8:8" x14ac:dyDescent="0.25">
      <c r="H2198" s="211"/>
    </row>
    <row r="2199" spans="8:8" x14ac:dyDescent="0.25">
      <c r="H2199" s="211"/>
    </row>
    <row r="2200" spans="8:8" x14ac:dyDescent="0.25">
      <c r="H2200" s="211"/>
    </row>
    <row r="2201" spans="8:8" x14ac:dyDescent="0.25">
      <c r="H2201" s="211"/>
    </row>
    <row r="2202" spans="8:8" x14ac:dyDescent="0.25">
      <c r="H2202" s="211"/>
    </row>
    <row r="2203" spans="8:8" x14ac:dyDescent="0.25">
      <c r="H2203" s="211"/>
    </row>
    <row r="2204" spans="8:8" x14ac:dyDescent="0.25">
      <c r="H2204" s="211"/>
    </row>
    <row r="2205" spans="8:8" x14ac:dyDescent="0.25">
      <c r="H2205" s="211"/>
    </row>
    <row r="2206" spans="8:8" x14ac:dyDescent="0.25">
      <c r="H2206" s="211"/>
    </row>
    <row r="2207" spans="8:8" x14ac:dyDescent="0.25">
      <c r="H2207" s="211"/>
    </row>
    <row r="2208" spans="8:8" x14ac:dyDescent="0.25">
      <c r="H2208" s="211"/>
    </row>
    <row r="2209" spans="8:8" x14ac:dyDescent="0.25">
      <c r="H2209" s="211"/>
    </row>
    <row r="2210" spans="8:8" x14ac:dyDescent="0.25">
      <c r="H2210" s="211"/>
    </row>
    <row r="2211" spans="8:8" x14ac:dyDescent="0.25">
      <c r="H2211" s="211"/>
    </row>
    <row r="2212" spans="8:8" x14ac:dyDescent="0.25">
      <c r="H2212" s="211"/>
    </row>
    <row r="2213" spans="8:8" x14ac:dyDescent="0.25">
      <c r="H2213" s="211"/>
    </row>
    <row r="2214" spans="8:8" x14ac:dyDescent="0.25">
      <c r="H2214" s="211"/>
    </row>
    <row r="2215" spans="8:8" x14ac:dyDescent="0.25">
      <c r="H2215" s="211"/>
    </row>
    <row r="2216" spans="8:8" x14ac:dyDescent="0.25">
      <c r="H2216" s="211"/>
    </row>
    <row r="2217" spans="8:8" x14ac:dyDescent="0.25">
      <c r="H2217" s="211"/>
    </row>
    <row r="2218" spans="8:8" x14ac:dyDescent="0.25">
      <c r="H2218" s="211"/>
    </row>
    <row r="2219" spans="8:8" x14ac:dyDescent="0.25">
      <c r="H2219" s="211"/>
    </row>
    <row r="2220" spans="8:8" x14ac:dyDescent="0.25">
      <c r="H2220" s="211"/>
    </row>
    <row r="2221" spans="8:8" x14ac:dyDescent="0.25">
      <c r="H2221" s="211"/>
    </row>
    <row r="2222" spans="8:8" x14ac:dyDescent="0.25">
      <c r="H2222" s="211"/>
    </row>
    <row r="2223" spans="8:8" x14ac:dyDescent="0.25">
      <c r="H2223" s="211"/>
    </row>
    <row r="2224" spans="8:8" x14ac:dyDescent="0.25">
      <c r="H2224" s="211"/>
    </row>
    <row r="2225" spans="8:8" x14ac:dyDescent="0.25">
      <c r="H2225" s="211"/>
    </row>
    <row r="2226" spans="8:8" x14ac:dyDescent="0.25">
      <c r="H2226" s="211"/>
    </row>
    <row r="2227" spans="8:8" x14ac:dyDescent="0.25">
      <c r="H2227" s="211"/>
    </row>
    <row r="2228" spans="8:8" x14ac:dyDescent="0.25">
      <c r="H2228" s="211"/>
    </row>
    <row r="2229" spans="8:8" x14ac:dyDescent="0.25">
      <c r="H2229" s="211"/>
    </row>
    <row r="2230" spans="8:8" x14ac:dyDescent="0.25">
      <c r="H2230" s="211"/>
    </row>
    <row r="2231" spans="8:8" x14ac:dyDescent="0.25">
      <c r="H2231" s="211"/>
    </row>
    <row r="2232" spans="8:8" x14ac:dyDescent="0.25">
      <c r="H2232" s="211"/>
    </row>
    <row r="2233" spans="8:8" x14ac:dyDescent="0.25">
      <c r="H2233" s="211"/>
    </row>
    <row r="2234" spans="8:8" x14ac:dyDescent="0.25">
      <c r="H2234" s="211"/>
    </row>
    <row r="2235" spans="8:8" x14ac:dyDescent="0.25">
      <c r="H2235" s="211"/>
    </row>
    <row r="2236" spans="8:8" x14ac:dyDescent="0.25">
      <c r="H2236" s="211"/>
    </row>
    <row r="2237" spans="8:8" x14ac:dyDescent="0.25">
      <c r="H2237" s="211"/>
    </row>
    <row r="2238" spans="8:8" x14ac:dyDescent="0.25">
      <c r="H2238" s="211"/>
    </row>
    <row r="2239" spans="8:8" x14ac:dyDescent="0.25">
      <c r="H2239" s="211"/>
    </row>
    <row r="2240" spans="8:8" x14ac:dyDescent="0.25">
      <c r="H2240" s="211"/>
    </row>
    <row r="2241" spans="8:8" x14ac:dyDescent="0.25">
      <c r="H2241" s="211"/>
    </row>
    <row r="2242" spans="8:8" x14ac:dyDescent="0.25">
      <c r="H2242" s="211"/>
    </row>
    <row r="2243" spans="8:8" x14ac:dyDescent="0.25">
      <c r="H2243" s="211"/>
    </row>
    <row r="2244" spans="8:8" x14ac:dyDescent="0.25">
      <c r="H2244" s="211"/>
    </row>
    <row r="2245" spans="8:8" x14ac:dyDescent="0.25">
      <c r="H2245" s="211"/>
    </row>
    <row r="2246" spans="8:8" x14ac:dyDescent="0.25">
      <c r="H2246" s="211"/>
    </row>
    <row r="2247" spans="8:8" x14ac:dyDescent="0.25">
      <c r="H2247" s="211"/>
    </row>
    <row r="2248" spans="8:8" x14ac:dyDescent="0.25">
      <c r="H2248" s="211"/>
    </row>
    <row r="2249" spans="8:8" x14ac:dyDescent="0.25">
      <c r="H2249" s="211"/>
    </row>
    <row r="2250" spans="8:8" x14ac:dyDescent="0.25">
      <c r="H2250" s="211"/>
    </row>
    <row r="2251" spans="8:8" x14ac:dyDescent="0.25">
      <c r="H2251" s="211"/>
    </row>
    <row r="2252" spans="8:8" x14ac:dyDescent="0.25">
      <c r="H2252" s="211"/>
    </row>
    <row r="2253" spans="8:8" x14ac:dyDescent="0.25">
      <c r="H2253" s="211"/>
    </row>
    <row r="2254" spans="8:8" x14ac:dyDescent="0.25">
      <c r="H2254" s="211"/>
    </row>
    <row r="2255" spans="8:8" x14ac:dyDescent="0.25">
      <c r="H2255" s="211"/>
    </row>
    <row r="2256" spans="8:8" x14ac:dyDescent="0.25">
      <c r="H2256" s="211"/>
    </row>
    <row r="2257" spans="8:8" x14ac:dyDescent="0.25">
      <c r="H2257" s="211"/>
    </row>
    <row r="2258" spans="8:8" x14ac:dyDescent="0.25">
      <c r="H2258" s="211"/>
    </row>
    <row r="2259" spans="8:8" x14ac:dyDescent="0.25">
      <c r="H2259" s="211"/>
    </row>
    <row r="2260" spans="8:8" x14ac:dyDescent="0.25">
      <c r="H2260" s="211"/>
    </row>
    <row r="2261" spans="8:8" x14ac:dyDescent="0.25">
      <c r="H2261" s="211"/>
    </row>
    <row r="2262" spans="8:8" x14ac:dyDescent="0.25">
      <c r="H2262" s="211"/>
    </row>
    <row r="2263" spans="8:8" x14ac:dyDescent="0.25">
      <c r="H2263" s="211"/>
    </row>
    <row r="2264" spans="8:8" x14ac:dyDescent="0.25">
      <c r="H2264" s="211"/>
    </row>
    <row r="2265" spans="8:8" x14ac:dyDescent="0.25">
      <c r="H2265" s="211"/>
    </row>
    <row r="2266" spans="8:8" x14ac:dyDescent="0.25">
      <c r="H2266" s="211"/>
    </row>
    <row r="2267" spans="8:8" x14ac:dyDescent="0.25">
      <c r="H2267" s="211"/>
    </row>
    <row r="2268" spans="8:8" x14ac:dyDescent="0.25">
      <c r="H2268" s="211"/>
    </row>
    <row r="2269" spans="8:8" x14ac:dyDescent="0.25">
      <c r="H2269" s="211"/>
    </row>
    <row r="2270" spans="8:8" x14ac:dyDescent="0.25">
      <c r="H2270" s="211"/>
    </row>
    <row r="2271" spans="8:8" x14ac:dyDescent="0.25">
      <c r="H2271" s="211"/>
    </row>
    <row r="2272" spans="8:8" x14ac:dyDescent="0.25">
      <c r="H2272" s="211"/>
    </row>
    <row r="2273" spans="8:8" x14ac:dyDescent="0.25">
      <c r="H2273" s="211"/>
    </row>
    <row r="2274" spans="8:8" x14ac:dyDescent="0.25">
      <c r="H2274" s="211"/>
    </row>
    <row r="2275" spans="8:8" x14ac:dyDescent="0.25">
      <c r="H2275" s="211"/>
    </row>
    <row r="2276" spans="8:8" x14ac:dyDescent="0.25">
      <c r="H2276" s="211"/>
    </row>
    <row r="2277" spans="8:8" x14ac:dyDescent="0.25">
      <c r="H2277" s="211"/>
    </row>
    <row r="2278" spans="8:8" x14ac:dyDescent="0.25">
      <c r="H2278" s="211"/>
    </row>
    <row r="2279" spans="8:8" x14ac:dyDescent="0.25">
      <c r="H2279" s="211"/>
    </row>
    <row r="2280" spans="8:8" x14ac:dyDescent="0.25">
      <c r="H2280" s="211"/>
    </row>
    <row r="2281" spans="8:8" x14ac:dyDescent="0.25">
      <c r="H2281" s="211"/>
    </row>
    <row r="2282" spans="8:8" x14ac:dyDescent="0.25">
      <c r="H2282" s="211"/>
    </row>
    <row r="2283" spans="8:8" x14ac:dyDescent="0.25">
      <c r="H2283" s="211"/>
    </row>
    <row r="2284" spans="8:8" x14ac:dyDescent="0.25">
      <c r="H2284" s="211"/>
    </row>
    <row r="2285" spans="8:8" x14ac:dyDescent="0.25">
      <c r="H2285" s="211"/>
    </row>
    <row r="2286" spans="8:8" x14ac:dyDescent="0.25">
      <c r="H2286" s="211"/>
    </row>
    <row r="2287" spans="8:8" x14ac:dyDescent="0.25">
      <c r="H2287" s="211"/>
    </row>
    <row r="2288" spans="8:8" x14ac:dyDescent="0.25">
      <c r="H2288" s="211"/>
    </row>
    <row r="2289" spans="8:8" x14ac:dyDescent="0.25">
      <c r="H2289" s="211"/>
    </row>
    <row r="2290" spans="8:8" x14ac:dyDescent="0.25">
      <c r="H2290" s="211"/>
    </row>
    <row r="2291" spans="8:8" x14ac:dyDescent="0.25">
      <c r="H2291" s="211"/>
    </row>
    <row r="2292" spans="8:8" x14ac:dyDescent="0.25">
      <c r="H2292" s="211"/>
    </row>
    <row r="2293" spans="8:8" x14ac:dyDescent="0.25">
      <c r="H2293" s="211"/>
    </row>
    <row r="2294" spans="8:8" x14ac:dyDescent="0.25">
      <c r="H2294" s="211"/>
    </row>
    <row r="2295" spans="8:8" x14ac:dyDescent="0.25">
      <c r="H2295" s="211"/>
    </row>
    <row r="2296" spans="8:8" x14ac:dyDescent="0.25">
      <c r="H2296" s="211"/>
    </row>
    <row r="2297" spans="8:8" x14ac:dyDescent="0.25">
      <c r="H2297" s="211"/>
    </row>
    <row r="2298" spans="8:8" x14ac:dyDescent="0.25">
      <c r="H2298" s="211"/>
    </row>
    <row r="2299" spans="8:8" x14ac:dyDescent="0.25">
      <c r="H2299" s="211"/>
    </row>
    <row r="2300" spans="8:8" x14ac:dyDescent="0.25">
      <c r="H2300" s="211"/>
    </row>
    <row r="2301" spans="8:8" x14ac:dyDescent="0.25">
      <c r="H2301" s="211"/>
    </row>
    <row r="2302" spans="8:8" x14ac:dyDescent="0.25">
      <c r="H2302" s="211"/>
    </row>
    <row r="2303" spans="8:8" x14ac:dyDescent="0.25">
      <c r="H2303" s="211"/>
    </row>
    <row r="2304" spans="8:8" x14ac:dyDescent="0.25">
      <c r="H2304" s="211"/>
    </row>
    <row r="2305" spans="8:8" x14ac:dyDescent="0.25">
      <c r="H2305" s="211"/>
    </row>
    <row r="2306" spans="8:8" x14ac:dyDescent="0.25">
      <c r="H2306" s="211"/>
    </row>
    <row r="2307" spans="8:8" x14ac:dyDescent="0.25">
      <c r="H2307" s="211"/>
    </row>
    <row r="2308" spans="8:8" x14ac:dyDescent="0.25">
      <c r="H2308" s="211"/>
    </row>
    <row r="2309" spans="8:8" x14ac:dyDescent="0.25">
      <c r="H2309" s="211"/>
    </row>
    <row r="2310" spans="8:8" x14ac:dyDescent="0.25">
      <c r="H2310" s="211"/>
    </row>
    <row r="2311" spans="8:8" x14ac:dyDescent="0.25">
      <c r="H2311" s="211"/>
    </row>
    <row r="2312" spans="8:8" x14ac:dyDescent="0.25">
      <c r="H2312" s="211"/>
    </row>
    <row r="2313" spans="8:8" x14ac:dyDescent="0.25">
      <c r="H2313" s="211"/>
    </row>
    <row r="2314" spans="8:8" x14ac:dyDescent="0.25">
      <c r="H2314" s="211"/>
    </row>
    <row r="2315" spans="8:8" x14ac:dyDescent="0.25">
      <c r="H2315" s="211"/>
    </row>
    <row r="2316" spans="8:8" x14ac:dyDescent="0.25">
      <c r="H2316" s="211"/>
    </row>
    <row r="2317" spans="8:8" x14ac:dyDescent="0.25">
      <c r="H2317" s="211"/>
    </row>
    <row r="2318" spans="8:8" x14ac:dyDescent="0.25">
      <c r="H2318" s="211"/>
    </row>
    <row r="2319" spans="8:8" x14ac:dyDescent="0.25">
      <c r="H2319" s="211"/>
    </row>
    <row r="2320" spans="8:8" x14ac:dyDescent="0.25">
      <c r="H2320" s="211"/>
    </row>
    <row r="2321" spans="8:8" x14ac:dyDescent="0.25">
      <c r="H2321" s="211"/>
    </row>
    <row r="2322" spans="8:8" x14ac:dyDescent="0.25">
      <c r="H2322" s="211"/>
    </row>
    <row r="2323" spans="8:8" x14ac:dyDescent="0.25">
      <c r="H2323" s="211"/>
    </row>
    <row r="2324" spans="8:8" x14ac:dyDescent="0.25">
      <c r="H2324" s="211"/>
    </row>
    <row r="2325" spans="8:8" x14ac:dyDescent="0.25">
      <c r="H2325" s="211"/>
    </row>
    <row r="2326" spans="8:8" x14ac:dyDescent="0.25">
      <c r="H2326" s="211"/>
    </row>
    <row r="2327" spans="8:8" x14ac:dyDescent="0.25">
      <c r="H2327" s="211"/>
    </row>
    <row r="2328" spans="8:8" x14ac:dyDescent="0.25">
      <c r="H2328" s="211"/>
    </row>
    <row r="2329" spans="8:8" x14ac:dyDescent="0.25">
      <c r="H2329" s="211"/>
    </row>
    <row r="2330" spans="8:8" x14ac:dyDescent="0.25">
      <c r="H2330" s="211"/>
    </row>
    <row r="2331" spans="8:8" x14ac:dyDescent="0.25">
      <c r="H2331" s="211"/>
    </row>
    <row r="2332" spans="8:8" x14ac:dyDescent="0.25">
      <c r="H2332" s="211"/>
    </row>
    <row r="2333" spans="8:8" x14ac:dyDescent="0.25">
      <c r="H2333" s="211"/>
    </row>
    <row r="2334" spans="8:8" x14ac:dyDescent="0.25">
      <c r="H2334" s="211"/>
    </row>
    <row r="2335" spans="8:8" x14ac:dyDescent="0.25">
      <c r="H2335" s="211"/>
    </row>
    <row r="2336" spans="8:8" x14ac:dyDescent="0.25">
      <c r="H2336" s="211"/>
    </row>
    <row r="2337" spans="8:8" x14ac:dyDescent="0.25">
      <c r="H2337" s="211"/>
    </row>
    <row r="2338" spans="8:8" x14ac:dyDescent="0.25">
      <c r="H2338" s="211"/>
    </row>
    <row r="2339" spans="8:8" x14ac:dyDescent="0.25">
      <c r="H2339" s="211"/>
    </row>
    <row r="2340" spans="8:8" x14ac:dyDescent="0.25">
      <c r="H2340" s="211"/>
    </row>
    <row r="2341" spans="8:8" x14ac:dyDescent="0.25">
      <c r="H2341" s="211"/>
    </row>
    <row r="2342" spans="8:8" x14ac:dyDescent="0.25">
      <c r="H2342" s="211"/>
    </row>
    <row r="2343" spans="8:8" x14ac:dyDescent="0.25">
      <c r="H2343" s="211"/>
    </row>
    <row r="2344" spans="8:8" x14ac:dyDescent="0.25">
      <c r="H2344" s="211"/>
    </row>
    <row r="2345" spans="8:8" x14ac:dyDescent="0.25">
      <c r="H2345" s="211"/>
    </row>
    <row r="2346" spans="8:8" x14ac:dyDescent="0.25">
      <c r="H2346" s="211"/>
    </row>
    <row r="2347" spans="8:8" x14ac:dyDescent="0.25">
      <c r="H2347" s="211"/>
    </row>
    <row r="2348" spans="8:8" x14ac:dyDescent="0.25">
      <c r="H2348" s="211"/>
    </row>
    <row r="2349" spans="8:8" x14ac:dyDescent="0.25">
      <c r="H2349" s="211"/>
    </row>
    <row r="2350" spans="8:8" x14ac:dyDescent="0.25">
      <c r="H2350" s="211"/>
    </row>
    <row r="2351" spans="8:8" x14ac:dyDescent="0.25">
      <c r="H2351" s="211"/>
    </row>
    <row r="2352" spans="8:8" x14ac:dyDescent="0.25">
      <c r="H2352" s="211"/>
    </row>
    <row r="2353" spans="8:8" x14ac:dyDescent="0.25">
      <c r="H2353" s="211"/>
    </row>
    <row r="2354" spans="8:8" x14ac:dyDescent="0.25">
      <c r="H2354" s="211"/>
    </row>
    <row r="2355" spans="8:8" x14ac:dyDescent="0.25">
      <c r="H2355" s="211"/>
    </row>
    <row r="2356" spans="8:8" x14ac:dyDescent="0.25">
      <c r="H2356" s="211"/>
    </row>
    <row r="2357" spans="8:8" x14ac:dyDescent="0.25">
      <c r="H2357" s="211"/>
    </row>
    <row r="2358" spans="8:8" x14ac:dyDescent="0.25">
      <c r="H2358" s="211"/>
    </row>
    <row r="2359" spans="8:8" x14ac:dyDescent="0.25">
      <c r="H2359" s="211"/>
    </row>
    <row r="2360" spans="8:8" x14ac:dyDescent="0.25">
      <c r="H2360" s="211"/>
    </row>
    <row r="2361" spans="8:8" x14ac:dyDescent="0.25">
      <c r="H2361" s="211"/>
    </row>
    <row r="2362" spans="8:8" x14ac:dyDescent="0.25">
      <c r="H2362" s="211"/>
    </row>
    <row r="2363" spans="8:8" x14ac:dyDescent="0.25">
      <c r="H2363" s="211"/>
    </row>
    <row r="2364" spans="8:8" x14ac:dyDescent="0.25">
      <c r="H2364" s="211"/>
    </row>
    <row r="2365" spans="8:8" x14ac:dyDescent="0.25">
      <c r="H2365" s="211"/>
    </row>
    <row r="2366" spans="8:8" x14ac:dyDescent="0.25">
      <c r="H2366" s="211"/>
    </row>
    <row r="2367" spans="8:8" x14ac:dyDescent="0.25">
      <c r="H2367" s="211"/>
    </row>
    <row r="2368" spans="8:8" x14ac:dyDescent="0.25">
      <c r="H2368" s="211"/>
    </row>
    <row r="2369" spans="8:8" x14ac:dyDescent="0.25">
      <c r="H2369" s="211"/>
    </row>
    <row r="2370" spans="8:8" x14ac:dyDescent="0.25">
      <c r="H2370" s="211"/>
    </row>
    <row r="2371" spans="8:8" x14ac:dyDescent="0.25">
      <c r="H2371" s="211"/>
    </row>
    <row r="2372" spans="8:8" x14ac:dyDescent="0.25">
      <c r="H2372" s="211"/>
    </row>
    <row r="2373" spans="8:8" x14ac:dyDescent="0.25">
      <c r="H2373" s="211"/>
    </row>
    <row r="2374" spans="8:8" x14ac:dyDescent="0.25">
      <c r="H2374" s="211"/>
    </row>
    <row r="2375" spans="8:8" x14ac:dyDescent="0.25">
      <c r="H2375" s="211"/>
    </row>
    <row r="2376" spans="8:8" x14ac:dyDescent="0.25">
      <c r="H2376" s="211"/>
    </row>
    <row r="2377" spans="8:8" x14ac:dyDescent="0.25">
      <c r="H2377" s="211"/>
    </row>
    <row r="2378" spans="8:8" x14ac:dyDescent="0.25">
      <c r="H2378" s="211"/>
    </row>
    <row r="2379" spans="8:8" x14ac:dyDescent="0.25">
      <c r="H2379" s="211"/>
    </row>
    <row r="2380" spans="8:8" x14ac:dyDescent="0.25">
      <c r="H2380" s="211"/>
    </row>
    <row r="2381" spans="8:8" x14ac:dyDescent="0.25">
      <c r="H2381" s="211"/>
    </row>
    <row r="2382" spans="8:8" x14ac:dyDescent="0.25">
      <c r="H2382" s="211"/>
    </row>
    <row r="2383" spans="8:8" x14ac:dyDescent="0.25">
      <c r="H2383" s="211"/>
    </row>
    <row r="2384" spans="8:8" x14ac:dyDescent="0.25">
      <c r="H2384" s="211"/>
    </row>
    <row r="2385" spans="8:8" x14ac:dyDescent="0.25">
      <c r="H2385" s="211"/>
    </row>
    <row r="2386" spans="8:8" x14ac:dyDescent="0.25">
      <c r="H2386" s="211"/>
    </row>
    <row r="2387" spans="8:8" x14ac:dyDescent="0.25">
      <c r="H2387" s="211"/>
    </row>
    <row r="2388" spans="8:8" x14ac:dyDescent="0.25">
      <c r="H2388" s="211"/>
    </row>
    <row r="2389" spans="8:8" x14ac:dyDescent="0.25">
      <c r="H2389" s="211"/>
    </row>
    <row r="2390" spans="8:8" x14ac:dyDescent="0.25">
      <c r="H2390" s="211"/>
    </row>
    <row r="2391" spans="8:8" x14ac:dyDescent="0.25">
      <c r="H2391" s="211"/>
    </row>
    <row r="2392" spans="8:8" x14ac:dyDescent="0.25">
      <c r="H2392" s="211"/>
    </row>
    <row r="2393" spans="8:8" x14ac:dyDescent="0.25">
      <c r="H2393" s="211"/>
    </row>
    <row r="2394" spans="8:8" x14ac:dyDescent="0.25">
      <c r="H2394" s="211"/>
    </row>
    <row r="2395" spans="8:8" x14ac:dyDescent="0.25">
      <c r="H2395" s="211"/>
    </row>
    <row r="2396" spans="8:8" x14ac:dyDescent="0.25">
      <c r="H2396" s="211"/>
    </row>
    <row r="2397" spans="8:8" x14ac:dyDescent="0.25">
      <c r="H2397" s="211"/>
    </row>
    <row r="2398" spans="8:8" x14ac:dyDescent="0.25">
      <c r="H2398" s="211"/>
    </row>
    <row r="2399" spans="8:8" x14ac:dyDescent="0.25">
      <c r="H2399" s="211"/>
    </row>
    <row r="2400" spans="8:8" x14ac:dyDescent="0.25">
      <c r="H2400" s="211"/>
    </row>
    <row r="2401" spans="8:8" x14ac:dyDescent="0.25">
      <c r="H2401" s="211"/>
    </row>
    <row r="2402" spans="8:8" x14ac:dyDescent="0.25">
      <c r="H2402" s="211"/>
    </row>
    <row r="2403" spans="8:8" x14ac:dyDescent="0.25">
      <c r="H2403" s="211"/>
    </row>
    <row r="2404" spans="8:8" x14ac:dyDescent="0.25">
      <c r="H2404" s="211"/>
    </row>
    <row r="2405" spans="8:8" x14ac:dyDescent="0.25">
      <c r="H2405" s="211"/>
    </row>
    <row r="2406" spans="8:8" x14ac:dyDescent="0.25">
      <c r="H2406" s="211"/>
    </row>
    <row r="2407" spans="8:8" x14ac:dyDescent="0.25">
      <c r="H2407" s="211"/>
    </row>
    <row r="2408" spans="8:8" x14ac:dyDescent="0.25">
      <c r="H2408" s="211"/>
    </row>
    <row r="2409" spans="8:8" x14ac:dyDescent="0.25">
      <c r="H2409" s="211"/>
    </row>
    <row r="2410" spans="8:8" x14ac:dyDescent="0.25">
      <c r="H2410" s="211"/>
    </row>
    <row r="2411" spans="8:8" x14ac:dyDescent="0.25">
      <c r="H2411" s="211"/>
    </row>
    <row r="2412" spans="8:8" x14ac:dyDescent="0.25">
      <c r="H2412" s="211"/>
    </row>
    <row r="2413" spans="8:8" x14ac:dyDescent="0.25">
      <c r="H2413" s="211"/>
    </row>
    <row r="2414" spans="8:8" x14ac:dyDescent="0.25">
      <c r="H2414" s="211"/>
    </row>
    <row r="2415" spans="8:8" x14ac:dyDescent="0.25">
      <c r="H2415" s="211"/>
    </row>
    <row r="2416" spans="8:8" x14ac:dyDescent="0.25">
      <c r="H2416" s="211"/>
    </row>
    <row r="2417" spans="8:8" x14ac:dyDescent="0.25">
      <c r="H2417" s="211"/>
    </row>
    <row r="2418" spans="8:8" x14ac:dyDescent="0.25">
      <c r="H2418" s="211"/>
    </row>
    <row r="2419" spans="8:8" x14ac:dyDescent="0.25">
      <c r="H2419" s="211"/>
    </row>
    <row r="2420" spans="8:8" x14ac:dyDescent="0.25">
      <c r="H2420" s="211"/>
    </row>
    <row r="2421" spans="8:8" x14ac:dyDescent="0.25">
      <c r="H2421" s="211"/>
    </row>
    <row r="2422" spans="8:8" x14ac:dyDescent="0.25">
      <c r="H2422" s="211"/>
    </row>
    <row r="2423" spans="8:8" x14ac:dyDescent="0.25">
      <c r="H2423" s="211"/>
    </row>
    <row r="2424" spans="8:8" x14ac:dyDescent="0.25">
      <c r="H2424" s="211"/>
    </row>
    <row r="2425" spans="8:8" x14ac:dyDescent="0.25">
      <c r="H2425" s="211"/>
    </row>
    <row r="2426" spans="8:8" x14ac:dyDescent="0.25">
      <c r="H2426" s="211"/>
    </row>
    <row r="2427" spans="8:8" x14ac:dyDescent="0.25">
      <c r="H2427" s="211"/>
    </row>
    <row r="2428" spans="8:8" x14ac:dyDescent="0.25">
      <c r="H2428" s="211"/>
    </row>
    <row r="2429" spans="8:8" x14ac:dyDescent="0.25">
      <c r="H2429" s="211"/>
    </row>
    <row r="2430" spans="8:8" x14ac:dyDescent="0.25">
      <c r="H2430" s="211"/>
    </row>
    <row r="2431" spans="8:8" x14ac:dyDescent="0.25">
      <c r="H2431" s="211"/>
    </row>
    <row r="2432" spans="8:8" x14ac:dyDescent="0.25">
      <c r="H2432" s="211"/>
    </row>
    <row r="2433" spans="8:8" x14ac:dyDescent="0.25">
      <c r="H2433" s="211"/>
    </row>
    <row r="2434" spans="8:8" x14ac:dyDescent="0.25">
      <c r="H2434" s="211"/>
    </row>
    <row r="2435" spans="8:8" x14ac:dyDescent="0.25">
      <c r="H2435" s="211"/>
    </row>
    <row r="2436" spans="8:8" x14ac:dyDescent="0.25">
      <c r="H2436" s="211"/>
    </row>
    <row r="2437" spans="8:8" x14ac:dyDescent="0.25">
      <c r="H2437" s="211"/>
    </row>
    <row r="2438" spans="8:8" x14ac:dyDescent="0.25">
      <c r="H2438" s="211"/>
    </row>
    <row r="2439" spans="8:8" x14ac:dyDescent="0.25">
      <c r="H2439" s="211"/>
    </row>
    <row r="2440" spans="8:8" x14ac:dyDescent="0.25">
      <c r="H2440" s="211"/>
    </row>
    <row r="2441" spans="8:8" x14ac:dyDescent="0.25">
      <c r="H2441" s="211"/>
    </row>
    <row r="2442" spans="8:8" x14ac:dyDescent="0.25">
      <c r="H2442" s="211"/>
    </row>
    <row r="2443" spans="8:8" x14ac:dyDescent="0.25">
      <c r="H2443" s="211"/>
    </row>
    <row r="2444" spans="8:8" x14ac:dyDescent="0.25">
      <c r="H2444" s="211"/>
    </row>
    <row r="2445" spans="8:8" x14ac:dyDescent="0.25">
      <c r="H2445" s="211"/>
    </row>
    <row r="2446" spans="8:8" x14ac:dyDescent="0.25">
      <c r="H2446" s="211"/>
    </row>
    <row r="2447" spans="8:8" x14ac:dyDescent="0.25">
      <c r="H2447" s="211"/>
    </row>
    <row r="2448" spans="8:8" x14ac:dyDescent="0.25">
      <c r="H2448" s="211"/>
    </row>
    <row r="2449" spans="8:8" x14ac:dyDescent="0.25">
      <c r="H2449" s="211"/>
    </row>
    <row r="2450" spans="8:8" x14ac:dyDescent="0.25">
      <c r="H2450" s="211"/>
    </row>
    <row r="2451" spans="8:8" x14ac:dyDescent="0.25">
      <c r="H2451" s="211"/>
    </row>
    <row r="2452" spans="8:8" x14ac:dyDescent="0.25">
      <c r="H2452" s="211"/>
    </row>
    <row r="2453" spans="8:8" x14ac:dyDescent="0.25">
      <c r="H2453" s="211"/>
    </row>
    <row r="2454" spans="8:8" x14ac:dyDescent="0.25">
      <c r="H2454" s="211"/>
    </row>
    <row r="2455" spans="8:8" x14ac:dyDescent="0.25">
      <c r="H2455" s="211"/>
    </row>
    <row r="2456" spans="8:8" x14ac:dyDescent="0.25">
      <c r="H2456" s="211"/>
    </row>
    <row r="2457" spans="8:8" x14ac:dyDescent="0.25">
      <c r="H2457" s="211"/>
    </row>
    <row r="2458" spans="8:8" x14ac:dyDescent="0.25">
      <c r="H2458" s="211"/>
    </row>
    <row r="2459" spans="8:8" x14ac:dyDescent="0.25">
      <c r="H2459" s="211"/>
    </row>
    <row r="2460" spans="8:8" x14ac:dyDescent="0.25">
      <c r="H2460" s="211"/>
    </row>
    <row r="2461" spans="8:8" x14ac:dyDescent="0.25">
      <c r="H2461" s="211"/>
    </row>
    <row r="2462" spans="8:8" x14ac:dyDescent="0.25">
      <c r="H2462" s="211"/>
    </row>
    <row r="2463" spans="8:8" x14ac:dyDescent="0.25">
      <c r="H2463" s="211"/>
    </row>
    <row r="2464" spans="8:8" x14ac:dyDescent="0.25">
      <c r="H2464" s="211"/>
    </row>
    <row r="2465" spans="8:8" x14ac:dyDescent="0.25">
      <c r="H2465" s="211"/>
    </row>
    <row r="2466" spans="8:8" x14ac:dyDescent="0.25">
      <c r="H2466" s="211"/>
    </row>
    <row r="2467" spans="8:8" x14ac:dyDescent="0.25">
      <c r="H2467" s="211"/>
    </row>
    <row r="2468" spans="8:8" x14ac:dyDescent="0.25">
      <c r="H2468" s="211"/>
    </row>
    <row r="2469" spans="8:8" x14ac:dyDescent="0.25">
      <c r="H2469" s="211"/>
    </row>
    <row r="2470" spans="8:8" x14ac:dyDescent="0.25">
      <c r="H2470" s="211"/>
    </row>
    <row r="2471" spans="8:8" x14ac:dyDescent="0.25">
      <c r="H2471" s="211"/>
    </row>
    <row r="2472" spans="8:8" x14ac:dyDescent="0.25">
      <c r="H2472" s="211"/>
    </row>
    <row r="2473" spans="8:8" x14ac:dyDescent="0.25">
      <c r="H2473" s="211"/>
    </row>
    <row r="2474" spans="8:8" x14ac:dyDescent="0.25">
      <c r="H2474" s="211"/>
    </row>
    <row r="2475" spans="8:8" x14ac:dyDescent="0.25">
      <c r="H2475" s="211"/>
    </row>
    <row r="2476" spans="8:8" x14ac:dyDescent="0.25">
      <c r="H2476" s="211"/>
    </row>
    <row r="2477" spans="8:8" x14ac:dyDescent="0.25">
      <c r="H2477" s="211"/>
    </row>
    <row r="2478" spans="8:8" x14ac:dyDescent="0.25">
      <c r="H2478" s="211"/>
    </row>
    <row r="2479" spans="8:8" x14ac:dyDescent="0.25">
      <c r="H2479" s="211"/>
    </row>
    <row r="2480" spans="8:8" x14ac:dyDescent="0.25">
      <c r="H2480" s="211"/>
    </row>
    <row r="2481" spans="8:8" x14ac:dyDescent="0.25">
      <c r="H2481" s="211"/>
    </row>
    <row r="2482" spans="8:8" x14ac:dyDescent="0.25">
      <c r="H2482" s="211"/>
    </row>
    <row r="2483" spans="8:8" x14ac:dyDescent="0.25">
      <c r="H2483" s="211"/>
    </row>
    <row r="2484" spans="8:8" x14ac:dyDescent="0.25">
      <c r="H2484" s="211"/>
    </row>
    <row r="2485" spans="8:8" x14ac:dyDescent="0.25">
      <c r="H2485" s="211"/>
    </row>
    <row r="2486" spans="8:8" x14ac:dyDescent="0.25">
      <c r="H2486" s="211"/>
    </row>
    <row r="2487" spans="8:8" x14ac:dyDescent="0.25">
      <c r="H2487" s="211"/>
    </row>
    <row r="2488" spans="8:8" x14ac:dyDescent="0.25">
      <c r="H2488" s="211"/>
    </row>
    <row r="2489" spans="8:8" x14ac:dyDescent="0.25">
      <c r="H2489" s="211"/>
    </row>
    <row r="2490" spans="8:8" x14ac:dyDescent="0.25">
      <c r="H2490" s="211"/>
    </row>
    <row r="2491" spans="8:8" x14ac:dyDescent="0.25">
      <c r="H2491" s="211"/>
    </row>
    <row r="2492" spans="8:8" x14ac:dyDescent="0.25">
      <c r="H2492" s="211"/>
    </row>
    <row r="2493" spans="8:8" x14ac:dyDescent="0.25">
      <c r="H2493" s="211"/>
    </row>
    <row r="2494" spans="8:8" x14ac:dyDescent="0.25">
      <c r="H2494" s="211"/>
    </row>
    <row r="2495" spans="8:8" x14ac:dyDescent="0.25">
      <c r="H2495" s="211"/>
    </row>
    <row r="2496" spans="8:8" x14ac:dyDescent="0.25">
      <c r="H2496" s="211"/>
    </row>
    <row r="2497" spans="8:8" x14ac:dyDescent="0.25">
      <c r="H2497" s="211"/>
    </row>
    <row r="2498" spans="8:8" x14ac:dyDescent="0.25">
      <c r="H2498" s="211"/>
    </row>
    <row r="2499" spans="8:8" x14ac:dyDescent="0.25">
      <c r="H2499" s="211"/>
    </row>
    <row r="2500" spans="8:8" x14ac:dyDescent="0.25">
      <c r="H2500" s="211"/>
    </row>
    <row r="2501" spans="8:8" x14ac:dyDescent="0.25">
      <c r="H2501" s="211"/>
    </row>
    <row r="2502" spans="8:8" x14ac:dyDescent="0.25">
      <c r="H2502" s="211"/>
    </row>
    <row r="2503" spans="8:8" x14ac:dyDescent="0.25">
      <c r="H2503" s="211"/>
    </row>
    <row r="2504" spans="8:8" x14ac:dyDescent="0.25">
      <c r="H2504" s="211"/>
    </row>
    <row r="2505" spans="8:8" x14ac:dyDescent="0.25">
      <c r="H2505" s="211"/>
    </row>
    <row r="2506" spans="8:8" x14ac:dyDescent="0.25">
      <c r="H2506" s="211"/>
    </row>
    <row r="2507" spans="8:8" x14ac:dyDescent="0.25">
      <c r="H2507" s="211"/>
    </row>
    <row r="2508" spans="8:8" x14ac:dyDescent="0.25">
      <c r="H2508" s="211"/>
    </row>
    <row r="2509" spans="8:8" x14ac:dyDescent="0.25">
      <c r="H2509" s="211"/>
    </row>
    <row r="2510" spans="8:8" x14ac:dyDescent="0.25">
      <c r="H2510" s="211"/>
    </row>
    <row r="2511" spans="8:8" x14ac:dyDescent="0.25">
      <c r="H2511" s="211"/>
    </row>
    <row r="2512" spans="8:8" x14ac:dyDescent="0.25">
      <c r="H2512" s="211"/>
    </row>
    <row r="2513" spans="8:8" x14ac:dyDescent="0.25">
      <c r="H2513" s="211"/>
    </row>
    <row r="2514" spans="8:8" x14ac:dyDescent="0.25">
      <c r="H2514" s="211"/>
    </row>
    <row r="2515" spans="8:8" x14ac:dyDescent="0.25">
      <c r="H2515" s="211"/>
    </row>
    <row r="2516" spans="8:8" x14ac:dyDescent="0.25">
      <c r="H2516" s="211"/>
    </row>
    <row r="2517" spans="8:8" x14ac:dyDescent="0.25">
      <c r="H2517" s="211"/>
    </row>
    <row r="2518" spans="8:8" x14ac:dyDescent="0.25">
      <c r="H2518" s="211"/>
    </row>
    <row r="2519" spans="8:8" x14ac:dyDescent="0.25">
      <c r="H2519" s="211"/>
    </row>
    <row r="2520" spans="8:8" x14ac:dyDescent="0.25">
      <c r="H2520" s="211"/>
    </row>
    <row r="2521" spans="8:8" x14ac:dyDescent="0.25">
      <c r="H2521" s="211"/>
    </row>
    <row r="2522" spans="8:8" x14ac:dyDescent="0.25">
      <c r="H2522" s="211"/>
    </row>
    <row r="2523" spans="8:8" x14ac:dyDescent="0.25">
      <c r="H2523" s="211"/>
    </row>
    <row r="2524" spans="8:8" x14ac:dyDescent="0.25">
      <c r="H2524" s="211"/>
    </row>
    <row r="2525" spans="8:8" x14ac:dyDescent="0.25">
      <c r="H2525" s="211"/>
    </row>
    <row r="2526" spans="8:8" x14ac:dyDescent="0.25">
      <c r="H2526" s="211"/>
    </row>
    <row r="2527" spans="8:8" x14ac:dyDescent="0.25">
      <c r="H2527" s="211"/>
    </row>
    <row r="2528" spans="8:8" x14ac:dyDescent="0.25">
      <c r="H2528" s="211"/>
    </row>
    <row r="2529" spans="8:8" x14ac:dyDescent="0.25">
      <c r="H2529" s="211"/>
    </row>
    <row r="2530" spans="8:8" x14ac:dyDescent="0.25">
      <c r="H2530" s="211"/>
    </row>
    <row r="2531" spans="8:8" x14ac:dyDescent="0.25">
      <c r="H2531" s="211"/>
    </row>
    <row r="2532" spans="8:8" x14ac:dyDescent="0.25">
      <c r="H2532" s="211"/>
    </row>
    <row r="2533" spans="8:8" x14ac:dyDescent="0.25">
      <c r="H2533" s="211"/>
    </row>
    <row r="2534" spans="8:8" x14ac:dyDescent="0.25">
      <c r="H2534" s="211"/>
    </row>
    <row r="2535" spans="8:8" x14ac:dyDescent="0.25">
      <c r="H2535" s="211"/>
    </row>
    <row r="2536" spans="8:8" x14ac:dyDescent="0.25">
      <c r="H2536" s="211"/>
    </row>
    <row r="2537" spans="8:8" x14ac:dyDescent="0.25">
      <c r="H2537" s="211"/>
    </row>
    <row r="2538" spans="8:8" x14ac:dyDescent="0.25">
      <c r="H2538" s="211"/>
    </row>
    <row r="2539" spans="8:8" x14ac:dyDescent="0.25">
      <c r="H2539" s="211"/>
    </row>
    <row r="2540" spans="8:8" x14ac:dyDescent="0.25">
      <c r="H2540" s="211"/>
    </row>
    <row r="2541" spans="8:8" x14ac:dyDescent="0.25">
      <c r="H2541" s="211"/>
    </row>
    <row r="2542" spans="8:8" x14ac:dyDescent="0.25">
      <c r="H2542" s="211"/>
    </row>
    <row r="2543" spans="8:8" x14ac:dyDescent="0.25">
      <c r="H2543" s="211"/>
    </row>
    <row r="2544" spans="8:8" x14ac:dyDescent="0.25">
      <c r="H2544" s="211"/>
    </row>
    <row r="2545" spans="8:8" x14ac:dyDescent="0.25">
      <c r="H2545" s="211"/>
    </row>
    <row r="2546" spans="8:8" x14ac:dyDescent="0.25">
      <c r="H2546" s="211"/>
    </row>
    <row r="2547" spans="8:8" x14ac:dyDescent="0.25">
      <c r="H2547" s="211"/>
    </row>
    <row r="2548" spans="8:8" x14ac:dyDescent="0.25">
      <c r="H2548" s="211"/>
    </row>
    <row r="2549" spans="8:8" x14ac:dyDescent="0.25">
      <c r="H2549" s="211"/>
    </row>
    <row r="2550" spans="8:8" x14ac:dyDescent="0.25">
      <c r="H2550" s="211"/>
    </row>
    <row r="2551" spans="8:8" x14ac:dyDescent="0.25">
      <c r="H2551" s="211"/>
    </row>
    <row r="2552" spans="8:8" x14ac:dyDescent="0.25">
      <c r="H2552" s="211"/>
    </row>
    <row r="2553" spans="8:8" x14ac:dyDescent="0.25">
      <c r="H2553" s="211"/>
    </row>
    <row r="2554" spans="8:8" x14ac:dyDescent="0.25">
      <c r="H2554" s="211"/>
    </row>
    <row r="2555" spans="8:8" x14ac:dyDescent="0.25">
      <c r="H2555" s="211"/>
    </row>
    <row r="2556" spans="8:8" x14ac:dyDescent="0.25">
      <c r="H2556" s="211"/>
    </row>
    <row r="2557" spans="8:8" x14ac:dyDescent="0.25">
      <c r="H2557" s="211"/>
    </row>
    <row r="2558" spans="8:8" x14ac:dyDescent="0.25">
      <c r="H2558" s="211"/>
    </row>
    <row r="2559" spans="8:8" x14ac:dyDescent="0.25">
      <c r="H2559" s="211"/>
    </row>
    <row r="2560" spans="8:8" x14ac:dyDescent="0.25">
      <c r="H2560" s="211"/>
    </row>
    <row r="2561" spans="8:8" x14ac:dyDescent="0.25">
      <c r="H2561" s="211"/>
    </row>
    <row r="2562" spans="8:8" x14ac:dyDescent="0.25">
      <c r="H2562" s="211"/>
    </row>
    <row r="2563" spans="8:8" x14ac:dyDescent="0.25">
      <c r="H2563" s="211"/>
    </row>
    <row r="2564" spans="8:8" x14ac:dyDescent="0.25">
      <c r="H2564" s="211"/>
    </row>
    <row r="2565" spans="8:8" x14ac:dyDescent="0.25">
      <c r="H2565" s="211"/>
    </row>
    <row r="2566" spans="8:8" x14ac:dyDescent="0.25">
      <c r="H2566" s="211"/>
    </row>
    <row r="2567" spans="8:8" x14ac:dyDescent="0.25">
      <c r="H2567" s="211"/>
    </row>
    <row r="2568" spans="8:8" x14ac:dyDescent="0.25">
      <c r="H2568" s="211"/>
    </row>
    <row r="2569" spans="8:8" x14ac:dyDescent="0.25">
      <c r="H2569" s="211"/>
    </row>
    <row r="2570" spans="8:8" x14ac:dyDescent="0.25">
      <c r="H2570" s="211"/>
    </row>
    <row r="2571" spans="8:8" x14ac:dyDescent="0.25">
      <c r="H2571" s="211"/>
    </row>
    <row r="2572" spans="8:8" x14ac:dyDescent="0.25">
      <c r="H2572" s="211"/>
    </row>
    <row r="2573" spans="8:8" x14ac:dyDescent="0.25">
      <c r="H2573" s="211"/>
    </row>
    <row r="2574" spans="8:8" x14ac:dyDescent="0.25">
      <c r="H2574" s="211"/>
    </row>
    <row r="2575" spans="8:8" x14ac:dyDescent="0.25">
      <c r="H2575" s="211"/>
    </row>
    <row r="2576" spans="8:8" x14ac:dyDescent="0.25">
      <c r="H2576" s="211"/>
    </row>
    <row r="2577" spans="8:8" x14ac:dyDescent="0.25">
      <c r="H2577" s="211"/>
    </row>
    <row r="2578" spans="8:8" x14ac:dyDescent="0.25">
      <c r="H2578" s="211"/>
    </row>
    <row r="2579" spans="8:8" x14ac:dyDescent="0.25">
      <c r="H2579" s="211"/>
    </row>
    <row r="2580" spans="8:8" x14ac:dyDescent="0.25">
      <c r="H2580" s="211"/>
    </row>
    <row r="2581" spans="8:8" x14ac:dyDescent="0.25">
      <c r="H2581" s="211"/>
    </row>
    <row r="2582" spans="8:8" x14ac:dyDescent="0.25">
      <c r="H2582" s="211"/>
    </row>
    <row r="2583" spans="8:8" x14ac:dyDescent="0.25">
      <c r="H2583" s="211"/>
    </row>
    <row r="2584" spans="8:8" x14ac:dyDescent="0.25">
      <c r="H2584" s="211"/>
    </row>
    <row r="2585" spans="8:8" x14ac:dyDescent="0.25">
      <c r="H2585" s="211"/>
    </row>
    <row r="2586" spans="8:8" x14ac:dyDescent="0.25">
      <c r="H2586" s="211"/>
    </row>
    <row r="2587" spans="8:8" x14ac:dyDescent="0.25">
      <c r="H2587" s="211"/>
    </row>
    <row r="2588" spans="8:8" x14ac:dyDescent="0.25">
      <c r="H2588" s="211"/>
    </row>
    <row r="2589" spans="8:8" x14ac:dyDescent="0.25">
      <c r="H2589" s="211"/>
    </row>
    <row r="2590" spans="8:8" x14ac:dyDescent="0.25">
      <c r="H2590" s="211"/>
    </row>
    <row r="2591" spans="8:8" x14ac:dyDescent="0.25">
      <c r="H2591" s="211"/>
    </row>
    <row r="2592" spans="8:8" x14ac:dyDescent="0.25">
      <c r="H2592" s="211"/>
    </row>
    <row r="2593" spans="8:8" x14ac:dyDescent="0.25">
      <c r="H2593" s="211"/>
    </row>
    <row r="2594" spans="8:8" x14ac:dyDescent="0.25">
      <c r="H2594" s="211"/>
    </row>
    <row r="2595" spans="8:8" x14ac:dyDescent="0.25">
      <c r="H2595" s="211"/>
    </row>
    <row r="2596" spans="8:8" x14ac:dyDescent="0.25">
      <c r="H2596" s="211"/>
    </row>
    <row r="2597" spans="8:8" x14ac:dyDescent="0.25">
      <c r="H2597" s="211"/>
    </row>
    <row r="2598" spans="8:8" x14ac:dyDescent="0.25">
      <c r="H2598" s="211"/>
    </row>
    <row r="2599" spans="8:8" x14ac:dyDescent="0.25">
      <c r="H2599" s="211"/>
    </row>
    <row r="2600" spans="8:8" x14ac:dyDescent="0.25">
      <c r="H2600" s="211"/>
    </row>
    <row r="2601" spans="8:8" x14ac:dyDescent="0.25">
      <c r="H2601" s="211"/>
    </row>
    <row r="2602" spans="8:8" x14ac:dyDescent="0.25">
      <c r="H2602" s="211"/>
    </row>
    <row r="2603" spans="8:8" x14ac:dyDescent="0.25">
      <c r="H2603" s="211"/>
    </row>
    <row r="2604" spans="8:8" x14ac:dyDescent="0.25">
      <c r="H2604" s="211"/>
    </row>
    <row r="2605" spans="8:8" x14ac:dyDescent="0.25">
      <c r="H2605" s="211"/>
    </row>
    <row r="2606" spans="8:8" x14ac:dyDescent="0.25">
      <c r="H2606" s="211"/>
    </row>
    <row r="2607" spans="8:8" x14ac:dyDescent="0.25">
      <c r="H2607" s="211"/>
    </row>
    <row r="2608" spans="8:8" x14ac:dyDescent="0.25">
      <c r="H2608" s="211"/>
    </row>
    <row r="2609" spans="8:8" x14ac:dyDescent="0.25">
      <c r="H2609" s="211"/>
    </row>
    <row r="2610" spans="8:8" x14ac:dyDescent="0.25">
      <c r="H2610" s="211"/>
    </row>
    <row r="2611" spans="8:8" x14ac:dyDescent="0.25">
      <c r="H2611" s="211"/>
    </row>
    <row r="2612" spans="8:8" x14ac:dyDescent="0.25">
      <c r="H2612" s="211"/>
    </row>
    <row r="2613" spans="8:8" x14ac:dyDescent="0.25">
      <c r="H2613" s="211"/>
    </row>
    <row r="2614" spans="8:8" x14ac:dyDescent="0.25">
      <c r="H2614" s="211"/>
    </row>
    <row r="2615" spans="8:8" x14ac:dyDescent="0.25">
      <c r="H2615" s="211"/>
    </row>
    <row r="2616" spans="8:8" x14ac:dyDescent="0.25">
      <c r="H2616" s="211"/>
    </row>
    <row r="2617" spans="8:8" x14ac:dyDescent="0.25">
      <c r="H2617" s="211"/>
    </row>
    <row r="2618" spans="8:8" x14ac:dyDescent="0.25">
      <c r="H2618" s="211"/>
    </row>
    <row r="2619" spans="8:8" x14ac:dyDescent="0.25">
      <c r="H2619" s="211"/>
    </row>
    <row r="2620" spans="8:8" x14ac:dyDescent="0.25">
      <c r="H2620" s="211"/>
    </row>
    <row r="2621" spans="8:8" x14ac:dyDescent="0.25">
      <c r="H2621" s="211"/>
    </row>
    <row r="2622" spans="8:8" x14ac:dyDescent="0.25">
      <c r="H2622" s="211"/>
    </row>
    <row r="2623" spans="8:8" x14ac:dyDescent="0.25">
      <c r="H2623" s="211"/>
    </row>
    <row r="2624" spans="8:8" x14ac:dyDescent="0.25">
      <c r="H2624" s="211"/>
    </row>
    <row r="2625" spans="8:8" x14ac:dyDescent="0.25">
      <c r="H2625" s="211"/>
    </row>
    <row r="2626" spans="8:8" x14ac:dyDescent="0.25">
      <c r="H2626" s="211"/>
    </row>
    <row r="2627" spans="8:8" x14ac:dyDescent="0.25">
      <c r="H2627" s="211"/>
    </row>
    <row r="2628" spans="8:8" x14ac:dyDescent="0.25">
      <c r="H2628" s="211"/>
    </row>
    <row r="2629" spans="8:8" x14ac:dyDescent="0.25">
      <c r="H2629" s="211"/>
    </row>
    <row r="2630" spans="8:8" x14ac:dyDescent="0.25">
      <c r="H2630" s="211"/>
    </row>
    <row r="2631" spans="8:8" x14ac:dyDescent="0.25">
      <c r="H2631" s="211"/>
    </row>
    <row r="2632" spans="8:8" x14ac:dyDescent="0.25">
      <c r="H2632" s="211"/>
    </row>
    <row r="2633" spans="8:8" x14ac:dyDescent="0.25">
      <c r="H2633" s="211"/>
    </row>
    <row r="2634" spans="8:8" x14ac:dyDescent="0.25">
      <c r="H2634" s="211"/>
    </row>
    <row r="2635" spans="8:8" x14ac:dyDescent="0.25">
      <c r="H2635" s="211"/>
    </row>
    <row r="2636" spans="8:8" x14ac:dyDescent="0.25">
      <c r="H2636" s="211"/>
    </row>
    <row r="2637" spans="8:8" x14ac:dyDescent="0.25">
      <c r="H2637" s="211"/>
    </row>
    <row r="2638" spans="8:8" x14ac:dyDescent="0.25">
      <c r="H2638" s="211"/>
    </row>
    <row r="2639" spans="8:8" x14ac:dyDescent="0.25">
      <c r="H2639" s="211"/>
    </row>
    <row r="2640" spans="8:8" x14ac:dyDescent="0.25">
      <c r="H2640" s="211"/>
    </row>
    <row r="2641" spans="8:8" x14ac:dyDescent="0.25">
      <c r="H2641" s="211"/>
    </row>
    <row r="2642" spans="8:8" x14ac:dyDescent="0.25">
      <c r="H2642" s="211"/>
    </row>
    <row r="2643" spans="8:8" x14ac:dyDescent="0.25">
      <c r="H2643" s="211"/>
    </row>
    <row r="2644" spans="8:8" x14ac:dyDescent="0.25">
      <c r="H2644" s="211"/>
    </row>
    <row r="2645" spans="8:8" x14ac:dyDescent="0.25">
      <c r="H2645" s="211"/>
    </row>
    <row r="2646" spans="8:8" x14ac:dyDescent="0.25">
      <c r="H2646" s="211"/>
    </row>
    <row r="2647" spans="8:8" x14ac:dyDescent="0.25">
      <c r="H2647" s="211"/>
    </row>
    <row r="2648" spans="8:8" x14ac:dyDescent="0.25">
      <c r="H2648" s="211"/>
    </row>
    <row r="2649" spans="8:8" x14ac:dyDescent="0.25">
      <c r="H2649" s="211"/>
    </row>
    <row r="2650" spans="8:8" x14ac:dyDescent="0.25">
      <c r="H2650" s="211"/>
    </row>
    <row r="2651" spans="8:8" x14ac:dyDescent="0.25">
      <c r="H2651" s="211"/>
    </row>
    <row r="2652" spans="8:8" x14ac:dyDescent="0.25">
      <c r="H2652" s="211"/>
    </row>
    <row r="2653" spans="8:8" x14ac:dyDescent="0.25">
      <c r="H2653" s="211"/>
    </row>
    <row r="2654" spans="8:8" x14ac:dyDescent="0.25">
      <c r="H2654" s="211"/>
    </row>
    <row r="2655" spans="8:8" x14ac:dyDescent="0.25">
      <c r="H2655" s="211"/>
    </row>
    <row r="2656" spans="8:8" x14ac:dyDescent="0.25">
      <c r="H2656" s="211"/>
    </row>
    <row r="2657" spans="8:8" x14ac:dyDescent="0.25">
      <c r="H2657" s="211"/>
    </row>
    <row r="2658" spans="8:8" x14ac:dyDescent="0.25">
      <c r="H2658" s="211"/>
    </row>
    <row r="2659" spans="8:8" x14ac:dyDescent="0.25">
      <c r="H2659" s="211"/>
    </row>
    <row r="2660" spans="8:8" x14ac:dyDescent="0.25">
      <c r="H2660" s="211"/>
    </row>
    <row r="2661" spans="8:8" x14ac:dyDescent="0.25">
      <c r="H2661" s="211"/>
    </row>
    <row r="2662" spans="8:8" x14ac:dyDescent="0.25">
      <c r="H2662" s="211"/>
    </row>
    <row r="2663" spans="8:8" x14ac:dyDescent="0.25">
      <c r="H2663" s="211"/>
    </row>
    <row r="2664" spans="8:8" x14ac:dyDescent="0.25">
      <c r="H2664" s="211"/>
    </row>
    <row r="2665" spans="8:8" x14ac:dyDescent="0.25">
      <c r="H2665" s="211"/>
    </row>
    <row r="2666" spans="8:8" x14ac:dyDescent="0.25">
      <c r="H2666" s="211"/>
    </row>
    <row r="2667" spans="8:8" x14ac:dyDescent="0.25">
      <c r="H2667" s="211"/>
    </row>
    <row r="2668" spans="8:8" x14ac:dyDescent="0.25">
      <c r="H2668" s="211"/>
    </row>
    <row r="2669" spans="8:8" x14ac:dyDescent="0.25">
      <c r="H2669" s="211"/>
    </row>
    <row r="2670" spans="8:8" x14ac:dyDescent="0.25">
      <c r="H2670" s="211"/>
    </row>
    <row r="2671" spans="8:8" x14ac:dyDescent="0.25">
      <c r="H2671" s="211"/>
    </row>
    <row r="2672" spans="8:8" x14ac:dyDescent="0.25">
      <c r="H2672" s="211"/>
    </row>
    <row r="2673" spans="8:8" x14ac:dyDescent="0.25">
      <c r="H2673" s="211"/>
    </row>
    <row r="2674" spans="8:8" x14ac:dyDescent="0.25">
      <c r="H2674" s="211"/>
    </row>
    <row r="2675" spans="8:8" x14ac:dyDescent="0.25">
      <c r="H2675" s="211"/>
    </row>
    <row r="2676" spans="8:8" x14ac:dyDescent="0.25">
      <c r="H2676" s="211"/>
    </row>
    <row r="2677" spans="8:8" x14ac:dyDescent="0.25">
      <c r="H2677" s="211"/>
    </row>
    <row r="2678" spans="8:8" x14ac:dyDescent="0.25">
      <c r="H2678" s="211"/>
    </row>
    <row r="2679" spans="8:8" x14ac:dyDescent="0.25">
      <c r="H2679" s="211"/>
    </row>
    <row r="2680" spans="8:8" x14ac:dyDescent="0.25">
      <c r="H2680" s="211"/>
    </row>
    <row r="2681" spans="8:8" x14ac:dyDescent="0.25">
      <c r="H2681" s="211"/>
    </row>
    <row r="2682" spans="8:8" x14ac:dyDescent="0.25">
      <c r="H2682" s="211"/>
    </row>
    <row r="2683" spans="8:8" x14ac:dyDescent="0.25">
      <c r="H2683" s="211"/>
    </row>
    <row r="2684" spans="8:8" x14ac:dyDescent="0.25">
      <c r="H2684" s="211"/>
    </row>
    <row r="2685" spans="8:8" x14ac:dyDescent="0.25">
      <c r="H2685" s="211"/>
    </row>
    <row r="2686" spans="8:8" x14ac:dyDescent="0.25">
      <c r="H2686" s="211"/>
    </row>
    <row r="2687" spans="8:8" x14ac:dyDescent="0.25">
      <c r="H2687" s="211"/>
    </row>
    <row r="2688" spans="8:8" x14ac:dyDescent="0.25">
      <c r="H2688" s="211"/>
    </row>
    <row r="2689" spans="8:8" x14ac:dyDescent="0.25">
      <c r="H2689" s="211"/>
    </row>
    <row r="2690" spans="8:8" x14ac:dyDescent="0.25">
      <c r="H2690" s="211"/>
    </row>
    <row r="2691" spans="8:8" x14ac:dyDescent="0.25">
      <c r="H2691" s="211"/>
    </row>
    <row r="2692" spans="8:8" x14ac:dyDescent="0.25">
      <c r="H2692" s="211"/>
    </row>
    <row r="2693" spans="8:8" x14ac:dyDescent="0.25">
      <c r="H2693" s="211"/>
    </row>
    <row r="2694" spans="8:8" x14ac:dyDescent="0.25">
      <c r="H2694" s="211"/>
    </row>
    <row r="2695" spans="8:8" x14ac:dyDescent="0.25">
      <c r="H2695" s="211"/>
    </row>
    <row r="2696" spans="8:8" x14ac:dyDescent="0.25">
      <c r="H2696" s="211"/>
    </row>
    <row r="2697" spans="8:8" x14ac:dyDescent="0.25">
      <c r="H2697" s="211"/>
    </row>
    <row r="2698" spans="8:8" x14ac:dyDescent="0.25">
      <c r="H2698" s="211"/>
    </row>
    <row r="2699" spans="8:8" x14ac:dyDescent="0.25">
      <c r="H2699" s="211"/>
    </row>
    <row r="2700" spans="8:8" x14ac:dyDescent="0.25">
      <c r="H2700" s="211"/>
    </row>
    <row r="2701" spans="8:8" x14ac:dyDescent="0.25">
      <c r="H2701" s="211"/>
    </row>
    <row r="2702" spans="8:8" x14ac:dyDescent="0.25">
      <c r="H2702" s="211"/>
    </row>
    <row r="2703" spans="8:8" x14ac:dyDescent="0.25">
      <c r="H2703" s="211"/>
    </row>
    <row r="2704" spans="8:8" x14ac:dyDescent="0.25">
      <c r="H2704" s="211"/>
    </row>
    <row r="2705" spans="8:8" x14ac:dyDescent="0.25">
      <c r="H2705" s="211"/>
    </row>
    <row r="2706" spans="8:8" x14ac:dyDescent="0.25">
      <c r="H2706" s="211"/>
    </row>
    <row r="2707" spans="8:8" x14ac:dyDescent="0.25">
      <c r="H2707" s="211"/>
    </row>
    <row r="2708" spans="8:8" x14ac:dyDescent="0.25">
      <c r="H2708" s="211"/>
    </row>
    <row r="2709" spans="8:8" x14ac:dyDescent="0.25">
      <c r="H2709" s="211"/>
    </row>
    <row r="2710" spans="8:8" x14ac:dyDescent="0.25">
      <c r="H2710" s="211"/>
    </row>
    <row r="2711" spans="8:8" x14ac:dyDescent="0.25">
      <c r="H2711" s="211"/>
    </row>
    <row r="2712" spans="8:8" x14ac:dyDescent="0.25">
      <c r="H2712" s="211"/>
    </row>
    <row r="2713" spans="8:8" x14ac:dyDescent="0.25">
      <c r="H2713" s="211"/>
    </row>
    <row r="2714" spans="8:8" x14ac:dyDescent="0.25">
      <c r="H2714" s="211"/>
    </row>
    <row r="2715" spans="8:8" x14ac:dyDescent="0.25">
      <c r="H2715" s="211"/>
    </row>
  </sheetData>
  <mergeCells count="9">
    <mergeCell ref="O12:T12"/>
    <mergeCell ref="O13:T13"/>
    <mergeCell ref="C9:E9"/>
    <mergeCell ref="C10:E10"/>
    <mergeCell ref="C11:E11"/>
    <mergeCell ref="C12:E12"/>
    <mergeCell ref="C13:E13"/>
    <mergeCell ref="K12:L12"/>
    <mergeCell ref="K13:L13"/>
  </mergeCells>
  <conditionalFormatting sqref="O48:AQ48">
    <cfRule type="colorScale" priority="3">
      <colorScale>
        <cfvo type="num" val="-1"/>
        <cfvo type="num" val="1"/>
        <color rgb="FFC00000"/>
        <color rgb="FFFFFF00"/>
      </colorScale>
    </cfRule>
    <cfRule type="colorScale" priority="4">
      <colorScale>
        <cfvo type="num" val="-1"/>
        <cfvo type="num" val="1"/>
        <color rgb="FFFCFCFF"/>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AI754"/>
  <sheetViews>
    <sheetView workbookViewId="0">
      <selection activeCell="M28" sqref="M28"/>
    </sheetView>
  </sheetViews>
  <sheetFormatPr defaultRowHeight="15" customHeight="1" x14ac:dyDescent="0.25"/>
  <cols>
    <col min="2" max="2" width="21.7109375" customWidth="1"/>
    <col min="3" max="3" width="20.42578125" customWidth="1"/>
    <col min="4" max="4" width="13.85546875" customWidth="1"/>
    <col min="5" max="5" width="14.85546875" customWidth="1"/>
    <col min="6" max="6" width="16.140625" customWidth="1"/>
    <col min="7" max="7" width="13.7109375" customWidth="1"/>
    <col min="8" max="9" width="12.42578125" customWidth="1"/>
    <col min="10" max="10" width="14.7109375" customWidth="1"/>
    <col min="11" max="18" width="12.42578125" customWidth="1"/>
    <col min="19" max="19" width="13.7109375" customWidth="1"/>
    <col min="20" max="20" width="14.28515625" customWidth="1"/>
    <col min="21" max="21" width="15" customWidth="1"/>
    <col min="22" max="22" width="13.7109375" customWidth="1"/>
    <col min="23" max="23" width="14.85546875" customWidth="1"/>
    <col min="24" max="35" width="12.42578125" customWidth="1"/>
    <col min="36" max="53" width="9.140625" customWidth="1"/>
  </cols>
  <sheetData>
    <row r="2" spans="2:11" ht="28.5" x14ac:dyDescent="0.45">
      <c r="B2" s="109" t="s">
        <v>109</v>
      </c>
    </row>
    <row r="3" spans="2:11" ht="17.25" customHeight="1" x14ac:dyDescent="0.35">
      <c r="B3" s="96"/>
    </row>
    <row r="4" spans="2:11" x14ac:dyDescent="0.25">
      <c r="B4" s="97" t="s">
        <v>83</v>
      </c>
    </row>
    <row r="6" spans="2:11" x14ac:dyDescent="0.25">
      <c r="B6" t="s">
        <v>91</v>
      </c>
    </row>
    <row r="7" spans="2:11" x14ac:dyDescent="0.25">
      <c r="B7" t="s">
        <v>92</v>
      </c>
    </row>
    <row r="8" spans="2:11" x14ac:dyDescent="0.25">
      <c r="B8" t="s">
        <v>93</v>
      </c>
    </row>
    <row r="9" spans="2:11" x14ac:dyDescent="0.25">
      <c r="J9" s="198" t="s">
        <v>119</v>
      </c>
      <c r="K9" s="208">
        <v>1</v>
      </c>
    </row>
    <row r="10" spans="2:11" x14ac:dyDescent="0.25">
      <c r="J10" s="198" t="s">
        <v>118</v>
      </c>
      <c r="K10" s="203">
        <v>3</v>
      </c>
    </row>
    <row r="11" spans="2:11" x14ac:dyDescent="0.25">
      <c r="J11" s="198" t="s">
        <v>117</v>
      </c>
      <c r="K11" s="159">
        <f>(MAX_PORTFOLIO_TARGET_RETURN - MIN_PORTFOLIO_TARGET_RETURN)</f>
        <v>2.4803114160282046E-2</v>
      </c>
    </row>
    <row r="12" spans="2:11" x14ac:dyDescent="0.25">
      <c r="J12" s="199" t="s">
        <v>112</v>
      </c>
      <c r="K12" s="201">
        <f>COLUMN(R38)-COLUMN(C38)</f>
        <v>15</v>
      </c>
    </row>
    <row r="13" spans="2:11" x14ac:dyDescent="0.25">
      <c r="J13" s="200" t="s">
        <v>113</v>
      </c>
      <c r="K13" s="202">
        <f>K11/K12</f>
        <v>1.653540944018803E-3</v>
      </c>
    </row>
    <row r="15" spans="2:11" x14ac:dyDescent="0.25">
      <c r="J15" s="44" t="s">
        <v>114</v>
      </c>
      <c r="K15" s="193" t="s">
        <v>70</v>
      </c>
    </row>
    <row r="16" spans="2:11" x14ac:dyDescent="0.25">
      <c r="J16" s="194" t="s">
        <v>115</v>
      </c>
      <c r="K16" s="196">
        <f>MIN(MEAN_RETURNS)-RISK_FREE_RATE</f>
        <v>-1.4277266060162369E-4</v>
      </c>
    </row>
    <row r="17" spans="10:11" x14ac:dyDescent="0.25">
      <c r="J17" s="194">
        <v>1</v>
      </c>
      <c r="K17" s="196">
        <f t="shared" ref="K17:K30" si="0">MIN_PORTFOLIO_TARGET_RETURN + J17*TARGET_RETURN_DELTA</f>
        <v>1.5107682834171793E-3</v>
      </c>
    </row>
    <row r="18" spans="10:11" x14ac:dyDescent="0.25">
      <c r="J18" s="194">
        <v>2</v>
      </c>
      <c r="K18" s="196">
        <f t="shared" si="0"/>
        <v>3.1643092274359825E-3</v>
      </c>
    </row>
    <row r="19" spans="10:11" x14ac:dyDescent="0.25">
      <c r="J19" s="194">
        <v>3</v>
      </c>
      <c r="K19" s="196">
        <f t="shared" si="0"/>
        <v>4.8178501714547855E-3</v>
      </c>
    </row>
    <row r="20" spans="10:11" x14ac:dyDescent="0.25">
      <c r="J20" s="194">
        <v>4</v>
      </c>
      <c r="K20" s="196">
        <f t="shared" si="0"/>
        <v>6.4713911154735881E-3</v>
      </c>
    </row>
    <row r="21" spans="10:11" x14ac:dyDescent="0.25">
      <c r="J21" s="194">
        <v>5</v>
      </c>
      <c r="K21" s="196">
        <f t="shared" si="0"/>
        <v>8.1249320594923916E-3</v>
      </c>
    </row>
    <row r="22" spans="10:11" x14ac:dyDescent="0.25">
      <c r="J22" s="194">
        <v>6</v>
      </c>
      <c r="K22" s="196">
        <f t="shared" si="0"/>
        <v>9.7784730035111959E-3</v>
      </c>
    </row>
    <row r="23" spans="10:11" x14ac:dyDescent="0.25">
      <c r="J23" s="194">
        <v>7</v>
      </c>
      <c r="K23" s="196">
        <f t="shared" si="0"/>
        <v>1.1432013947529998E-2</v>
      </c>
    </row>
    <row r="24" spans="10:11" x14ac:dyDescent="0.25">
      <c r="J24" s="194">
        <v>8</v>
      </c>
      <c r="K24" s="196">
        <f t="shared" si="0"/>
        <v>1.3085554891548801E-2</v>
      </c>
    </row>
    <row r="25" spans="10:11" x14ac:dyDescent="0.25">
      <c r="J25" s="194">
        <v>9</v>
      </c>
      <c r="K25" s="196">
        <f t="shared" si="0"/>
        <v>1.4739095835567604E-2</v>
      </c>
    </row>
    <row r="26" spans="10:11" x14ac:dyDescent="0.25">
      <c r="J26" s="194">
        <v>10</v>
      </c>
      <c r="K26" s="196">
        <f t="shared" si="0"/>
        <v>1.6392636779586404E-2</v>
      </c>
    </row>
    <row r="27" spans="10:11" x14ac:dyDescent="0.25">
      <c r="J27" s="194">
        <v>11</v>
      </c>
      <c r="K27" s="196">
        <f t="shared" si="0"/>
        <v>1.8046177723605207E-2</v>
      </c>
    </row>
    <row r="28" spans="10:11" x14ac:dyDescent="0.25">
      <c r="J28" s="194">
        <v>12</v>
      </c>
      <c r="K28" s="196">
        <f t="shared" si="0"/>
        <v>1.9699718667624013E-2</v>
      </c>
    </row>
    <row r="29" spans="10:11" x14ac:dyDescent="0.25">
      <c r="J29" s="194">
        <v>13</v>
      </c>
      <c r="K29" s="196">
        <f t="shared" si="0"/>
        <v>2.1353259611642816E-2</v>
      </c>
    </row>
    <row r="30" spans="10:11" x14ac:dyDescent="0.25">
      <c r="J30" s="194">
        <v>14</v>
      </c>
      <c r="K30" s="196">
        <f t="shared" si="0"/>
        <v>2.3006800555661618E-2</v>
      </c>
    </row>
    <row r="31" spans="10:11" x14ac:dyDescent="0.25">
      <c r="J31" s="195" t="s">
        <v>116</v>
      </c>
      <c r="K31" s="197">
        <f>MAX(MEAN_RETURNS) - RISK_FREE_RATE</f>
        <v>2.4660341499680421E-2</v>
      </c>
    </row>
    <row r="33" spans="2:24" x14ac:dyDescent="0.25">
      <c r="B33" s="166" t="s">
        <v>58</v>
      </c>
      <c r="C33" s="188">
        <f>POWER(1+0.005/12,1/12)-1</f>
        <v>3.4715593006939827E-5</v>
      </c>
    </row>
    <row r="35" spans="2:24" ht="20.25" thickBot="1" x14ac:dyDescent="0.35">
      <c r="B35" s="137" t="s">
        <v>102</v>
      </c>
      <c r="C35" s="152"/>
      <c r="D35" s="137"/>
      <c r="E35" s="137"/>
      <c r="F35" s="137"/>
      <c r="G35" s="137"/>
      <c r="H35" s="137"/>
      <c r="I35" s="137"/>
      <c r="J35" s="137"/>
      <c r="K35" s="137"/>
      <c r="L35" s="137"/>
      <c r="M35" s="137"/>
      <c r="N35" s="137"/>
      <c r="O35" s="137"/>
      <c r="P35" s="137"/>
      <c r="Q35" s="137"/>
      <c r="R35" s="137"/>
      <c r="S35" s="137"/>
      <c r="T35" s="137"/>
      <c r="U35" s="137"/>
      <c r="V35" s="137"/>
      <c r="W35" s="137"/>
      <c r="X35" s="137"/>
    </row>
    <row r="36" spans="2:24" ht="15.75" thickTop="1" x14ac:dyDescent="0.25"/>
    <row r="37" spans="2:24" x14ac:dyDescent="0.25">
      <c r="C37" s="120" t="s">
        <v>95</v>
      </c>
      <c r="D37" s="221" t="s">
        <v>96</v>
      </c>
      <c r="E37" s="221"/>
      <c r="F37" s="221"/>
      <c r="G37" s="221"/>
      <c r="H37" s="221"/>
      <c r="I37" s="221"/>
      <c r="J37" s="221"/>
      <c r="K37" s="221"/>
      <c r="L37" s="221"/>
      <c r="M37" s="221"/>
      <c r="N37" s="221"/>
      <c r="O37" s="221"/>
      <c r="P37" s="221"/>
      <c r="Q37" s="221"/>
      <c r="R37" s="121" t="s">
        <v>94</v>
      </c>
      <c r="U37" s="142" t="str">
        <f>B73</f>
        <v>Test Portfolio</v>
      </c>
      <c r="V37" s="144" t="s">
        <v>101</v>
      </c>
      <c r="W37" s="36" t="s">
        <v>105</v>
      </c>
      <c r="X37" s="145" t="s">
        <v>98</v>
      </c>
    </row>
    <row r="38" spans="2:24" x14ac:dyDescent="0.25">
      <c r="B38" s="89" t="s">
        <v>60</v>
      </c>
      <c r="C38" s="115">
        <f>MIN_PORTFOLIO_TARGET_RETURN</f>
        <v>-1.4277266060162369E-4</v>
      </c>
      <c r="D38" s="115">
        <f>TR1_PORTFOLIO_TARGET_RETURN</f>
        <v>1.5107682834171793E-3</v>
      </c>
      <c r="E38" s="115">
        <f>TR2_PORTFOLIO_TARGET_RETURN</f>
        <v>3.1643092274359825E-3</v>
      </c>
      <c r="F38" s="115">
        <f>TR3_PORTFOLIO_TARGET_RETURN</f>
        <v>4.8178501714547855E-3</v>
      </c>
      <c r="G38" s="115">
        <f>TR4_PORTFOLIO_TARGET_RETURN</f>
        <v>6.4713911154735881E-3</v>
      </c>
      <c r="H38" s="115">
        <f>TR5_PORTFOLIO_TARGET_RETURN</f>
        <v>8.1249320594923916E-3</v>
      </c>
      <c r="I38" s="115">
        <f>TR6_PORTFOLIO_TARGET_RETURN</f>
        <v>9.7784730035111959E-3</v>
      </c>
      <c r="J38" s="115">
        <f>TR7_PORTFOLIO_TARGET_RETURN</f>
        <v>1.1432013947529998E-2</v>
      </c>
      <c r="K38" s="115">
        <f>TR8_PORTFOLIO_TARGET_RETURN</f>
        <v>1.3085554891548801E-2</v>
      </c>
      <c r="L38" s="115">
        <f>TR9_PORTFOLIO_TARGET_RETURN</f>
        <v>1.4739095835567604E-2</v>
      </c>
      <c r="M38" s="115">
        <f>TR10_PORTFOLIO_TARGET_RETURN</f>
        <v>1.6392636779586404E-2</v>
      </c>
      <c r="N38" s="115">
        <f>TR11_PORTFOLIO_TARGET_RETURN</f>
        <v>1.8046177723605207E-2</v>
      </c>
      <c r="O38" s="115">
        <f>TR12_PORTFOLIO_TARGET_RETURN</f>
        <v>1.9699718667624013E-2</v>
      </c>
      <c r="P38" s="115">
        <f>TR13_PORTFOLIO_TARGET_RETURN</f>
        <v>2.1353259611642816E-2</v>
      </c>
      <c r="Q38" s="115">
        <f>TR14_PORTFOLIO_TARGET_RETURN</f>
        <v>2.3006800555661618E-2</v>
      </c>
      <c r="R38" s="116">
        <f>MAX_PORTFOLIO_TARGET_RETURN</f>
        <v>2.4660341499680421E-2</v>
      </c>
      <c r="T38" t="s">
        <v>100</v>
      </c>
      <c r="U38" s="115">
        <f>TEST_PORTFOLIO_EXPECTED_RETURN</f>
        <v>8.0624481090666202E-3</v>
      </c>
      <c r="V38" s="116">
        <f>RISK_FREE_RATE</f>
        <v>3.4715593006939827E-5</v>
      </c>
      <c r="W38" s="115">
        <f>TANGENCY_EXPECTED_RETURN</f>
        <v>2.109086175135555E-2</v>
      </c>
      <c r="X38" s="116">
        <f>X39*((W38-V38)/(W39-V39))+V38</f>
        <v>8.1256424067054824E-3</v>
      </c>
    </row>
    <row r="39" spans="2:24" x14ac:dyDescent="0.25">
      <c r="B39" s="90" t="s">
        <v>62</v>
      </c>
      <c r="C39" s="117">
        <f>MIN_PORTFOLIO_STANDARD_DEVIATION</f>
        <v>5.7984589725615016E-2</v>
      </c>
      <c r="D39" s="117">
        <f>TR1_PORTFOLIO_STANDARD_DEVIATION</f>
        <v>3.1000333088606221E-2</v>
      </c>
      <c r="E39" s="117">
        <f>TR2_PORTFOLIO_STANDARD_DEVIATION</f>
        <v>2.6879543108941622E-2</v>
      </c>
      <c r="F39" s="117">
        <f>TR3_PORTFOLIO_STANDARD_DEVIATION</f>
        <v>2.497978107366406E-2</v>
      </c>
      <c r="G39" s="117">
        <f>TR4_PORTFOLIO_STANDARD_DEVIATION</f>
        <v>2.4167887080059302E-2</v>
      </c>
      <c r="H39" s="117">
        <f>TR5_PORTFOLIO_STANDARD_DEVIATION</f>
        <v>2.3748092739768186E-2</v>
      </c>
      <c r="I39" s="117">
        <f>TR6_PORTFOLIO_STANDARD_DEVIATION</f>
        <v>2.3620557242974804E-2</v>
      </c>
      <c r="J39" s="117">
        <f>TR7_PORTFOLIO_STANDARD_DEVIATION</f>
        <v>2.3814409336992921E-2</v>
      </c>
      <c r="K39" s="118">
        <f>TR8_PORTFOLIO_STANDARD_DEVIATION</f>
        <v>2.4340777809514259E-2</v>
      </c>
      <c r="L39" s="117">
        <f>TR9_PORTFOLIO_STANDARD_DEVIATION</f>
        <v>2.5160169443716199E-2</v>
      </c>
      <c r="M39" s="117">
        <f>TR10_PORTFOLIO_STANDARD_DEVIATION</f>
        <v>2.6290798268936693E-2</v>
      </c>
      <c r="N39" s="117">
        <f>TR11_PORTFOLIO_STANDARD_DEVIATION</f>
        <v>2.7733300714895551E-2</v>
      </c>
      <c r="O39" s="117">
        <f>TR12_PORTFOLIO_STANDARD_DEVIATION</f>
        <v>2.9446330751584631E-2</v>
      </c>
      <c r="P39" s="117">
        <f>TR13_PORTFOLIO_STANDARD_DEVIATION</f>
        <v>3.1628589172916062E-2</v>
      </c>
      <c r="Q39" s="117">
        <f>TR14_PORTFOLIO_STANDARD_DEVIATION</f>
        <v>3.5013523017094816E-2</v>
      </c>
      <c r="R39" s="119">
        <f>MAX_PORTFOLIO_STANDARD_DEVIATION</f>
        <v>4.4258356674856308E-2</v>
      </c>
      <c r="T39" t="s">
        <v>99</v>
      </c>
      <c r="U39" s="117">
        <f>TEST_PORTFOLIO_STANDARD_DEVIATION</f>
        <v>3.2951741381269814E-2</v>
      </c>
      <c r="V39" s="119">
        <v>0</v>
      </c>
      <c r="W39" s="117">
        <f>TANGENCY_STANDARD_DEVIATION</f>
        <v>3.1229271963304352E-2</v>
      </c>
      <c r="X39" s="119">
        <v>1.2E-2</v>
      </c>
    </row>
    <row r="40" spans="2:24" x14ac:dyDescent="0.25">
      <c r="C40" s="122" t="s">
        <v>69</v>
      </c>
      <c r="D40" s="123" t="s">
        <v>69</v>
      </c>
      <c r="E40" s="123" t="s">
        <v>69</v>
      </c>
      <c r="F40" s="123" t="s">
        <v>69</v>
      </c>
      <c r="G40" s="123" t="s">
        <v>69</v>
      </c>
      <c r="H40" s="123" t="s">
        <v>69</v>
      </c>
      <c r="I40" s="123" t="s">
        <v>69</v>
      </c>
      <c r="J40" s="123" t="s">
        <v>69</v>
      </c>
      <c r="K40" s="123" t="s">
        <v>69</v>
      </c>
      <c r="L40" s="123" t="s">
        <v>69</v>
      </c>
      <c r="M40" s="123" t="s">
        <v>69</v>
      </c>
      <c r="N40" s="123" t="s">
        <v>69</v>
      </c>
      <c r="O40" s="123" t="s">
        <v>69</v>
      </c>
      <c r="P40" s="123" t="s">
        <v>69</v>
      </c>
      <c r="Q40" s="123" t="s">
        <v>69</v>
      </c>
      <c r="R40" s="124" t="s">
        <v>69</v>
      </c>
      <c r="U40" s="123" t="s">
        <v>69</v>
      </c>
      <c r="V40" s="141"/>
      <c r="W40" s="123" t="s">
        <v>69</v>
      </c>
      <c r="X40" s="143"/>
    </row>
    <row r="41" spans="2:24" x14ac:dyDescent="0.25">
      <c r="B41" s="84" t="s">
        <v>5</v>
      </c>
      <c r="C41" s="125">
        <f t="array" ref="C41:C69">MIN_PORTFOLIO_WEIGHTS</f>
        <v>0</v>
      </c>
      <c r="D41" s="126">
        <f t="array" ref="D41:D69">TR1_PORTFOLIO_WEIGHTS</f>
        <v>0</v>
      </c>
      <c r="E41" s="126">
        <f t="array" ref="E41:E69">TR2_PORTFOLIO_WEIGHTS</f>
        <v>0</v>
      </c>
      <c r="F41" s="126">
        <f t="array" ref="F41:F69">TR3_PORTFOLIO_WEIGHTS</f>
        <v>0</v>
      </c>
      <c r="G41" s="126">
        <f t="array" ref="G41:G69">TR4_PORTFOLIO_WEIGHTS</f>
        <v>0</v>
      </c>
      <c r="H41" s="126">
        <f t="array" ref="H41:H69">TR5_PORTFOLIO_WEIGHTS</f>
        <v>0</v>
      </c>
      <c r="I41" s="127">
        <f t="array" ref="I41:I69">TR6_PORTFOLIO_WEIGHTS</f>
        <v>0</v>
      </c>
      <c r="J41" s="126">
        <f t="array" ref="J41:J69">TR7_PORTFOLIO_WEIGHTS</f>
        <v>0</v>
      </c>
      <c r="K41" s="127">
        <f t="array" ref="K41:K69">TR8_PORTFOLIO_WEIGHTS</f>
        <v>0</v>
      </c>
      <c r="L41" s="126">
        <f t="array" ref="L41:L69">TR9_PORTFOLIO_WEIGHTS</f>
        <v>8.6490893779322068E-3</v>
      </c>
      <c r="M41" s="126">
        <f t="array" ref="M41:M69">TR10_PORTFOLIO_WEIGHTS</f>
        <v>1.6704250109755226E-2</v>
      </c>
      <c r="N41" s="126">
        <f t="array" ref="N41:N69">TR11_PORTFOLIO_WEIGHTS</f>
        <v>2.5016529097606377E-2</v>
      </c>
      <c r="O41" s="126">
        <f t="array" ref="O41:O69">TR12_PORTFOLIO_WEIGHTS</f>
        <v>3.5459714937614656E-2</v>
      </c>
      <c r="P41" s="126">
        <f t="array" ref="P41:P69">TR13_PORTFOLIO_WEIGHTS</f>
        <v>5.3998702941837701E-2</v>
      </c>
      <c r="Q41" s="126">
        <f t="array" ref="Q41:Q69">TR14_PORTFOLIO_WEIGHTS</f>
        <v>6.9581773541058434E-2</v>
      </c>
      <c r="R41" s="128">
        <f t="array" ref="R41:R69">MAX_PORTFOLIO_WEIGHTS</f>
        <v>0</v>
      </c>
      <c r="T41" s="84" t="s">
        <v>5</v>
      </c>
      <c r="U41" s="138">
        <f t="shared" ref="U41:U69" si="1">E79</f>
        <v>0</v>
      </c>
      <c r="V41" s="146"/>
      <c r="W41" s="126">
        <f t="shared" ref="W41:W69" si="2">E725</f>
        <v>5.0997964978954605E-2</v>
      </c>
      <c r="X41" s="149"/>
    </row>
    <row r="42" spans="2:24" x14ac:dyDescent="0.25">
      <c r="B42" s="85" t="s">
        <v>6</v>
      </c>
      <c r="C42" s="129">
        <v>0</v>
      </c>
      <c r="D42" s="130">
        <v>0</v>
      </c>
      <c r="E42" s="130">
        <v>1.5890203525050902E-3</v>
      </c>
      <c r="F42" s="130">
        <v>1.2945839996603216E-2</v>
      </c>
      <c r="G42" s="130">
        <v>1.1891258759605146E-2</v>
      </c>
      <c r="H42" s="130">
        <v>3.4674276153306345E-3</v>
      </c>
      <c r="I42" s="131">
        <v>0</v>
      </c>
      <c r="J42" s="130">
        <v>0</v>
      </c>
      <c r="K42" s="131">
        <v>0</v>
      </c>
      <c r="L42" s="130">
        <v>0</v>
      </c>
      <c r="M42" s="130">
        <v>0</v>
      </c>
      <c r="N42" s="130">
        <v>0</v>
      </c>
      <c r="O42" s="130">
        <v>0</v>
      </c>
      <c r="P42" s="130">
        <v>0</v>
      </c>
      <c r="Q42" s="130">
        <v>0</v>
      </c>
      <c r="R42" s="132">
        <v>0</v>
      </c>
      <c r="T42" s="85" t="s">
        <v>6</v>
      </c>
      <c r="U42" s="139">
        <f t="shared" si="1"/>
        <v>0</v>
      </c>
      <c r="V42" s="147"/>
      <c r="W42" s="130">
        <f t="shared" si="2"/>
        <v>0</v>
      </c>
      <c r="X42" s="150"/>
    </row>
    <row r="43" spans="2:24" x14ac:dyDescent="0.25">
      <c r="B43" s="85" t="s">
        <v>7</v>
      </c>
      <c r="C43" s="129">
        <v>0</v>
      </c>
      <c r="D43" s="130">
        <v>0</v>
      </c>
      <c r="E43" s="130">
        <v>0</v>
      </c>
      <c r="F43" s="130">
        <v>0</v>
      </c>
      <c r="G43" s="130">
        <v>0</v>
      </c>
      <c r="H43" s="130">
        <v>0</v>
      </c>
      <c r="I43" s="131">
        <v>0</v>
      </c>
      <c r="J43" s="130">
        <v>0</v>
      </c>
      <c r="K43" s="131">
        <v>0</v>
      </c>
      <c r="L43" s="130">
        <v>0</v>
      </c>
      <c r="M43" s="130">
        <v>0</v>
      </c>
      <c r="N43" s="130">
        <v>0</v>
      </c>
      <c r="O43" s="130">
        <v>0</v>
      </c>
      <c r="P43" s="130">
        <v>0</v>
      </c>
      <c r="Q43" s="130">
        <v>0</v>
      </c>
      <c r="R43" s="132">
        <v>0</v>
      </c>
      <c r="T43" s="85" t="s">
        <v>7</v>
      </c>
      <c r="U43" s="139">
        <f t="shared" si="1"/>
        <v>0</v>
      </c>
      <c r="V43" s="147"/>
      <c r="W43" s="130">
        <f t="shared" si="2"/>
        <v>0</v>
      </c>
      <c r="X43" s="150"/>
    </row>
    <row r="44" spans="2:24" x14ac:dyDescent="0.25">
      <c r="B44" s="85" t="s">
        <v>8</v>
      </c>
      <c r="C44" s="129">
        <v>0</v>
      </c>
      <c r="D44" s="130">
        <v>0</v>
      </c>
      <c r="E44" s="130">
        <v>0</v>
      </c>
      <c r="F44" s="130">
        <v>0</v>
      </c>
      <c r="G44" s="130">
        <v>0</v>
      </c>
      <c r="H44" s="130">
        <v>0</v>
      </c>
      <c r="I44" s="131">
        <v>0</v>
      </c>
      <c r="J44" s="130">
        <v>0</v>
      </c>
      <c r="K44" s="131">
        <v>0</v>
      </c>
      <c r="L44" s="130">
        <v>0</v>
      </c>
      <c r="M44" s="130">
        <v>0</v>
      </c>
      <c r="N44" s="130">
        <v>0</v>
      </c>
      <c r="O44" s="130">
        <v>0</v>
      </c>
      <c r="P44" s="130">
        <v>0</v>
      </c>
      <c r="Q44" s="130">
        <v>0</v>
      </c>
      <c r="R44" s="132">
        <v>0</v>
      </c>
      <c r="T44" s="85" t="s">
        <v>8</v>
      </c>
      <c r="U44" s="139">
        <f t="shared" si="1"/>
        <v>0</v>
      </c>
      <c r="V44" s="147"/>
      <c r="W44" s="130">
        <f t="shared" si="2"/>
        <v>0</v>
      </c>
      <c r="X44" s="150"/>
    </row>
    <row r="45" spans="2:24" x14ac:dyDescent="0.25">
      <c r="B45" s="85" t="s">
        <v>9</v>
      </c>
      <c r="C45" s="129">
        <v>0</v>
      </c>
      <c r="D45" s="130">
        <v>0</v>
      </c>
      <c r="E45" s="130">
        <v>0</v>
      </c>
      <c r="F45" s="130">
        <v>0</v>
      </c>
      <c r="G45" s="130">
        <v>0</v>
      </c>
      <c r="H45" s="130">
        <v>0</v>
      </c>
      <c r="I45" s="131">
        <v>0</v>
      </c>
      <c r="J45" s="130">
        <v>0</v>
      </c>
      <c r="K45" s="131">
        <v>0</v>
      </c>
      <c r="L45" s="130">
        <v>0</v>
      </c>
      <c r="M45" s="130">
        <v>0</v>
      </c>
      <c r="N45" s="130">
        <v>0</v>
      </c>
      <c r="O45" s="130">
        <v>0</v>
      </c>
      <c r="P45" s="130">
        <v>0</v>
      </c>
      <c r="Q45" s="130">
        <v>0</v>
      </c>
      <c r="R45" s="132">
        <v>0</v>
      </c>
      <c r="T45" s="85" t="s">
        <v>9</v>
      </c>
      <c r="U45" s="139">
        <f t="shared" si="1"/>
        <v>0</v>
      </c>
      <c r="V45" s="147"/>
      <c r="W45" s="130">
        <f t="shared" si="2"/>
        <v>0</v>
      </c>
      <c r="X45" s="150"/>
    </row>
    <row r="46" spans="2:24" x14ac:dyDescent="0.25">
      <c r="B46" s="85" t="s">
        <v>10</v>
      </c>
      <c r="C46" s="129">
        <v>0</v>
      </c>
      <c r="D46" s="130">
        <v>0</v>
      </c>
      <c r="E46" s="130">
        <v>0</v>
      </c>
      <c r="F46" s="130">
        <v>0</v>
      </c>
      <c r="G46" s="130">
        <v>0</v>
      </c>
      <c r="H46" s="130">
        <v>0</v>
      </c>
      <c r="I46" s="131">
        <v>0</v>
      </c>
      <c r="J46" s="130">
        <v>0</v>
      </c>
      <c r="K46" s="131">
        <v>0</v>
      </c>
      <c r="L46" s="130">
        <v>0</v>
      </c>
      <c r="M46" s="130">
        <v>0</v>
      </c>
      <c r="N46" s="130">
        <v>0</v>
      </c>
      <c r="O46" s="130">
        <v>0</v>
      </c>
      <c r="P46" s="130">
        <v>0</v>
      </c>
      <c r="Q46" s="130">
        <v>0</v>
      </c>
      <c r="R46" s="132">
        <v>0</v>
      </c>
      <c r="T46" s="85" t="s">
        <v>10</v>
      </c>
      <c r="U46" s="139">
        <f t="shared" si="1"/>
        <v>0</v>
      </c>
      <c r="V46" s="147"/>
      <c r="W46" s="130">
        <f t="shared" si="2"/>
        <v>0</v>
      </c>
      <c r="X46" s="150"/>
    </row>
    <row r="47" spans="2:24" x14ac:dyDescent="0.25">
      <c r="B47" s="85" t="s">
        <v>11</v>
      </c>
      <c r="C47" s="129">
        <v>0</v>
      </c>
      <c r="D47" s="130">
        <v>0</v>
      </c>
      <c r="E47" s="130">
        <v>0</v>
      </c>
      <c r="F47" s="130">
        <v>0</v>
      </c>
      <c r="G47" s="130">
        <v>0</v>
      </c>
      <c r="H47" s="130">
        <v>0</v>
      </c>
      <c r="I47" s="131">
        <v>0</v>
      </c>
      <c r="J47" s="130">
        <v>0</v>
      </c>
      <c r="K47" s="131">
        <v>0</v>
      </c>
      <c r="L47" s="130">
        <v>0</v>
      </c>
      <c r="M47" s="130">
        <v>0</v>
      </c>
      <c r="N47" s="130">
        <v>0</v>
      </c>
      <c r="O47" s="130">
        <v>0</v>
      </c>
      <c r="P47" s="130">
        <v>0</v>
      </c>
      <c r="Q47" s="130">
        <v>0</v>
      </c>
      <c r="R47" s="132">
        <v>0</v>
      </c>
      <c r="T47" s="85" t="s">
        <v>11</v>
      </c>
      <c r="U47" s="139">
        <f t="shared" si="1"/>
        <v>0</v>
      </c>
      <c r="V47" s="147"/>
      <c r="W47" s="130">
        <f t="shared" si="2"/>
        <v>0</v>
      </c>
      <c r="X47" s="150"/>
    </row>
    <row r="48" spans="2:24" x14ac:dyDescent="0.25">
      <c r="B48" s="85" t="s">
        <v>12</v>
      </c>
      <c r="C48" s="129">
        <v>0</v>
      </c>
      <c r="D48" s="130">
        <v>0</v>
      </c>
      <c r="E48" s="130">
        <v>0</v>
      </c>
      <c r="F48" s="130">
        <v>0</v>
      </c>
      <c r="G48" s="130">
        <v>0</v>
      </c>
      <c r="H48" s="130">
        <v>0</v>
      </c>
      <c r="I48" s="131">
        <v>0</v>
      </c>
      <c r="J48" s="130">
        <v>0</v>
      </c>
      <c r="K48" s="131">
        <v>0</v>
      </c>
      <c r="L48" s="130">
        <v>0</v>
      </c>
      <c r="M48" s="130">
        <v>0</v>
      </c>
      <c r="N48" s="130">
        <v>0</v>
      </c>
      <c r="O48" s="130">
        <v>0</v>
      </c>
      <c r="P48" s="130">
        <v>0</v>
      </c>
      <c r="Q48" s="130">
        <v>0</v>
      </c>
      <c r="R48" s="132">
        <v>0</v>
      </c>
      <c r="T48" s="85" t="s">
        <v>12</v>
      </c>
      <c r="U48" s="139">
        <f t="shared" si="1"/>
        <v>0</v>
      </c>
      <c r="V48" s="147"/>
      <c r="W48" s="130">
        <f t="shared" si="2"/>
        <v>0</v>
      </c>
      <c r="X48" s="150"/>
    </row>
    <row r="49" spans="2:24" x14ac:dyDescent="0.25">
      <c r="B49" s="85" t="s">
        <v>13</v>
      </c>
      <c r="C49" s="129">
        <v>0</v>
      </c>
      <c r="D49" s="130">
        <v>0</v>
      </c>
      <c r="E49" s="130">
        <v>0</v>
      </c>
      <c r="F49" s="130">
        <v>0</v>
      </c>
      <c r="G49" s="130">
        <v>0</v>
      </c>
      <c r="H49" s="130">
        <v>0</v>
      </c>
      <c r="I49" s="131">
        <v>0</v>
      </c>
      <c r="J49" s="130">
        <v>0</v>
      </c>
      <c r="K49" s="131">
        <v>0</v>
      </c>
      <c r="L49" s="130">
        <v>0</v>
      </c>
      <c r="M49" s="130">
        <v>0</v>
      </c>
      <c r="N49" s="130">
        <v>0</v>
      </c>
      <c r="O49" s="130">
        <v>0</v>
      </c>
      <c r="P49" s="130">
        <v>0</v>
      </c>
      <c r="Q49" s="130">
        <v>0</v>
      </c>
      <c r="R49" s="132">
        <v>0</v>
      </c>
      <c r="T49" s="85" t="s">
        <v>13</v>
      </c>
      <c r="U49" s="139">
        <f t="shared" si="1"/>
        <v>0</v>
      </c>
      <c r="V49" s="147"/>
      <c r="W49" s="130">
        <f t="shared" si="2"/>
        <v>0</v>
      </c>
      <c r="X49" s="150"/>
    </row>
    <row r="50" spans="2:24" x14ac:dyDescent="0.25">
      <c r="B50" s="85" t="s">
        <v>14</v>
      </c>
      <c r="C50" s="129">
        <v>0</v>
      </c>
      <c r="D50" s="130">
        <v>0</v>
      </c>
      <c r="E50" s="130">
        <v>0</v>
      </c>
      <c r="F50" s="130">
        <v>0</v>
      </c>
      <c r="G50" s="130">
        <v>0</v>
      </c>
      <c r="H50" s="130">
        <v>0</v>
      </c>
      <c r="I50" s="131">
        <v>0</v>
      </c>
      <c r="J50" s="130">
        <v>0</v>
      </c>
      <c r="K50" s="131">
        <v>0</v>
      </c>
      <c r="L50" s="130">
        <v>0</v>
      </c>
      <c r="M50" s="130">
        <v>0</v>
      </c>
      <c r="N50" s="130">
        <v>0</v>
      </c>
      <c r="O50" s="130">
        <v>0</v>
      </c>
      <c r="P50" s="130">
        <v>0</v>
      </c>
      <c r="Q50" s="130">
        <v>0</v>
      </c>
      <c r="R50" s="132">
        <v>0</v>
      </c>
      <c r="T50" s="85" t="s">
        <v>14</v>
      </c>
      <c r="U50" s="139">
        <f t="shared" si="1"/>
        <v>0.125</v>
      </c>
      <c r="V50" s="147"/>
      <c r="W50" s="130">
        <f t="shared" si="2"/>
        <v>0</v>
      </c>
      <c r="X50" s="150"/>
    </row>
    <row r="51" spans="2:24" x14ac:dyDescent="0.25">
      <c r="B51" s="85" t="s">
        <v>15</v>
      </c>
      <c r="C51" s="129">
        <v>0</v>
      </c>
      <c r="D51" s="130">
        <v>0</v>
      </c>
      <c r="E51" s="130">
        <v>0</v>
      </c>
      <c r="F51" s="130">
        <v>0</v>
      </c>
      <c r="G51" s="130">
        <v>0</v>
      </c>
      <c r="H51" s="130">
        <v>1.9918146941336735E-2</v>
      </c>
      <c r="I51" s="131">
        <v>4.4929678969355166E-2</v>
      </c>
      <c r="J51" s="130">
        <v>6.7134220107278472E-2</v>
      </c>
      <c r="K51" s="131">
        <v>8.7348869854535729E-2</v>
      </c>
      <c r="L51" s="130">
        <v>9.413580017513741E-2</v>
      </c>
      <c r="M51" s="130">
        <v>9.8522056856095303E-2</v>
      </c>
      <c r="N51" s="130">
        <v>0.10285500054989156</v>
      </c>
      <c r="O51" s="130">
        <v>0.10365731082850843</v>
      </c>
      <c r="P51" s="130">
        <v>0.10627380432735896</v>
      </c>
      <c r="Q51" s="130">
        <v>2.0818526243989069E-2</v>
      </c>
      <c r="R51" s="132">
        <v>0</v>
      </c>
      <c r="T51" s="85" t="s">
        <v>15</v>
      </c>
      <c r="U51" s="139">
        <f t="shared" si="1"/>
        <v>0</v>
      </c>
      <c r="V51" s="147"/>
      <c r="W51" s="130">
        <f t="shared" si="2"/>
        <v>0.10583100891915602</v>
      </c>
      <c r="X51" s="150"/>
    </row>
    <row r="52" spans="2:24" x14ac:dyDescent="0.25">
      <c r="B52" s="85" t="s">
        <v>16</v>
      </c>
      <c r="C52" s="129">
        <v>0.99999999999999967</v>
      </c>
      <c r="D52" s="130">
        <v>0.18032940886033386</v>
      </c>
      <c r="E52" s="130">
        <v>9.5775520743399539E-2</v>
      </c>
      <c r="F52" s="130">
        <v>5.8858693803468053E-2</v>
      </c>
      <c r="G52" s="130">
        <v>3.3095981549602214E-2</v>
      </c>
      <c r="H52" s="130">
        <v>1.8160327584730084E-2</v>
      </c>
      <c r="I52" s="131">
        <v>5.2334655432905678E-4</v>
      </c>
      <c r="J52" s="130">
        <v>0</v>
      </c>
      <c r="K52" s="131">
        <v>0</v>
      </c>
      <c r="L52" s="130">
        <v>0</v>
      </c>
      <c r="M52" s="130">
        <v>0</v>
      </c>
      <c r="N52" s="130">
        <v>0</v>
      </c>
      <c r="O52" s="130">
        <v>0</v>
      </c>
      <c r="P52" s="130">
        <v>0</v>
      </c>
      <c r="Q52" s="130">
        <v>0</v>
      </c>
      <c r="R52" s="132">
        <v>0</v>
      </c>
      <c r="T52" s="85" t="s">
        <v>16</v>
      </c>
      <c r="U52" s="139">
        <f t="shared" si="1"/>
        <v>0</v>
      </c>
      <c r="V52" s="147"/>
      <c r="W52" s="130">
        <f t="shared" si="2"/>
        <v>0</v>
      </c>
      <c r="X52" s="150"/>
    </row>
    <row r="53" spans="2:24" x14ac:dyDescent="0.25">
      <c r="B53" s="85" t="s">
        <v>17</v>
      </c>
      <c r="C53" s="129">
        <v>0</v>
      </c>
      <c r="D53" s="130">
        <v>0</v>
      </c>
      <c r="E53" s="130">
        <v>0</v>
      </c>
      <c r="F53" s="130">
        <v>0</v>
      </c>
      <c r="G53" s="130">
        <v>0</v>
      </c>
      <c r="H53" s="130">
        <v>0</v>
      </c>
      <c r="I53" s="131">
        <v>0</v>
      </c>
      <c r="J53" s="130">
        <v>0</v>
      </c>
      <c r="K53" s="131">
        <v>0</v>
      </c>
      <c r="L53" s="130">
        <v>0</v>
      </c>
      <c r="M53" s="130">
        <v>0</v>
      </c>
      <c r="N53" s="130">
        <v>0</v>
      </c>
      <c r="O53" s="130">
        <v>0</v>
      </c>
      <c r="P53" s="130">
        <v>0</v>
      </c>
      <c r="Q53" s="130">
        <v>0</v>
      </c>
      <c r="R53" s="132">
        <v>0</v>
      </c>
      <c r="T53" s="85" t="s">
        <v>17</v>
      </c>
      <c r="U53" s="139">
        <f t="shared" si="1"/>
        <v>0</v>
      </c>
      <c r="V53" s="147"/>
      <c r="W53" s="130">
        <f t="shared" si="2"/>
        <v>0</v>
      </c>
      <c r="X53" s="150"/>
    </row>
    <row r="54" spans="2:24" x14ac:dyDescent="0.25">
      <c r="B54" s="85" t="s">
        <v>18</v>
      </c>
      <c r="C54" s="129">
        <v>0</v>
      </c>
      <c r="D54" s="130">
        <v>0</v>
      </c>
      <c r="E54" s="130">
        <v>0</v>
      </c>
      <c r="F54" s="130">
        <v>0</v>
      </c>
      <c r="G54" s="130">
        <v>0</v>
      </c>
      <c r="H54" s="130">
        <v>0</v>
      </c>
      <c r="I54" s="131">
        <v>0</v>
      </c>
      <c r="J54" s="130">
        <v>0</v>
      </c>
      <c r="K54" s="131">
        <v>0</v>
      </c>
      <c r="L54" s="130">
        <v>3.9199052939474469E-2</v>
      </c>
      <c r="M54" s="130">
        <v>7.7884864471724491E-2</v>
      </c>
      <c r="N54" s="130">
        <v>0.11779176814400634</v>
      </c>
      <c r="O54" s="130">
        <v>0.14638825253056284</v>
      </c>
      <c r="P54" s="130">
        <v>5.2394475039689026E-2</v>
      </c>
      <c r="Q54" s="130">
        <v>0</v>
      </c>
      <c r="R54" s="132">
        <v>0</v>
      </c>
      <c r="T54" s="85" t="s">
        <v>18</v>
      </c>
      <c r="U54" s="139">
        <f t="shared" si="1"/>
        <v>0</v>
      </c>
      <c r="V54" s="147"/>
      <c r="W54" s="130">
        <f t="shared" si="2"/>
        <v>7.3676561040445454E-2</v>
      </c>
      <c r="X54" s="150"/>
    </row>
    <row r="55" spans="2:24" x14ac:dyDescent="0.25">
      <c r="B55" s="85" t="s">
        <v>19</v>
      </c>
      <c r="C55" s="129">
        <v>0</v>
      </c>
      <c r="D55" s="130">
        <v>0</v>
      </c>
      <c r="E55" s="130">
        <v>0</v>
      </c>
      <c r="F55" s="130">
        <v>0</v>
      </c>
      <c r="G55" s="130">
        <v>0</v>
      </c>
      <c r="H55" s="130">
        <v>0</v>
      </c>
      <c r="I55" s="131">
        <v>0</v>
      </c>
      <c r="J55" s="130">
        <v>0</v>
      </c>
      <c r="K55" s="131">
        <v>0</v>
      </c>
      <c r="L55" s="130">
        <v>0</v>
      </c>
      <c r="M55" s="130">
        <v>0</v>
      </c>
      <c r="N55" s="130">
        <v>0</v>
      </c>
      <c r="O55" s="130">
        <v>0</v>
      </c>
      <c r="P55" s="130">
        <v>0</v>
      </c>
      <c r="Q55" s="130">
        <v>0</v>
      </c>
      <c r="R55" s="132">
        <v>0</v>
      </c>
      <c r="T55" s="85" t="s">
        <v>19</v>
      </c>
      <c r="U55" s="139">
        <f t="shared" si="1"/>
        <v>0</v>
      </c>
      <c r="V55" s="147"/>
      <c r="W55" s="130">
        <f t="shared" si="2"/>
        <v>0</v>
      </c>
      <c r="X55" s="150"/>
    </row>
    <row r="56" spans="2:24" x14ac:dyDescent="0.25">
      <c r="B56" s="85" t="s">
        <v>20</v>
      </c>
      <c r="C56" s="129">
        <v>0</v>
      </c>
      <c r="D56" s="130">
        <v>3.4754878881345368E-2</v>
      </c>
      <c r="E56" s="130">
        <v>0.18509549731773373</v>
      </c>
      <c r="F56" s="130">
        <v>0.10237545720480244</v>
      </c>
      <c r="G56" s="130">
        <v>6.8320116931708239E-2</v>
      </c>
      <c r="H56" s="130">
        <v>6.8625035238865095E-2</v>
      </c>
      <c r="I56" s="131">
        <v>6.7483188462791666E-2</v>
      </c>
      <c r="J56" s="130">
        <v>6.0882583661481728E-2</v>
      </c>
      <c r="K56" s="131">
        <v>5.0385106274887362E-2</v>
      </c>
      <c r="L56" s="130">
        <v>5.4589381911018591E-3</v>
      </c>
      <c r="M56" s="130">
        <v>0</v>
      </c>
      <c r="N56" s="130">
        <v>0</v>
      </c>
      <c r="O56" s="130">
        <v>0</v>
      </c>
      <c r="P56" s="130">
        <v>0</v>
      </c>
      <c r="Q56" s="130">
        <v>0</v>
      </c>
      <c r="R56" s="132">
        <v>0</v>
      </c>
      <c r="T56" s="85" t="s">
        <v>20</v>
      </c>
      <c r="U56" s="139">
        <f t="shared" si="1"/>
        <v>0</v>
      </c>
      <c r="V56" s="147"/>
      <c r="W56" s="130">
        <f t="shared" si="2"/>
        <v>0</v>
      </c>
      <c r="X56" s="150"/>
    </row>
    <row r="57" spans="2:24" x14ac:dyDescent="0.25">
      <c r="B57" s="85" t="s">
        <v>21</v>
      </c>
      <c r="C57" s="129">
        <v>0</v>
      </c>
      <c r="D57" s="130">
        <v>0</v>
      </c>
      <c r="E57" s="130">
        <v>0</v>
      </c>
      <c r="F57" s="130">
        <v>6.3430901178793658E-2</v>
      </c>
      <c r="G57" s="130">
        <v>8.5461326487753939E-2</v>
      </c>
      <c r="H57" s="130">
        <v>8.3767928073632064E-2</v>
      </c>
      <c r="I57" s="131">
        <v>8.0714957398234505E-2</v>
      </c>
      <c r="J57" s="130">
        <v>7.9053042197518991E-2</v>
      </c>
      <c r="K57" s="131">
        <v>7.7748416408113669E-2</v>
      </c>
      <c r="L57" s="130">
        <v>6.9362662892110627E-2</v>
      </c>
      <c r="M57" s="130">
        <v>4.2230691919194784E-2</v>
      </c>
      <c r="N57" s="130">
        <v>1.3564596210741686E-2</v>
      </c>
      <c r="O57" s="130">
        <v>0</v>
      </c>
      <c r="P57" s="130">
        <v>0</v>
      </c>
      <c r="Q57" s="130">
        <v>0</v>
      </c>
      <c r="R57" s="132">
        <v>0</v>
      </c>
      <c r="T57" s="85" t="s">
        <v>21</v>
      </c>
      <c r="U57" s="139">
        <f t="shared" si="1"/>
        <v>0.125</v>
      </c>
      <c r="V57" s="147"/>
      <c r="W57" s="130">
        <f t="shared" si="2"/>
        <v>0</v>
      </c>
      <c r="X57" s="150"/>
    </row>
    <row r="58" spans="2:24" x14ac:dyDescent="0.25">
      <c r="B58" s="85" t="s">
        <v>4</v>
      </c>
      <c r="C58" s="129">
        <v>0</v>
      </c>
      <c r="D58" s="130">
        <v>0</v>
      </c>
      <c r="E58" s="130">
        <v>0</v>
      </c>
      <c r="F58" s="130">
        <v>0</v>
      </c>
      <c r="G58" s="130">
        <v>0</v>
      </c>
      <c r="H58" s="130">
        <v>0</v>
      </c>
      <c r="I58" s="131">
        <v>0</v>
      </c>
      <c r="J58" s="130">
        <v>0</v>
      </c>
      <c r="K58" s="131">
        <v>0</v>
      </c>
      <c r="L58" s="130">
        <v>0</v>
      </c>
      <c r="M58" s="130">
        <v>0</v>
      </c>
      <c r="N58" s="130">
        <v>0</v>
      </c>
      <c r="O58" s="130">
        <v>0</v>
      </c>
      <c r="P58" s="130">
        <v>0</v>
      </c>
      <c r="Q58" s="130">
        <v>0</v>
      </c>
      <c r="R58" s="132">
        <v>0</v>
      </c>
      <c r="T58" s="85" t="s">
        <v>4</v>
      </c>
      <c r="U58" s="139">
        <f t="shared" si="1"/>
        <v>0</v>
      </c>
      <c r="V58" s="147"/>
      <c r="W58" s="130">
        <f t="shared" si="2"/>
        <v>0</v>
      </c>
      <c r="X58" s="150"/>
    </row>
    <row r="59" spans="2:24" x14ac:dyDescent="0.25">
      <c r="B59" s="85" t="s">
        <v>22</v>
      </c>
      <c r="C59" s="129">
        <v>0</v>
      </c>
      <c r="D59" s="130">
        <v>0</v>
      </c>
      <c r="E59" s="130">
        <v>0</v>
      </c>
      <c r="F59" s="130">
        <v>0</v>
      </c>
      <c r="G59" s="130">
        <v>2.434987055286433E-2</v>
      </c>
      <c r="H59" s="130">
        <v>2.3503072698695546E-2</v>
      </c>
      <c r="I59" s="131">
        <v>2.2144359452158854E-2</v>
      </c>
      <c r="J59" s="130">
        <v>1.6725738885566426E-2</v>
      </c>
      <c r="K59" s="131">
        <v>1.023081404384002E-2</v>
      </c>
      <c r="L59" s="130">
        <v>0</v>
      </c>
      <c r="M59" s="130">
        <v>0</v>
      </c>
      <c r="N59" s="130">
        <v>0</v>
      </c>
      <c r="O59" s="130">
        <v>0</v>
      </c>
      <c r="P59" s="130">
        <v>0</v>
      </c>
      <c r="Q59" s="130">
        <v>0</v>
      </c>
      <c r="R59" s="132">
        <v>0</v>
      </c>
      <c r="T59" s="85" t="s">
        <v>22</v>
      </c>
      <c r="U59" s="139">
        <f t="shared" si="1"/>
        <v>0</v>
      </c>
      <c r="V59" s="147"/>
      <c r="W59" s="130">
        <f t="shared" si="2"/>
        <v>0</v>
      </c>
      <c r="X59" s="150"/>
    </row>
    <row r="60" spans="2:24" x14ac:dyDescent="0.25">
      <c r="B60" s="85" t="s">
        <v>23</v>
      </c>
      <c r="C60" s="129">
        <v>0</v>
      </c>
      <c r="D60" s="130">
        <v>0</v>
      </c>
      <c r="E60" s="130">
        <v>0</v>
      </c>
      <c r="F60" s="130">
        <v>0</v>
      </c>
      <c r="G60" s="130">
        <v>0</v>
      </c>
      <c r="H60" s="130">
        <v>0</v>
      </c>
      <c r="I60" s="131">
        <v>0</v>
      </c>
      <c r="J60" s="130">
        <v>0</v>
      </c>
      <c r="K60" s="131">
        <v>6.4567717335073755E-3</v>
      </c>
      <c r="L60" s="130">
        <v>2.9852601540973925E-2</v>
      </c>
      <c r="M60" s="130">
        <v>4.985641556892164E-2</v>
      </c>
      <c r="N60" s="130">
        <v>6.8851084227156661E-2</v>
      </c>
      <c r="O60" s="130">
        <v>8.4495566513298134E-2</v>
      </c>
      <c r="P60" s="130">
        <v>0.10863126043507117</v>
      </c>
      <c r="Q60" s="130">
        <v>0.15540551084711587</v>
      </c>
      <c r="R60" s="132">
        <v>0</v>
      </c>
      <c r="T60" s="85" t="s">
        <v>23</v>
      </c>
      <c r="U60" s="139">
        <f t="shared" si="1"/>
        <v>0</v>
      </c>
      <c r="V60" s="147"/>
      <c r="W60" s="130">
        <f t="shared" si="2"/>
        <v>0.10316367949975949</v>
      </c>
      <c r="X60" s="150"/>
    </row>
    <row r="61" spans="2:24" x14ac:dyDescent="0.25">
      <c r="B61" s="85" t="s">
        <v>24</v>
      </c>
      <c r="C61" s="129">
        <v>0</v>
      </c>
      <c r="D61" s="130">
        <v>0</v>
      </c>
      <c r="E61" s="130">
        <v>5.450347227731215E-2</v>
      </c>
      <c r="F61" s="130">
        <v>0.12519198580682944</v>
      </c>
      <c r="G61" s="130">
        <v>0.15133617017066284</v>
      </c>
      <c r="H61" s="130">
        <v>0.15369457808516046</v>
      </c>
      <c r="I61" s="131">
        <v>0.15344967576717156</v>
      </c>
      <c r="J61" s="130">
        <v>0.1528365080424256</v>
      </c>
      <c r="K61" s="131">
        <v>0.15171482443127224</v>
      </c>
      <c r="L61" s="130">
        <v>0.16002612549815395</v>
      </c>
      <c r="M61" s="130">
        <v>0.16725299283031431</v>
      </c>
      <c r="N61" s="130">
        <v>0.17429086101099123</v>
      </c>
      <c r="O61" s="130">
        <v>0.17960846091160171</v>
      </c>
      <c r="P61" s="130">
        <v>0.16824578600815188</v>
      </c>
      <c r="Q61" s="130">
        <v>9.4794463496476841E-2</v>
      </c>
      <c r="R61" s="132">
        <v>0</v>
      </c>
      <c r="T61" s="85" t="s">
        <v>24</v>
      </c>
      <c r="U61" s="139">
        <f t="shared" si="1"/>
        <v>0</v>
      </c>
      <c r="V61" s="147"/>
      <c r="W61" s="130">
        <f t="shared" si="2"/>
        <v>0.17088100886588656</v>
      </c>
      <c r="X61" s="150"/>
    </row>
    <row r="62" spans="2:24" x14ac:dyDescent="0.25">
      <c r="B62" s="85" t="s">
        <v>25</v>
      </c>
      <c r="C62" s="129">
        <v>0</v>
      </c>
      <c r="D62" s="130">
        <v>0</v>
      </c>
      <c r="E62" s="130">
        <v>0</v>
      </c>
      <c r="F62" s="130">
        <v>0</v>
      </c>
      <c r="G62" s="130">
        <v>0</v>
      </c>
      <c r="H62" s="130">
        <v>0</v>
      </c>
      <c r="I62" s="131">
        <v>0</v>
      </c>
      <c r="J62" s="130">
        <v>0</v>
      </c>
      <c r="K62" s="131">
        <v>0</v>
      </c>
      <c r="L62" s="130">
        <v>0</v>
      </c>
      <c r="M62" s="130">
        <v>0</v>
      </c>
      <c r="N62" s="130">
        <v>0</v>
      </c>
      <c r="O62" s="130">
        <v>0</v>
      </c>
      <c r="P62" s="130">
        <v>0</v>
      </c>
      <c r="Q62" s="130">
        <v>0</v>
      </c>
      <c r="R62" s="132">
        <v>0</v>
      </c>
      <c r="T62" s="85" t="s">
        <v>25</v>
      </c>
      <c r="U62" s="139">
        <f t="shared" si="1"/>
        <v>0</v>
      </c>
      <c r="V62" s="147"/>
      <c r="W62" s="130">
        <f t="shared" si="2"/>
        <v>0</v>
      </c>
      <c r="X62" s="150"/>
    </row>
    <row r="63" spans="2:24" x14ac:dyDescent="0.25">
      <c r="B63" s="85" t="s">
        <v>26</v>
      </c>
      <c r="C63" s="129">
        <v>0</v>
      </c>
      <c r="D63" s="130">
        <v>0</v>
      </c>
      <c r="E63" s="130">
        <v>0</v>
      </c>
      <c r="F63" s="130">
        <v>4.9531664034920653E-2</v>
      </c>
      <c r="G63" s="130">
        <v>8.4981481095290634E-2</v>
      </c>
      <c r="H63" s="130">
        <v>0.10084291432457984</v>
      </c>
      <c r="I63" s="131">
        <v>0.116350763416577</v>
      </c>
      <c r="J63" s="130">
        <v>0.13522767311821959</v>
      </c>
      <c r="K63" s="131">
        <v>0.14972242357725837</v>
      </c>
      <c r="L63" s="130">
        <v>0.11784543910418399</v>
      </c>
      <c r="M63" s="130">
        <v>7.7142798939081075E-2</v>
      </c>
      <c r="N63" s="130">
        <v>3.5334497441676542E-2</v>
      </c>
      <c r="O63" s="130">
        <v>0</v>
      </c>
      <c r="P63" s="130">
        <v>0</v>
      </c>
      <c r="Q63" s="130">
        <v>0</v>
      </c>
      <c r="R63" s="132">
        <v>0</v>
      </c>
      <c r="T63" s="85" t="s">
        <v>26</v>
      </c>
      <c r="U63" s="139">
        <f t="shared" si="1"/>
        <v>0</v>
      </c>
      <c r="V63" s="147"/>
      <c r="W63" s="130">
        <f t="shared" si="2"/>
        <v>0</v>
      </c>
      <c r="X63" s="150"/>
    </row>
    <row r="64" spans="2:24" x14ac:dyDescent="0.25">
      <c r="B64" s="85" t="s">
        <v>27</v>
      </c>
      <c r="C64" s="129">
        <v>0</v>
      </c>
      <c r="D64" s="130">
        <v>0</v>
      </c>
      <c r="E64" s="130">
        <v>0</v>
      </c>
      <c r="F64" s="130">
        <v>0</v>
      </c>
      <c r="G64" s="130">
        <v>3.2967124234980327E-2</v>
      </c>
      <c r="H64" s="130">
        <v>8.7907711704489438E-2</v>
      </c>
      <c r="I64" s="131">
        <v>0.1401925169213486</v>
      </c>
      <c r="J64" s="130">
        <v>0.19604792577690516</v>
      </c>
      <c r="K64" s="131">
        <v>0.2499187462402544</v>
      </c>
      <c r="L64" s="130">
        <v>0.28841962025999873</v>
      </c>
      <c r="M64" s="130">
        <v>0.33325751201369247</v>
      </c>
      <c r="N64" s="130">
        <v>0.37862494021469456</v>
      </c>
      <c r="O64" s="130">
        <v>0.42765583996405671</v>
      </c>
      <c r="P64" s="130">
        <v>0.51045597124789122</v>
      </c>
      <c r="Q64" s="130">
        <v>0.65939972587135975</v>
      </c>
      <c r="R64" s="132">
        <v>0.99999999999999978</v>
      </c>
      <c r="T64" s="85" t="s">
        <v>27</v>
      </c>
      <c r="U64" s="139">
        <f t="shared" si="1"/>
        <v>0</v>
      </c>
      <c r="V64" s="147"/>
      <c r="W64" s="130">
        <f t="shared" si="2"/>
        <v>0.49544977669579754</v>
      </c>
      <c r="X64" s="150"/>
    </row>
    <row r="65" spans="2:35" x14ac:dyDescent="0.25">
      <c r="B65" s="85" t="s">
        <v>28</v>
      </c>
      <c r="C65" s="129">
        <v>0</v>
      </c>
      <c r="D65" s="130">
        <v>0</v>
      </c>
      <c r="E65" s="130">
        <v>0</v>
      </c>
      <c r="F65" s="130">
        <v>0</v>
      </c>
      <c r="G65" s="130">
        <v>0</v>
      </c>
      <c r="H65" s="130">
        <v>0</v>
      </c>
      <c r="I65" s="131">
        <v>0</v>
      </c>
      <c r="J65" s="130">
        <v>0</v>
      </c>
      <c r="K65" s="131">
        <v>0</v>
      </c>
      <c r="L65" s="130">
        <v>0</v>
      </c>
      <c r="M65" s="130">
        <v>0</v>
      </c>
      <c r="N65" s="130">
        <v>0</v>
      </c>
      <c r="O65" s="130">
        <v>0</v>
      </c>
      <c r="P65" s="130">
        <v>0</v>
      </c>
      <c r="Q65" s="130">
        <v>0</v>
      </c>
      <c r="R65" s="132">
        <v>0</v>
      </c>
      <c r="T65" s="85" t="s">
        <v>28</v>
      </c>
      <c r="U65" s="139">
        <f t="shared" si="1"/>
        <v>0</v>
      </c>
      <c r="V65" s="147"/>
      <c r="W65" s="130">
        <f t="shared" si="2"/>
        <v>0</v>
      </c>
      <c r="X65" s="150"/>
    </row>
    <row r="66" spans="2:35" x14ac:dyDescent="0.25">
      <c r="B66" s="85" t="s">
        <v>29</v>
      </c>
      <c r="C66" s="129">
        <v>0</v>
      </c>
      <c r="D66" s="130">
        <v>7.0699819823669876E-3</v>
      </c>
      <c r="E66" s="130">
        <v>0.11617530899385012</v>
      </c>
      <c r="F66" s="130">
        <v>0.12236740023104571</v>
      </c>
      <c r="G66" s="130">
        <v>0.12008262743977896</v>
      </c>
      <c r="H66" s="130">
        <v>0.11460651697757128</v>
      </c>
      <c r="I66" s="131">
        <v>0.11079757204891995</v>
      </c>
      <c r="J66" s="130">
        <v>0.11015381298355019</v>
      </c>
      <c r="K66" s="131">
        <v>0.10818983511706376</v>
      </c>
      <c r="L66" s="130">
        <v>8.5924355164662999E-2</v>
      </c>
      <c r="M66" s="130">
        <v>5.7657313786574002E-2</v>
      </c>
      <c r="N66" s="130">
        <v>2.9119456200546016E-2</v>
      </c>
      <c r="O66" s="130">
        <v>0</v>
      </c>
      <c r="P66" s="130">
        <v>0</v>
      </c>
      <c r="Q66" s="130">
        <v>0</v>
      </c>
      <c r="R66" s="132">
        <v>0</v>
      </c>
      <c r="T66" s="85" t="s">
        <v>29</v>
      </c>
      <c r="U66" s="139">
        <f t="shared" si="1"/>
        <v>0</v>
      </c>
      <c r="V66" s="147"/>
      <c r="W66" s="130">
        <f t="shared" si="2"/>
        <v>0</v>
      </c>
      <c r="X66" s="150"/>
    </row>
    <row r="67" spans="2:35" x14ac:dyDescent="0.25">
      <c r="B67" s="85" t="s">
        <v>45</v>
      </c>
      <c r="C67" s="129">
        <v>0</v>
      </c>
      <c r="D67" s="130">
        <v>0</v>
      </c>
      <c r="E67" s="130">
        <v>8.1560749316781527E-7</v>
      </c>
      <c r="F67" s="130">
        <v>0</v>
      </c>
      <c r="G67" s="130">
        <v>0</v>
      </c>
      <c r="H67" s="130">
        <v>0</v>
      </c>
      <c r="I67" s="131">
        <v>0</v>
      </c>
      <c r="J67" s="130">
        <v>0</v>
      </c>
      <c r="K67" s="131">
        <v>0</v>
      </c>
      <c r="L67" s="130">
        <v>0</v>
      </c>
      <c r="M67" s="130">
        <v>0</v>
      </c>
      <c r="N67" s="130">
        <v>0</v>
      </c>
      <c r="O67" s="130">
        <v>0</v>
      </c>
      <c r="P67" s="130">
        <v>0</v>
      </c>
      <c r="Q67" s="130">
        <v>0</v>
      </c>
      <c r="R67" s="132">
        <v>0</v>
      </c>
      <c r="T67" s="85" t="s">
        <v>45</v>
      </c>
      <c r="U67" s="139">
        <f t="shared" si="1"/>
        <v>0.25</v>
      </c>
      <c r="V67" s="147"/>
      <c r="W67" s="130">
        <f t="shared" si="2"/>
        <v>0</v>
      </c>
      <c r="X67" s="150"/>
    </row>
    <row r="68" spans="2:35" x14ac:dyDescent="0.25">
      <c r="B68" s="85" t="s">
        <v>30</v>
      </c>
      <c r="C68" s="129">
        <v>0</v>
      </c>
      <c r="D68" s="130">
        <v>0.41071895496204464</v>
      </c>
      <c r="E68" s="130">
        <v>0.28166296581297307</v>
      </c>
      <c r="F68" s="130">
        <v>0.24659068765596789</v>
      </c>
      <c r="G68" s="130">
        <v>0.21141451557608376</v>
      </c>
      <c r="H68" s="130">
        <v>0.18481143721670662</v>
      </c>
      <c r="I68" s="131">
        <v>0.15914772786928819</v>
      </c>
      <c r="J68" s="130">
        <v>0.12852667642417809</v>
      </c>
      <c r="K68" s="131">
        <v>0.10478707057644575</v>
      </c>
      <c r="L68" s="130">
        <v>0.10112631485627001</v>
      </c>
      <c r="M68" s="130">
        <v>7.9491103504646651E-2</v>
      </c>
      <c r="N68" s="130">
        <v>5.4551266902689237E-2</v>
      </c>
      <c r="O68" s="130">
        <v>2.2734854314357685E-2</v>
      </c>
      <c r="P68" s="130">
        <v>0</v>
      </c>
      <c r="Q68" s="130">
        <v>0</v>
      </c>
      <c r="R68" s="132">
        <v>0</v>
      </c>
      <c r="T68" s="85" t="s">
        <v>30</v>
      </c>
      <c r="U68" s="139">
        <f t="shared" si="1"/>
        <v>0.25</v>
      </c>
      <c r="V68" s="147"/>
      <c r="W68" s="130">
        <f t="shared" si="2"/>
        <v>0</v>
      </c>
      <c r="X68" s="150"/>
    </row>
    <row r="69" spans="2:35" x14ac:dyDescent="0.25">
      <c r="B69" s="86" t="s">
        <v>64</v>
      </c>
      <c r="C69" s="133">
        <v>0</v>
      </c>
      <c r="D69" s="134">
        <v>0.36712677531390897</v>
      </c>
      <c r="E69" s="134">
        <v>0.26519739889473293</v>
      </c>
      <c r="F69" s="134">
        <v>0.21870737008756874</v>
      </c>
      <c r="G69" s="134">
        <v>0.17609952720166971</v>
      </c>
      <c r="H69" s="134">
        <v>0.14069490353890246</v>
      </c>
      <c r="I69" s="135">
        <v>0.10426621313982556</v>
      </c>
      <c r="J69" s="134">
        <v>5.3411818802875669E-2</v>
      </c>
      <c r="K69" s="135">
        <v>3.4971217428211342E-3</v>
      </c>
      <c r="L69" s="134">
        <v>0</v>
      </c>
      <c r="M69" s="134">
        <v>0</v>
      </c>
      <c r="N69" s="134">
        <v>0</v>
      </c>
      <c r="O69" s="134">
        <v>0</v>
      </c>
      <c r="P69" s="134">
        <v>0</v>
      </c>
      <c r="Q69" s="134">
        <v>0</v>
      </c>
      <c r="R69" s="136">
        <v>0</v>
      </c>
      <c r="T69" s="86" t="s">
        <v>64</v>
      </c>
      <c r="U69" s="140">
        <f t="shared" si="1"/>
        <v>0.25</v>
      </c>
      <c r="V69" s="148"/>
      <c r="W69" s="134">
        <f t="shared" si="2"/>
        <v>0</v>
      </c>
      <c r="X69" s="151"/>
    </row>
    <row r="71" spans="2:35" x14ac:dyDescent="0.25">
      <c r="B71" s="111" t="s">
        <v>97</v>
      </c>
      <c r="C71" s="112" t="str">
        <f>_xll.TimeSeries.CovarianceMatrixCalculator()</f>
        <v>»CovarianceMatrixCalculator-16705291694770987498</v>
      </c>
      <c r="D71" s="113"/>
      <c r="E71" s="113"/>
      <c r="F71" s="114"/>
    </row>
    <row r="73" spans="2:35" ht="20.25" thickBot="1" x14ac:dyDescent="0.35">
      <c r="B73" s="137" t="s">
        <v>71</v>
      </c>
      <c r="C73" s="152"/>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row>
    <row r="74" spans="2:35" ht="15.75" thickTop="1" x14ac:dyDescent="0.25">
      <c r="B74" s="156" t="s">
        <v>60</v>
      </c>
      <c r="C74" s="159">
        <f>IF(E108 &lt;&gt; 1,"Weights must sum to 1",_xll.SumProduct2(TEST_PORTFOLIO_EXPECTED_RETURNS,TEST_PORTFOLIO_WEIGHTS)-RISK_FREE_RATE)</f>
        <v>8.0624481090666202E-3</v>
      </c>
    </row>
    <row r="75" spans="2:35" x14ac:dyDescent="0.25">
      <c r="B75" s="157" t="s">
        <v>62</v>
      </c>
      <c r="C75" s="160">
        <f>IF(E108 &lt;&gt; 1,"Weights must sum to 1",SQRT(SUM(G108:AI108)))</f>
        <v>3.2951741381269814E-2</v>
      </c>
    </row>
    <row r="76" spans="2:35" x14ac:dyDescent="0.25">
      <c r="B76" s="158" t="s">
        <v>103</v>
      </c>
      <c r="C76" s="161" t="str">
        <f>_xll.TimeSeries.CovarianceMatrixCalculator.apply(COVARIANCE_MATRIX_CALCULATOR,TEST_PORTFOLIO_TICKERS,ALL_RETURN_SERIES)</f>
        <v>»LabelledMatrix-16705291694770987810</v>
      </c>
      <c r="D76" t="s">
        <v>77</v>
      </c>
    </row>
    <row r="77" spans="2:35" x14ac:dyDescent="0.25">
      <c r="F77" s="111" t="s">
        <v>69</v>
      </c>
      <c r="G77" s="170">
        <f t="array" ref="G77:AI77">TRANSPOSE(TEST_PORTFOLIO_WEIGHTS)</f>
        <v>0</v>
      </c>
      <c r="H77" s="171">
        <v>0</v>
      </c>
      <c r="I77" s="171">
        <v>0</v>
      </c>
      <c r="J77" s="171">
        <v>0</v>
      </c>
      <c r="K77" s="171">
        <v>0</v>
      </c>
      <c r="L77" s="171">
        <v>0</v>
      </c>
      <c r="M77" s="171">
        <v>0</v>
      </c>
      <c r="N77" s="171">
        <v>0</v>
      </c>
      <c r="O77" s="171">
        <v>0</v>
      </c>
      <c r="P77" s="171">
        <v>0.125</v>
      </c>
      <c r="Q77" s="171">
        <v>0</v>
      </c>
      <c r="R77" s="171">
        <v>0</v>
      </c>
      <c r="S77" s="171">
        <v>0</v>
      </c>
      <c r="T77" s="171">
        <v>0</v>
      </c>
      <c r="U77" s="171">
        <v>0</v>
      </c>
      <c r="V77" s="171">
        <v>0</v>
      </c>
      <c r="W77" s="171">
        <v>0.125</v>
      </c>
      <c r="X77" s="171">
        <v>0</v>
      </c>
      <c r="Y77" s="171">
        <v>0</v>
      </c>
      <c r="Z77" s="171">
        <v>0</v>
      </c>
      <c r="AA77" s="171">
        <v>0</v>
      </c>
      <c r="AB77" s="171">
        <v>0</v>
      </c>
      <c r="AC77" s="171">
        <v>0</v>
      </c>
      <c r="AD77" s="171">
        <v>0</v>
      </c>
      <c r="AE77" s="171">
        <v>0</v>
      </c>
      <c r="AF77" s="171">
        <v>0</v>
      </c>
      <c r="AG77" s="171">
        <v>0.25</v>
      </c>
      <c r="AH77" s="171">
        <v>0.25</v>
      </c>
      <c r="AI77" s="172">
        <v>0.25</v>
      </c>
    </row>
    <row r="78" spans="2:35" x14ac:dyDescent="0.25">
      <c r="C78" s="111" t="s">
        <v>104</v>
      </c>
      <c r="E78" s="89" t="s">
        <v>69</v>
      </c>
      <c r="F78" s="166" t="str">
        <f t="array" ref="F78:AI107">_xll.Matrix.ExpandAsArray(C76)</f>
        <v/>
      </c>
      <c r="G78" s="173" t="str">
        <v>AAPL</v>
      </c>
      <c r="H78" s="174" t="str">
        <v>AXP</v>
      </c>
      <c r="I78" s="174" t="str">
        <v>BA</v>
      </c>
      <c r="J78" s="174" t="str">
        <v>CAT</v>
      </c>
      <c r="K78" s="174" t="str">
        <v>CSCO</v>
      </c>
      <c r="L78" s="174" t="str">
        <v>CVX</v>
      </c>
      <c r="M78" s="174" t="str">
        <v>DD</v>
      </c>
      <c r="N78" s="174" t="str">
        <v>DIS</v>
      </c>
      <c r="O78" s="174" t="str">
        <v>GE</v>
      </c>
      <c r="P78" s="174" t="str">
        <v>GS</v>
      </c>
      <c r="Q78" s="174" t="str">
        <v>HD</v>
      </c>
      <c r="R78" s="174" t="str">
        <v>IBM</v>
      </c>
      <c r="S78" s="174" t="str">
        <v>INTC</v>
      </c>
      <c r="T78" s="174" t="str">
        <v>JNJ</v>
      </c>
      <c r="U78" s="174" t="str">
        <v>JPM</v>
      </c>
      <c r="V78" s="174" t="str">
        <v>KO</v>
      </c>
      <c r="W78" s="174" t="str">
        <v>MCD</v>
      </c>
      <c r="X78" s="174" t="str">
        <v>MMM</v>
      </c>
      <c r="Y78" s="174" t="str">
        <v>MRK</v>
      </c>
      <c r="Z78" s="174" t="str">
        <v>MSFT</v>
      </c>
      <c r="AA78" s="174" t="str">
        <v>NKE</v>
      </c>
      <c r="AB78" s="174" t="str">
        <v>PFE</v>
      </c>
      <c r="AC78" s="174" t="str">
        <v>PG</v>
      </c>
      <c r="AD78" s="174" t="str">
        <v>UNH</v>
      </c>
      <c r="AE78" s="174" t="str">
        <v>UTX</v>
      </c>
      <c r="AF78" s="174" t="str">
        <v>VZ</v>
      </c>
      <c r="AG78" s="174" t="str">
        <v>V</v>
      </c>
      <c r="AH78" s="174" t="str">
        <v>WMT</v>
      </c>
      <c r="AI78" s="175" t="str">
        <v>XOM</v>
      </c>
    </row>
    <row r="79" spans="2:35" x14ac:dyDescent="0.25">
      <c r="B79" s="162" t="str">
        <f>'Market Data'!$B$17</f>
        <v>AAPL</v>
      </c>
      <c r="C79" s="159">
        <f>Statistics!$G$19</f>
        <v>2.1230184800142136E-2</v>
      </c>
      <c r="E79" s="167">
        <v>0</v>
      </c>
      <c r="F79" s="84" t="str">
        <v>AAPL</v>
      </c>
      <c r="G79" s="176">
        <v>4.5162973293162668E-3</v>
      </c>
      <c r="H79" s="177">
        <v>1.6284380645241216E-3</v>
      </c>
      <c r="I79" s="177">
        <v>1.6201491796022521E-3</v>
      </c>
      <c r="J79" s="177">
        <v>1.5690359790962263E-3</v>
      </c>
      <c r="K79" s="177">
        <v>2.3505409053430782E-3</v>
      </c>
      <c r="L79" s="177">
        <v>1.1773098260505132E-3</v>
      </c>
      <c r="M79" s="177">
        <v>2.5889638042653502E-3</v>
      </c>
      <c r="N79" s="177">
        <v>1.366655807124157E-3</v>
      </c>
      <c r="O79" s="177">
        <v>1.5698375611055285E-3</v>
      </c>
      <c r="P79" s="177">
        <v>1.8109156333145874E-3</v>
      </c>
      <c r="Q79" s="177">
        <v>9.8639311096076088E-4</v>
      </c>
      <c r="R79" s="177">
        <v>1.7737023799007877E-3</v>
      </c>
      <c r="S79" s="177">
        <v>1.6293191413582805E-3</v>
      </c>
      <c r="T79" s="177">
        <v>8.2631268301744008E-4</v>
      </c>
      <c r="U79" s="177">
        <v>1.2529926248616137E-3</v>
      </c>
      <c r="V79" s="177">
        <v>9.6129190129553134E-4</v>
      </c>
      <c r="W79" s="177">
        <v>4.3723596630614248E-4</v>
      </c>
      <c r="X79" s="177">
        <v>1.6042263123932821E-3</v>
      </c>
      <c r="Y79" s="177">
        <v>6.6280896407091964E-4</v>
      </c>
      <c r="Z79" s="177">
        <v>1.7656054736670385E-3</v>
      </c>
      <c r="AA79" s="177">
        <v>7.4054258425286133E-4</v>
      </c>
      <c r="AB79" s="177">
        <v>1.105136574328315E-3</v>
      </c>
      <c r="AC79" s="177">
        <v>1.0336127768185608E-3</v>
      </c>
      <c r="AD79" s="177">
        <v>5.5673881663560775E-4</v>
      </c>
      <c r="AE79" s="177">
        <v>1.2367738317379871E-3</v>
      </c>
      <c r="AF79" s="177">
        <v>1.8457278448214234E-4</v>
      </c>
      <c r="AG79" s="177">
        <v>1.5697677901095443E-3</v>
      </c>
      <c r="AH79" s="177">
        <v>5.7975796375205426E-4</v>
      </c>
      <c r="AI79" s="178">
        <v>8.3126780280069973E-4</v>
      </c>
    </row>
    <row r="80" spans="2:35" x14ac:dyDescent="0.25">
      <c r="B80" s="163" t="str">
        <f>'Market Data'!$B$18</f>
        <v>AXP</v>
      </c>
      <c r="C80" s="160">
        <f>Statistics!$G$20</f>
        <v>6.4918343965214677E-3</v>
      </c>
      <c r="E80" s="168">
        <v>0</v>
      </c>
      <c r="F80" s="85" t="str">
        <v>AXP</v>
      </c>
      <c r="G80" s="179">
        <v>1.6284380645241216E-3</v>
      </c>
      <c r="H80" s="180">
        <v>4.0660324753009668E-3</v>
      </c>
      <c r="I80" s="180">
        <v>2.3214948032735548E-3</v>
      </c>
      <c r="J80" s="180">
        <v>2.4672804057197504E-3</v>
      </c>
      <c r="K80" s="180">
        <v>2.2861035048804129E-3</v>
      </c>
      <c r="L80" s="180">
        <v>1.4106472819975181E-3</v>
      </c>
      <c r="M80" s="180">
        <v>3.0070268955997704E-3</v>
      </c>
      <c r="N80" s="180">
        <v>1.9718583562846406E-3</v>
      </c>
      <c r="O80" s="180">
        <v>1.6460552176854309E-3</v>
      </c>
      <c r="P80" s="180">
        <v>3.1197862990926528E-3</v>
      </c>
      <c r="Q80" s="180">
        <v>1.285962047454306E-3</v>
      </c>
      <c r="R80" s="180">
        <v>1.960684724858895E-3</v>
      </c>
      <c r="S80" s="180">
        <v>2.0715314739138896E-3</v>
      </c>
      <c r="T80" s="180">
        <v>7.3945969222275051E-4</v>
      </c>
      <c r="U80" s="180">
        <v>2.7840355446374721E-3</v>
      </c>
      <c r="V80" s="180">
        <v>5.6369017954212687E-4</v>
      </c>
      <c r="W80" s="180">
        <v>5.9016175595858627E-4</v>
      </c>
      <c r="X80" s="180">
        <v>1.3680882736390085E-3</v>
      </c>
      <c r="Y80" s="180">
        <v>9.5675499919051471E-4</v>
      </c>
      <c r="Z80" s="180">
        <v>1.7453927826798744E-3</v>
      </c>
      <c r="AA80" s="180">
        <v>9.1418204127611028E-4</v>
      </c>
      <c r="AB80" s="180">
        <v>1.0081234358528435E-3</v>
      </c>
      <c r="AC80" s="180">
        <v>4.150551569421239E-4</v>
      </c>
      <c r="AD80" s="180">
        <v>9.035040942327959E-4</v>
      </c>
      <c r="AE80" s="180">
        <v>1.9679940702890687E-3</v>
      </c>
      <c r="AF80" s="180">
        <v>-7.7366109832012643E-5</v>
      </c>
      <c r="AG80" s="180">
        <v>2.1563583115517065E-3</v>
      </c>
      <c r="AH80" s="180">
        <v>2.6973274792062105E-5</v>
      </c>
      <c r="AI80" s="181">
        <v>9.0240454872836753E-4</v>
      </c>
    </row>
    <row r="81" spans="2:35" x14ac:dyDescent="0.25">
      <c r="B81" s="163" t="str">
        <f>'Market Data'!$B$19</f>
        <v>BA</v>
      </c>
      <c r="C81" s="160">
        <f>Statistics!$G$21</f>
        <v>1.9250861766613322E-2</v>
      </c>
      <c r="E81" s="168">
        <v>0</v>
      </c>
      <c r="F81" s="85" t="str">
        <v>BA</v>
      </c>
      <c r="G81" s="179">
        <v>1.6201491796022521E-3</v>
      </c>
      <c r="H81" s="180">
        <v>2.3214948032735548E-3</v>
      </c>
      <c r="I81" s="180">
        <v>3.7402935775721971E-3</v>
      </c>
      <c r="J81" s="180">
        <v>1.6046317611050844E-3</v>
      </c>
      <c r="K81" s="180">
        <v>2.1240240973260023E-3</v>
      </c>
      <c r="L81" s="180">
        <v>1.3419066335272889E-3</v>
      </c>
      <c r="M81" s="180">
        <v>3.1629198402818382E-3</v>
      </c>
      <c r="N81" s="180">
        <v>2.193611301570318E-3</v>
      </c>
      <c r="O81" s="180">
        <v>1.7334051959416068E-3</v>
      </c>
      <c r="P81" s="180">
        <v>2.2391121271409182E-3</v>
      </c>
      <c r="Q81" s="180">
        <v>1.2911501083222776E-3</v>
      </c>
      <c r="R81" s="180">
        <v>1.1336433634722555E-3</v>
      </c>
      <c r="S81" s="180">
        <v>1.485647562986758E-3</v>
      </c>
      <c r="T81" s="180">
        <v>7.7470388279684329E-4</v>
      </c>
      <c r="U81" s="180">
        <v>1.8054441283061249E-3</v>
      </c>
      <c r="V81" s="180">
        <v>9.7196182882881919E-4</v>
      </c>
      <c r="W81" s="180">
        <v>1.004575731683145E-3</v>
      </c>
      <c r="X81" s="180">
        <v>1.220072170107771E-3</v>
      </c>
      <c r="Y81" s="180">
        <v>1.3506721993334096E-3</v>
      </c>
      <c r="Z81" s="180">
        <v>1.4618979219237266E-3</v>
      </c>
      <c r="AA81" s="180">
        <v>1.1825978430535619E-3</v>
      </c>
      <c r="AB81" s="180">
        <v>1.2950969606515986E-3</v>
      </c>
      <c r="AC81" s="180">
        <v>5.997217417536032E-4</v>
      </c>
      <c r="AD81" s="180">
        <v>6.5863568330466196E-4</v>
      </c>
      <c r="AE81" s="180">
        <v>1.846395156096473E-3</v>
      </c>
      <c r="AF81" s="180">
        <v>3.7914592931386057E-4</v>
      </c>
      <c r="AG81" s="180">
        <v>2.2475777063178958E-3</v>
      </c>
      <c r="AH81" s="180">
        <v>1.7979190170774528E-4</v>
      </c>
      <c r="AI81" s="181">
        <v>5.5785917505375118E-4</v>
      </c>
    </row>
    <row r="82" spans="2:35" x14ac:dyDescent="0.25">
      <c r="B82" s="163" t="str">
        <f>'Market Data'!$B$20</f>
        <v>CAT</v>
      </c>
      <c r="C82" s="160">
        <f>Statistics!$G$22</f>
        <v>6.3545919720494892E-3</v>
      </c>
      <c r="E82" s="168">
        <v>0</v>
      </c>
      <c r="F82" s="85" t="str">
        <v>CAT</v>
      </c>
      <c r="G82" s="179">
        <v>1.5690359790962263E-3</v>
      </c>
      <c r="H82" s="180">
        <v>2.4672804057197504E-3</v>
      </c>
      <c r="I82" s="180">
        <v>1.6046317611050844E-3</v>
      </c>
      <c r="J82" s="180">
        <v>4.5013491323716076E-3</v>
      </c>
      <c r="K82" s="180">
        <v>1.8532157140411887E-3</v>
      </c>
      <c r="L82" s="180">
        <v>2.2352946064681648E-3</v>
      </c>
      <c r="M82" s="180">
        <v>3.0429489894058951E-3</v>
      </c>
      <c r="N82" s="180">
        <v>1.6981712196612736E-3</v>
      </c>
      <c r="O82" s="180">
        <v>2.2046623152336968E-3</v>
      </c>
      <c r="P82" s="180">
        <v>2.3825247137119567E-3</v>
      </c>
      <c r="Q82" s="180">
        <v>1.0587514228509517E-3</v>
      </c>
      <c r="R82" s="180">
        <v>2.1554825858441308E-3</v>
      </c>
      <c r="S82" s="180">
        <v>2.3005603160952529E-3</v>
      </c>
      <c r="T82" s="180">
        <v>9.0633949973445221E-4</v>
      </c>
      <c r="U82" s="180">
        <v>2.011937601179676E-3</v>
      </c>
      <c r="V82" s="180">
        <v>6.586205973694774E-4</v>
      </c>
      <c r="W82" s="180">
        <v>1.2118483675212872E-3</v>
      </c>
      <c r="X82" s="180">
        <v>1.3778500117759705E-3</v>
      </c>
      <c r="Y82" s="180">
        <v>1.6454661341138513E-3</v>
      </c>
      <c r="Z82" s="180">
        <v>2.2842322526096018E-3</v>
      </c>
      <c r="AA82" s="180">
        <v>-1.1104731462091626E-4</v>
      </c>
      <c r="AB82" s="180">
        <v>7.9610645869862182E-4</v>
      </c>
      <c r="AC82" s="180">
        <v>4.9254664842985144E-4</v>
      </c>
      <c r="AD82" s="180">
        <v>7.8373416165496384E-4</v>
      </c>
      <c r="AE82" s="180">
        <v>2.1924453554447642E-3</v>
      </c>
      <c r="AF82" s="180">
        <v>6.8929109799853135E-4</v>
      </c>
      <c r="AG82" s="180">
        <v>1.4624027030174886E-3</v>
      </c>
      <c r="AH82" s="180">
        <v>-2.1581932882750213E-4</v>
      </c>
      <c r="AI82" s="181">
        <v>1.368945659107327E-3</v>
      </c>
    </row>
    <row r="83" spans="2:35" x14ac:dyDescent="0.25">
      <c r="B83" s="163" t="str">
        <f>'Market Data'!$B$21</f>
        <v>CSCO</v>
      </c>
      <c r="C83" s="160">
        <f>Statistics!$G$23</f>
        <v>1.4928779568119917E-2</v>
      </c>
      <c r="E83" s="168">
        <v>0</v>
      </c>
      <c r="F83" s="85" t="str">
        <v>CSCO</v>
      </c>
      <c r="G83" s="179">
        <v>2.3505409053430782E-3</v>
      </c>
      <c r="H83" s="180">
        <v>2.2861035048804129E-3</v>
      </c>
      <c r="I83" s="180">
        <v>2.1240240973260023E-3</v>
      </c>
      <c r="J83" s="180">
        <v>1.8532157140411887E-3</v>
      </c>
      <c r="K83" s="180">
        <v>4.2943797540477393E-3</v>
      </c>
      <c r="L83" s="180">
        <v>1.6495950515362169E-3</v>
      </c>
      <c r="M83" s="180">
        <v>3.7036865533827041E-3</v>
      </c>
      <c r="N83" s="180">
        <v>1.9090150380186609E-3</v>
      </c>
      <c r="O83" s="180">
        <v>2.0168425927536027E-3</v>
      </c>
      <c r="P83" s="180">
        <v>2.2177683830845976E-3</v>
      </c>
      <c r="Q83" s="180">
        <v>9.8504335267051509E-4</v>
      </c>
      <c r="R83" s="180">
        <v>2.2508292865696072E-3</v>
      </c>
      <c r="S83" s="180">
        <v>2.2625583672846289E-3</v>
      </c>
      <c r="T83" s="180">
        <v>1.1094225673998865E-3</v>
      </c>
      <c r="U83" s="180">
        <v>2.0831844183308271E-3</v>
      </c>
      <c r="V83" s="180">
        <v>1.0904984859812852E-3</v>
      </c>
      <c r="W83" s="180">
        <v>8.8656407550750189E-4</v>
      </c>
      <c r="X83" s="180">
        <v>1.6594658489014636E-3</v>
      </c>
      <c r="Y83" s="180">
        <v>1.2877752599161352E-3</v>
      </c>
      <c r="Z83" s="180">
        <v>2.1511833371391734E-3</v>
      </c>
      <c r="AA83" s="180">
        <v>7.2136303147440504E-4</v>
      </c>
      <c r="AB83" s="180">
        <v>1.5185012123350332E-3</v>
      </c>
      <c r="AC83" s="180">
        <v>1.0690588122897406E-3</v>
      </c>
      <c r="AD83" s="180">
        <v>1.0321561899434074E-3</v>
      </c>
      <c r="AE83" s="180">
        <v>2.0848208418056797E-3</v>
      </c>
      <c r="AF83" s="180">
        <v>5.9888719676582812E-4</v>
      </c>
      <c r="AG83" s="180">
        <v>2.8598074505702059E-3</v>
      </c>
      <c r="AH83" s="180">
        <v>3.2563207166723412E-4</v>
      </c>
      <c r="AI83" s="181">
        <v>1.3701802479257339E-3</v>
      </c>
    </row>
    <row r="84" spans="2:35" x14ac:dyDescent="0.25">
      <c r="B84" s="163" t="str">
        <f>'Market Data'!$B$22</f>
        <v>CVX</v>
      </c>
      <c r="C84" s="160">
        <f>Statistics!$G$24</f>
        <v>2.6845541907593424E-3</v>
      </c>
      <c r="E84" s="168">
        <v>0</v>
      </c>
      <c r="F84" s="85" t="str">
        <v>CVX</v>
      </c>
      <c r="G84" s="179">
        <v>1.1773098260505132E-3</v>
      </c>
      <c r="H84" s="180">
        <v>1.4106472819975181E-3</v>
      </c>
      <c r="I84" s="180">
        <v>1.3419066335272889E-3</v>
      </c>
      <c r="J84" s="180">
        <v>2.2352946064681648E-3</v>
      </c>
      <c r="K84" s="180">
        <v>1.6495950515362169E-3</v>
      </c>
      <c r="L84" s="180">
        <v>3.2764948408559465E-3</v>
      </c>
      <c r="M84" s="180">
        <v>2.8277959806832817E-3</v>
      </c>
      <c r="N84" s="180">
        <v>1.8200348202442435E-3</v>
      </c>
      <c r="O84" s="180">
        <v>2.0997855192430963E-3</v>
      </c>
      <c r="P84" s="180">
        <v>2.495859527554455E-3</v>
      </c>
      <c r="Q84" s="180">
        <v>7.9860489883547216E-4</v>
      </c>
      <c r="R84" s="180">
        <v>1.7099575851328929E-3</v>
      </c>
      <c r="S84" s="180">
        <v>1.762362573764028E-3</v>
      </c>
      <c r="T84" s="180">
        <v>1.0006982850928254E-3</v>
      </c>
      <c r="U84" s="180">
        <v>2.159640132817216E-3</v>
      </c>
      <c r="V84" s="180">
        <v>7.7350953916938299E-4</v>
      </c>
      <c r="W84" s="180">
        <v>1.2445101608031307E-3</v>
      </c>
      <c r="X84" s="180">
        <v>1.3396872809028706E-3</v>
      </c>
      <c r="Y84" s="180">
        <v>1.0548817345930506E-3</v>
      </c>
      <c r="Z84" s="180">
        <v>1.921523261676006E-3</v>
      </c>
      <c r="AA84" s="180">
        <v>-3.0145919518466895E-4</v>
      </c>
      <c r="AB84" s="180">
        <v>1.0966581694716135E-3</v>
      </c>
      <c r="AC84" s="180">
        <v>8.4385070363078498E-4</v>
      </c>
      <c r="AD84" s="180">
        <v>8.9699068571536217E-4</v>
      </c>
      <c r="AE84" s="180">
        <v>1.7655731333339048E-3</v>
      </c>
      <c r="AF84" s="180">
        <v>7.5916190680994219E-4</v>
      </c>
      <c r="AG84" s="180">
        <v>9.2897312946466114E-4</v>
      </c>
      <c r="AH84" s="180">
        <v>1.437380584121094E-4</v>
      </c>
      <c r="AI84" s="181">
        <v>1.9286286807754067E-3</v>
      </c>
    </row>
    <row r="85" spans="2:35" x14ac:dyDescent="0.25">
      <c r="B85" s="163" t="str">
        <f>'Market Data'!$B$23</f>
        <v>DD</v>
      </c>
      <c r="C85" s="160">
        <f>Statistics!$G$25</f>
        <v>1.7349865519574785E-2</v>
      </c>
      <c r="E85" s="168">
        <v>0</v>
      </c>
      <c r="F85" s="85" t="str">
        <v>DD</v>
      </c>
      <c r="G85" s="179">
        <v>2.5889638042653502E-3</v>
      </c>
      <c r="H85" s="180">
        <v>3.0070268955997704E-3</v>
      </c>
      <c r="I85" s="180">
        <v>3.1629198402818382E-3</v>
      </c>
      <c r="J85" s="180">
        <v>3.0429489894058951E-3</v>
      </c>
      <c r="K85" s="180">
        <v>3.7036865533827041E-3</v>
      </c>
      <c r="L85" s="180">
        <v>2.8277959806832817E-3</v>
      </c>
      <c r="M85" s="180">
        <v>7.2090294001774871E-3</v>
      </c>
      <c r="N85" s="180">
        <v>3.2246456006375726E-3</v>
      </c>
      <c r="O85" s="180">
        <v>3.2408092269649337E-3</v>
      </c>
      <c r="P85" s="180">
        <v>3.1194558916632768E-3</v>
      </c>
      <c r="Q85" s="180">
        <v>2.0138415935295195E-3</v>
      </c>
      <c r="R85" s="180">
        <v>2.4056181433013803E-3</v>
      </c>
      <c r="S85" s="180">
        <v>2.9333641814070907E-3</v>
      </c>
      <c r="T85" s="180">
        <v>1.7073269232421356E-3</v>
      </c>
      <c r="U85" s="180">
        <v>2.9403656750226037E-3</v>
      </c>
      <c r="V85" s="180">
        <v>1.3828838928124146E-3</v>
      </c>
      <c r="W85" s="180">
        <v>1.5566945864839937E-3</v>
      </c>
      <c r="X85" s="180">
        <v>2.4333011024343194E-3</v>
      </c>
      <c r="Y85" s="180">
        <v>2.1034755337789339E-3</v>
      </c>
      <c r="Z85" s="180">
        <v>3.4647817866697963E-3</v>
      </c>
      <c r="AA85" s="180">
        <v>1.371253710214986E-3</v>
      </c>
      <c r="AB85" s="180">
        <v>2.2541080192876768E-3</v>
      </c>
      <c r="AC85" s="180">
        <v>1.1783213677355128E-3</v>
      </c>
      <c r="AD85" s="180">
        <v>1.3915459916452729E-3</v>
      </c>
      <c r="AE85" s="180">
        <v>3.4844332298577191E-3</v>
      </c>
      <c r="AF85" s="180">
        <v>9.2727826439514978E-4</v>
      </c>
      <c r="AG85" s="180">
        <v>3.0677861856869904E-3</v>
      </c>
      <c r="AH85" s="180">
        <v>-2.3301122426120984E-5</v>
      </c>
      <c r="AI85" s="181">
        <v>2.1182301102402332E-3</v>
      </c>
    </row>
    <row r="86" spans="2:35" x14ac:dyDescent="0.25">
      <c r="B86" s="163" t="str">
        <f>'Market Data'!$B$24</f>
        <v>DIS</v>
      </c>
      <c r="C86" s="160">
        <f>Statistics!$G$26</f>
        <v>1.7109009470709015E-2</v>
      </c>
      <c r="E86" s="168">
        <v>0</v>
      </c>
      <c r="F86" s="85" t="str">
        <v>DIS</v>
      </c>
      <c r="G86" s="179">
        <v>1.366655807124157E-3</v>
      </c>
      <c r="H86" s="180">
        <v>1.9718583562846406E-3</v>
      </c>
      <c r="I86" s="180">
        <v>2.193611301570318E-3</v>
      </c>
      <c r="J86" s="180">
        <v>1.6981712196612736E-3</v>
      </c>
      <c r="K86" s="180">
        <v>1.9090150380186609E-3</v>
      </c>
      <c r="L86" s="180">
        <v>1.8200348202442435E-3</v>
      </c>
      <c r="M86" s="180">
        <v>3.2246456006375726E-3</v>
      </c>
      <c r="N86" s="180">
        <v>3.2225637954133132E-3</v>
      </c>
      <c r="O86" s="180">
        <v>1.7980110839806059E-3</v>
      </c>
      <c r="P86" s="180">
        <v>2.5910429203650125E-3</v>
      </c>
      <c r="Q86" s="180">
        <v>1.4438567521116873E-3</v>
      </c>
      <c r="R86" s="180">
        <v>1.2533920720746924E-3</v>
      </c>
      <c r="S86" s="180">
        <v>1.4872846501875279E-3</v>
      </c>
      <c r="T86" s="180">
        <v>7.6090581351824873E-4</v>
      </c>
      <c r="U86" s="180">
        <v>2.3150492241015347E-3</v>
      </c>
      <c r="V86" s="180">
        <v>7.3157249166013263E-4</v>
      </c>
      <c r="W86" s="180">
        <v>1.0434476997331528E-3</v>
      </c>
      <c r="X86" s="180">
        <v>1.3935802423237448E-3</v>
      </c>
      <c r="Y86" s="180">
        <v>1.1180874248259017E-3</v>
      </c>
      <c r="Z86" s="180">
        <v>1.7514488094562146E-3</v>
      </c>
      <c r="AA86" s="180">
        <v>1.1713887062549742E-3</v>
      </c>
      <c r="AB86" s="180">
        <v>1.4909638464124207E-3</v>
      </c>
      <c r="AC86" s="180">
        <v>6.6920552953337459E-4</v>
      </c>
      <c r="AD86" s="180">
        <v>9.9320622386439117E-4</v>
      </c>
      <c r="AE86" s="180">
        <v>1.6618009644053405E-3</v>
      </c>
      <c r="AF86" s="180">
        <v>5.8624704841600517E-4</v>
      </c>
      <c r="AG86" s="180">
        <v>2.2204011828610088E-3</v>
      </c>
      <c r="AH86" s="180">
        <v>-1.1672694641114529E-4</v>
      </c>
      <c r="AI86" s="181">
        <v>1.3292278052638991E-3</v>
      </c>
    </row>
    <row r="87" spans="2:35" x14ac:dyDescent="0.25">
      <c r="B87" s="163" t="str">
        <f>'Market Data'!$B$25</f>
        <v>GE</v>
      </c>
      <c r="C87" s="160">
        <f>Statistics!$G$27</f>
        <v>9.2719197536449416E-3</v>
      </c>
      <c r="E87" s="168">
        <v>0</v>
      </c>
      <c r="F87" s="85" t="str">
        <v>GE</v>
      </c>
      <c r="G87" s="179">
        <v>1.5698375611055285E-3</v>
      </c>
      <c r="H87" s="180">
        <v>1.6460552176854309E-3</v>
      </c>
      <c r="I87" s="180">
        <v>1.7334051959416068E-3</v>
      </c>
      <c r="J87" s="180">
        <v>2.2046623152336968E-3</v>
      </c>
      <c r="K87" s="180">
        <v>2.0168425927536027E-3</v>
      </c>
      <c r="L87" s="180">
        <v>2.0997855192430963E-3</v>
      </c>
      <c r="M87" s="180">
        <v>3.2408092269649337E-3</v>
      </c>
      <c r="N87" s="180">
        <v>1.7980110839806059E-3</v>
      </c>
      <c r="O87" s="180">
        <v>2.8739818723832944E-3</v>
      </c>
      <c r="P87" s="180">
        <v>2.2255962061739098E-3</v>
      </c>
      <c r="Q87" s="180">
        <v>1.1779071347684854E-3</v>
      </c>
      <c r="R87" s="180">
        <v>1.4606469135339543E-3</v>
      </c>
      <c r="S87" s="180">
        <v>1.8413857882482649E-3</v>
      </c>
      <c r="T87" s="180">
        <v>1.1338883047798758E-3</v>
      </c>
      <c r="U87" s="180">
        <v>1.9825602222543746E-3</v>
      </c>
      <c r="V87" s="180">
        <v>1.0900315820250495E-3</v>
      </c>
      <c r="W87" s="180">
        <v>1.4080437366372094E-3</v>
      </c>
      <c r="X87" s="180">
        <v>1.6476299492810176E-3</v>
      </c>
      <c r="Y87" s="180">
        <v>7.4080885300837902E-4</v>
      </c>
      <c r="Z87" s="180">
        <v>2.1782812682115105E-3</v>
      </c>
      <c r="AA87" s="180">
        <v>6.8149888740689005E-4</v>
      </c>
      <c r="AB87" s="180">
        <v>1.1596920910434683E-3</v>
      </c>
      <c r="AC87" s="180">
        <v>8.669689440805547E-4</v>
      </c>
      <c r="AD87" s="180">
        <v>6.9406421327386882E-4</v>
      </c>
      <c r="AE87" s="180">
        <v>1.9210155408337607E-3</v>
      </c>
      <c r="AF87" s="180">
        <v>1.0256274934399997E-3</v>
      </c>
      <c r="AG87" s="180">
        <v>1.7646874198991678E-3</v>
      </c>
      <c r="AH87" s="180">
        <v>3.1986346053900631E-5</v>
      </c>
      <c r="AI87" s="181">
        <v>1.6264073394302158E-3</v>
      </c>
    </row>
    <row r="88" spans="2:35" x14ac:dyDescent="0.25">
      <c r="B88" s="163" t="str">
        <f>'Market Data'!$B$26</f>
        <v>GS</v>
      </c>
      <c r="C88" s="160">
        <f>Statistics!$G$28</f>
        <v>1.2775975133106521E-2</v>
      </c>
      <c r="E88" s="168">
        <v>0.125</v>
      </c>
      <c r="F88" s="85" t="str">
        <v>GS</v>
      </c>
      <c r="G88" s="179">
        <v>1.8109156333145874E-3</v>
      </c>
      <c r="H88" s="180">
        <v>3.1197862990926528E-3</v>
      </c>
      <c r="I88" s="180">
        <v>2.2391121271409182E-3</v>
      </c>
      <c r="J88" s="180">
        <v>2.3825247137119567E-3</v>
      </c>
      <c r="K88" s="180">
        <v>2.2177683830845976E-3</v>
      </c>
      <c r="L88" s="180">
        <v>2.495859527554455E-3</v>
      </c>
      <c r="M88" s="180">
        <v>3.1194558916632768E-3</v>
      </c>
      <c r="N88" s="180">
        <v>2.5910429203650125E-3</v>
      </c>
      <c r="O88" s="180">
        <v>2.2255962061739098E-3</v>
      </c>
      <c r="P88" s="180">
        <v>4.8815099105356504E-3</v>
      </c>
      <c r="Q88" s="180">
        <v>1.5442152510598698E-3</v>
      </c>
      <c r="R88" s="180">
        <v>2.2308798805711167E-3</v>
      </c>
      <c r="S88" s="180">
        <v>1.7997270101458302E-3</v>
      </c>
      <c r="T88" s="180">
        <v>7.4857834611503948E-4</v>
      </c>
      <c r="U88" s="180">
        <v>3.8267678235899111E-3</v>
      </c>
      <c r="V88" s="180">
        <v>5.0884399749192373E-4</v>
      </c>
      <c r="W88" s="180">
        <v>1.1844149472533348E-3</v>
      </c>
      <c r="X88" s="180">
        <v>1.5580261625844892E-3</v>
      </c>
      <c r="Y88" s="180">
        <v>9.5059394038900442E-4</v>
      </c>
      <c r="Z88" s="180">
        <v>1.9881521509949444E-3</v>
      </c>
      <c r="AA88" s="180">
        <v>9.2810945195530823E-4</v>
      </c>
      <c r="AB88" s="180">
        <v>1.2974763649140325E-3</v>
      </c>
      <c r="AC88" s="180">
        <v>6.8796273406052837E-4</v>
      </c>
      <c r="AD88" s="180">
        <v>1.248419321363809E-3</v>
      </c>
      <c r="AE88" s="180">
        <v>2.1674424403236793E-3</v>
      </c>
      <c r="AF88" s="180">
        <v>3.7523862948950627E-4</v>
      </c>
      <c r="AG88" s="180">
        <v>2.0541307067505868E-3</v>
      </c>
      <c r="AH88" s="180">
        <v>-5.4295264980806504E-5</v>
      </c>
      <c r="AI88" s="181">
        <v>1.4387650786059658E-3</v>
      </c>
    </row>
    <row r="89" spans="2:35" x14ac:dyDescent="0.25">
      <c r="B89" s="163" t="str">
        <f>'Market Data'!$B$27</f>
        <v>HD</v>
      </c>
      <c r="C89" s="160">
        <f>Statistics!$G$29</f>
        <v>1.8352985528230569E-2</v>
      </c>
      <c r="E89" s="168">
        <v>0</v>
      </c>
      <c r="F89" s="85" t="str">
        <v>HD</v>
      </c>
      <c r="G89" s="179">
        <v>9.8639311096076088E-4</v>
      </c>
      <c r="H89" s="180">
        <v>1.285962047454306E-3</v>
      </c>
      <c r="I89" s="180">
        <v>1.2911501083222776E-3</v>
      </c>
      <c r="J89" s="180">
        <v>1.0587514228509517E-3</v>
      </c>
      <c r="K89" s="180">
        <v>9.8504335267051509E-4</v>
      </c>
      <c r="L89" s="180">
        <v>7.9860489883547216E-4</v>
      </c>
      <c r="M89" s="180">
        <v>2.0138415935295195E-3</v>
      </c>
      <c r="N89" s="180">
        <v>1.4438567521116873E-3</v>
      </c>
      <c r="O89" s="180">
        <v>1.1779071347684854E-3</v>
      </c>
      <c r="P89" s="180">
        <v>1.5442152510598698E-3</v>
      </c>
      <c r="Q89" s="180">
        <v>1.8880219117441428E-3</v>
      </c>
      <c r="R89" s="180">
        <v>9.3173966010624539E-4</v>
      </c>
      <c r="S89" s="180">
        <v>9.2701062278089308E-4</v>
      </c>
      <c r="T89" s="180">
        <v>6.2481040103688149E-4</v>
      </c>
      <c r="U89" s="180">
        <v>1.4284505514434026E-3</v>
      </c>
      <c r="V89" s="180">
        <v>5.5799413673053339E-4</v>
      </c>
      <c r="W89" s="180">
        <v>7.381374461617429E-4</v>
      </c>
      <c r="X89" s="180">
        <v>1.0633975936011025E-3</v>
      </c>
      <c r="Y89" s="180">
        <v>7.161428946835201E-4</v>
      </c>
      <c r="Z89" s="180">
        <v>1.0017697174583111E-3</v>
      </c>
      <c r="AA89" s="180">
        <v>7.3578315539153108E-4</v>
      </c>
      <c r="AB89" s="180">
        <v>8.5234066580948517E-4</v>
      </c>
      <c r="AC89" s="180">
        <v>4.7474349038820928E-4</v>
      </c>
      <c r="AD89" s="180">
        <v>6.4915062582396636E-4</v>
      </c>
      <c r="AE89" s="180">
        <v>1.2386809813748902E-3</v>
      </c>
      <c r="AF89" s="180">
        <v>1.1189073531181803E-4</v>
      </c>
      <c r="AG89" s="180">
        <v>1.2055891827737501E-3</v>
      </c>
      <c r="AH89" s="180">
        <v>1.9815526434870993E-4</v>
      </c>
      <c r="AI89" s="181">
        <v>5.7016164369997474E-4</v>
      </c>
    </row>
    <row r="90" spans="2:35" x14ac:dyDescent="0.25">
      <c r="B90" s="163" t="str">
        <f>'Market Data'!$B$28</f>
        <v>IBM</v>
      </c>
      <c r="C90" s="160">
        <f>Statistics!$G$30</f>
        <v>-1.0805706759468385E-4</v>
      </c>
      <c r="E90" s="168">
        <v>0</v>
      </c>
      <c r="F90" s="85" t="str">
        <v>IBM</v>
      </c>
      <c r="G90" s="179">
        <v>1.7737023799007877E-3</v>
      </c>
      <c r="H90" s="180">
        <v>1.960684724858895E-3</v>
      </c>
      <c r="I90" s="180">
        <v>1.1336433634722555E-3</v>
      </c>
      <c r="J90" s="180">
        <v>2.1554825858441308E-3</v>
      </c>
      <c r="K90" s="180">
        <v>2.2508292865696072E-3</v>
      </c>
      <c r="L90" s="180">
        <v>1.7099575851328929E-3</v>
      </c>
      <c r="M90" s="180">
        <v>2.4056181433013803E-3</v>
      </c>
      <c r="N90" s="180">
        <v>1.2533920720746924E-3</v>
      </c>
      <c r="O90" s="180">
        <v>1.4606469135339543E-3</v>
      </c>
      <c r="P90" s="180">
        <v>2.2308798805711167E-3</v>
      </c>
      <c r="Q90" s="180">
        <v>9.3173966010624539E-4</v>
      </c>
      <c r="R90" s="180">
        <v>3.3622126456479009E-3</v>
      </c>
      <c r="S90" s="180">
        <v>1.4043690490920693E-3</v>
      </c>
      <c r="T90" s="180">
        <v>5.9347717242683358E-4</v>
      </c>
      <c r="U90" s="180">
        <v>2.0888390371824788E-3</v>
      </c>
      <c r="V90" s="180">
        <v>5.7019303114958723E-4</v>
      </c>
      <c r="W90" s="180">
        <v>5.4513263389601688E-4</v>
      </c>
      <c r="X90" s="180">
        <v>1.0275296737018624E-3</v>
      </c>
      <c r="Y90" s="180">
        <v>1.0097860441379664E-3</v>
      </c>
      <c r="Z90" s="180">
        <v>1.4353906099659559E-3</v>
      </c>
      <c r="AA90" s="180">
        <v>1.3757321359017424E-4</v>
      </c>
      <c r="AB90" s="180">
        <v>7.9545047293496068E-4</v>
      </c>
      <c r="AC90" s="180">
        <v>5.5361049131124631E-4</v>
      </c>
      <c r="AD90" s="180">
        <v>8.8298395118505178E-4</v>
      </c>
      <c r="AE90" s="180">
        <v>1.5169272523521361E-3</v>
      </c>
      <c r="AF90" s="180">
        <v>2.033685246020378E-4</v>
      </c>
      <c r="AG90" s="180">
        <v>1.2306885914741903E-3</v>
      </c>
      <c r="AH90" s="180">
        <v>3.7610030291999273E-4</v>
      </c>
      <c r="AI90" s="181">
        <v>1.0970123689928199E-3</v>
      </c>
    </row>
    <row r="91" spans="2:35" x14ac:dyDescent="0.25">
      <c r="B91" s="163" t="str">
        <f>'Market Data'!$B$29</f>
        <v>INTC</v>
      </c>
      <c r="C91" s="160">
        <f>Statistics!$G$31</f>
        <v>1.4825313209679855E-2</v>
      </c>
      <c r="E91" s="168">
        <v>0</v>
      </c>
      <c r="F91" s="85" t="str">
        <v>INTC</v>
      </c>
      <c r="G91" s="179">
        <v>1.6293191413582805E-3</v>
      </c>
      <c r="H91" s="180">
        <v>2.0715314739138896E-3</v>
      </c>
      <c r="I91" s="180">
        <v>1.485647562986758E-3</v>
      </c>
      <c r="J91" s="180">
        <v>2.3005603160952529E-3</v>
      </c>
      <c r="K91" s="180">
        <v>2.2625583672846289E-3</v>
      </c>
      <c r="L91" s="180">
        <v>1.762362573764028E-3</v>
      </c>
      <c r="M91" s="180">
        <v>2.9333641814070907E-3</v>
      </c>
      <c r="N91" s="180">
        <v>1.4872846501875279E-3</v>
      </c>
      <c r="O91" s="180">
        <v>1.8413857882482649E-3</v>
      </c>
      <c r="P91" s="180">
        <v>1.7997270101458302E-3</v>
      </c>
      <c r="Q91" s="180">
        <v>9.2701062278089308E-4</v>
      </c>
      <c r="R91" s="180">
        <v>1.4043690490920693E-3</v>
      </c>
      <c r="S91" s="180">
        <v>3.8953291630483993E-3</v>
      </c>
      <c r="T91" s="180">
        <v>8.7155825849789608E-4</v>
      </c>
      <c r="U91" s="180">
        <v>1.6338310266769979E-3</v>
      </c>
      <c r="V91" s="180">
        <v>1.1107691361801554E-3</v>
      </c>
      <c r="W91" s="180">
        <v>9.1762089354393737E-4</v>
      </c>
      <c r="X91" s="180">
        <v>1.3291856750406272E-3</v>
      </c>
      <c r="Y91" s="180">
        <v>1.2481991200788169E-3</v>
      </c>
      <c r="Z91" s="180">
        <v>2.824290151917595E-3</v>
      </c>
      <c r="AA91" s="180">
        <v>5.7515792739731505E-4</v>
      </c>
      <c r="AB91" s="180">
        <v>9.9184976149502301E-4</v>
      </c>
      <c r="AC91" s="180">
        <v>7.9168442412031782E-4</v>
      </c>
      <c r="AD91" s="180">
        <v>5.6633014876153942E-4</v>
      </c>
      <c r="AE91" s="180">
        <v>1.2132957377483657E-3</v>
      </c>
      <c r="AF91" s="180">
        <v>8.2166255763751334E-4</v>
      </c>
      <c r="AG91" s="180">
        <v>1.8678530672680304E-3</v>
      </c>
      <c r="AH91" s="180">
        <v>-1.8556188989019865E-5</v>
      </c>
      <c r="AI91" s="181">
        <v>1.0791409093812321E-3</v>
      </c>
    </row>
    <row r="92" spans="2:35" x14ac:dyDescent="0.25">
      <c r="B92" s="163" t="str">
        <f>'Market Data'!$B$30</f>
        <v>JNJ</v>
      </c>
      <c r="C92" s="160">
        <f>Statistics!$G$32</f>
        <v>1.2075919577819831E-2</v>
      </c>
      <c r="E92" s="168">
        <v>0</v>
      </c>
      <c r="F92" s="85" t="str">
        <v>JNJ</v>
      </c>
      <c r="G92" s="179">
        <v>8.2631268301744008E-4</v>
      </c>
      <c r="H92" s="180">
        <v>7.3945969222275051E-4</v>
      </c>
      <c r="I92" s="180">
        <v>7.7470388279684329E-4</v>
      </c>
      <c r="J92" s="180">
        <v>9.0633949973445221E-4</v>
      </c>
      <c r="K92" s="180">
        <v>1.1094225673998865E-3</v>
      </c>
      <c r="L92" s="180">
        <v>1.0006982850928254E-3</v>
      </c>
      <c r="M92" s="180">
        <v>1.7073269232421356E-3</v>
      </c>
      <c r="N92" s="180">
        <v>7.6090581351824873E-4</v>
      </c>
      <c r="O92" s="180">
        <v>1.1338883047798758E-3</v>
      </c>
      <c r="P92" s="180">
        <v>7.4857834611503948E-4</v>
      </c>
      <c r="Q92" s="180">
        <v>6.2481040103688149E-4</v>
      </c>
      <c r="R92" s="180">
        <v>5.9347717242683358E-4</v>
      </c>
      <c r="S92" s="180">
        <v>8.7155825849789608E-4</v>
      </c>
      <c r="T92" s="180">
        <v>1.3437205064186324E-3</v>
      </c>
      <c r="U92" s="180">
        <v>9.2330996350035955E-4</v>
      </c>
      <c r="V92" s="180">
        <v>8.0248592661524116E-4</v>
      </c>
      <c r="W92" s="180">
        <v>7.2064842002941051E-4</v>
      </c>
      <c r="X92" s="180">
        <v>9.1647163555960687E-4</v>
      </c>
      <c r="Y92" s="180">
        <v>7.8932636294384688E-4</v>
      </c>
      <c r="Z92" s="180">
        <v>8.3950208317612799E-4</v>
      </c>
      <c r="AA92" s="180">
        <v>2.4076387457302071E-4</v>
      </c>
      <c r="AB92" s="180">
        <v>1.174922395291398E-3</v>
      </c>
      <c r="AC92" s="180">
        <v>7.8676359672877393E-4</v>
      </c>
      <c r="AD92" s="180">
        <v>4.4624886795118808E-4</v>
      </c>
      <c r="AE92" s="180">
        <v>1.0117367356107026E-3</v>
      </c>
      <c r="AF92" s="180">
        <v>7.3214708969514145E-4</v>
      </c>
      <c r="AG92" s="180">
        <v>8.2747273857601913E-4</v>
      </c>
      <c r="AH92" s="180">
        <v>7.1470891411086447E-4</v>
      </c>
      <c r="AI92" s="181">
        <v>7.4627799983375924E-4</v>
      </c>
    </row>
    <row r="93" spans="2:35" x14ac:dyDescent="0.25">
      <c r="B93" s="163" t="str">
        <f>'Market Data'!$B$31</f>
        <v>JPM</v>
      </c>
      <c r="C93" s="160">
        <f>Statistics!$G$33</f>
        <v>1.7183196749963128E-2</v>
      </c>
      <c r="E93" s="168">
        <v>0</v>
      </c>
      <c r="F93" s="85" t="str">
        <v>JPM</v>
      </c>
      <c r="G93" s="179">
        <v>1.2529926248616137E-3</v>
      </c>
      <c r="H93" s="180">
        <v>2.7840355446374721E-3</v>
      </c>
      <c r="I93" s="180">
        <v>1.8054441283061249E-3</v>
      </c>
      <c r="J93" s="180">
        <v>2.011937601179676E-3</v>
      </c>
      <c r="K93" s="180">
        <v>2.0831844183308271E-3</v>
      </c>
      <c r="L93" s="180">
        <v>2.159640132817216E-3</v>
      </c>
      <c r="M93" s="180">
        <v>2.9403656750226037E-3</v>
      </c>
      <c r="N93" s="180">
        <v>2.3150492241015347E-3</v>
      </c>
      <c r="O93" s="180">
        <v>1.9825602222543746E-3</v>
      </c>
      <c r="P93" s="180">
        <v>3.8267678235899111E-3</v>
      </c>
      <c r="Q93" s="180">
        <v>1.4284505514434026E-3</v>
      </c>
      <c r="R93" s="180">
        <v>2.0888390371824788E-3</v>
      </c>
      <c r="S93" s="180">
        <v>1.6338310266769979E-3</v>
      </c>
      <c r="T93" s="180">
        <v>9.2330996350035955E-4</v>
      </c>
      <c r="U93" s="180">
        <v>3.6504820104783621E-3</v>
      </c>
      <c r="V93" s="180">
        <v>6.292727988425526E-4</v>
      </c>
      <c r="W93" s="180">
        <v>1.135373183104091E-3</v>
      </c>
      <c r="X93" s="180">
        <v>1.3229022331511452E-3</v>
      </c>
      <c r="Y93" s="180">
        <v>9.9035410413519649E-4</v>
      </c>
      <c r="Z93" s="180">
        <v>2.1029083027690664E-3</v>
      </c>
      <c r="AA93" s="180">
        <v>6.7839144071882979E-4</v>
      </c>
      <c r="AB93" s="180">
        <v>1.3592270505613203E-3</v>
      </c>
      <c r="AC93" s="180">
        <v>7.2953612857905574E-4</v>
      </c>
      <c r="AD93" s="180">
        <v>1.2617149248905092E-3</v>
      </c>
      <c r="AE93" s="180">
        <v>1.8453743354725578E-3</v>
      </c>
      <c r="AF93" s="180">
        <v>3.9836144643633019E-4</v>
      </c>
      <c r="AG93" s="180">
        <v>1.9463933682734615E-3</v>
      </c>
      <c r="AH93" s="180">
        <v>7.503242005510376E-5</v>
      </c>
      <c r="AI93" s="181">
        <v>1.3958094738143344E-3</v>
      </c>
    </row>
    <row r="94" spans="2:35" x14ac:dyDescent="0.25">
      <c r="B94" s="163" t="str">
        <f>'Market Data'!$B$32</f>
        <v>KO</v>
      </c>
      <c r="C94" s="160">
        <f>Statistics!$G$34</f>
        <v>4.1810541872704362E-3</v>
      </c>
      <c r="E94" s="168">
        <v>0</v>
      </c>
      <c r="F94" s="85" t="str">
        <v>KO</v>
      </c>
      <c r="G94" s="179">
        <v>9.6129190129553134E-4</v>
      </c>
      <c r="H94" s="180">
        <v>5.6369017954212687E-4</v>
      </c>
      <c r="I94" s="180">
        <v>9.7196182882881919E-4</v>
      </c>
      <c r="J94" s="180">
        <v>6.586205973694774E-4</v>
      </c>
      <c r="K94" s="180">
        <v>1.0904984859812852E-3</v>
      </c>
      <c r="L94" s="180">
        <v>7.7350953916938299E-4</v>
      </c>
      <c r="M94" s="180">
        <v>1.3828838928124146E-3</v>
      </c>
      <c r="N94" s="180">
        <v>7.3157249166013263E-4</v>
      </c>
      <c r="O94" s="180">
        <v>1.0900315820250495E-3</v>
      </c>
      <c r="P94" s="180">
        <v>5.0884399749192373E-4</v>
      </c>
      <c r="Q94" s="180">
        <v>5.5799413673053339E-4</v>
      </c>
      <c r="R94" s="180">
        <v>5.7019303114958723E-4</v>
      </c>
      <c r="S94" s="180">
        <v>1.1107691361801554E-3</v>
      </c>
      <c r="T94" s="180">
        <v>8.0248592661524116E-4</v>
      </c>
      <c r="U94" s="180">
        <v>6.292727988425526E-4</v>
      </c>
      <c r="V94" s="180">
        <v>1.2210270669043683E-3</v>
      </c>
      <c r="W94" s="180">
        <v>7.9000312454904529E-4</v>
      </c>
      <c r="X94" s="180">
        <v>6.5400026561614926E-4</v>
      </c>
      <c r="Y94" s="180">
        <v>5.6925923112739025E-4</v>
      </c>
      <c r="Z94" s="180">
        <v>1.0711085481253278E-3</v>
      </c>
      <c r="AA94" s="180">
        <v>4.3589033448327737E-4</v>
      </c>
      <c r="AB94" s="180">
        <v>6.3614560547018231E-4</v>
      </c>
      <c r="AC94" s="180">
        <v>6.5740070509151668E-4</v>
      </c>
      <c r="AD94" s="180">
        <v>1.2737483924284157E-4</v>
      </c>
      <c r="AE94" s="180">
        <v>5.7087013169956707E-4</v>
      </c>
      <c r="AF94" s="180">
        <v>4.9096142938173941E-4</v>
      </c>
      <c r="AG94" s="180">
        <v>9.4999344105865064E-4</v>
      </c>
      <c r="AH94" s="180">
        <v>6.4703627119224946E-4</v>
      </c>
      <c r="AI94" s="181">
        <v>5.1805651820066112E-4</v>
      </c>
    </row>
    <row r="95" spans="2:35" x14ac:dyDescent="0.25">
      <c r="B95" s="163" t="str">
        <f>'Market Data'!$B$33</f>
        <v>MCD</v>
      </c>
      <c r="C95" s="160">
        <f>Statistics!$G$35</f>
        <v>8.998422120903465E-3</v>
      </c>
      <c r="E95" s="168">
        <v>0.125</v>
      </c>
      <c r="F95" s="85" t="str">
        <v>MCD</v>
      </c>
      <c r="G95" s="179">
        <v>4.3723596630614248E-4</v>
      </c>
      <c r="H95" s="180">
        <v>5.9016175595858627E-4</v>
      </c>
      <c r="I95" s="180">
        <v>1.004575731683145E-3</v>
      </c>
      <c r="J95" s="180">
        <v>1.2118483675212872E-3</v>
      </c>
      <c r="K95" s="180">
        <v>8.8656407550750189E-4</v>
      </c>
      <c r="L95" s="180">
        <v>1.2445101608031307E-3</v>
      </c>
      <c r="M95" s="180">
        <v>1.5566945864839937E-3</v>
      </c>
      <c r="N95" s="180">
        <v>1.0434476997331528E-3</v>
      </c>
      <c r="O95" s="180">
        <v>1.4080437366372094E-3</v>
      </c>
      <c r="P95" s="180">
        <v>1.1844149472533348E-3</v>
      </c>
      <c r="Q95" s="180">
        <v>7.381374461617429E-4</v>
      </c>
      <c r="R95" s="180">
        <v>5.4513263389601688E-4</v>
      </c>
      <c r="S95" s="180">
        <v>9.1762089354393737E-4</v>
      </c>
      <c r="T95" s="180">
        <v>7.2064842002941051E-4</v>
      </c>
      <c r="U95" s="180">
        <v>1.135373183104091E-3</v>
      </c>
      <c r="V95" s="180">
        <v>7.9000312454904529E-4</v>
      </c>
      <c r="W95" s="180">
        <v>1.7650690545216805E-3</v>
      </c>
      <c r="X95" s="180">
        <v>7.9590651205676567E-4</v>
      </c>
      <c r="Y95" s="180">
        <v>5.886623345512683E-4</v>
      </c>
      <c r="Z95" s="180">
        <v>1.2284698745461862E-3</v>
      </c>
      <c r="AA95" s="180">
        <v>4.3355644868225306E-4</v>
      </c>
      <c r="AB95" s="180">
        <v>9.4939047744066322E-4</v>
      </c>
      <c r="AC95" s="180">
        <v>4.0611550084338323E-4</v>
      </c>
      <c r="AD95" s="180">
        <v>3.5874031329227935E-4</v>
      </c>
      <c r="AE95" s="180">
        <v>8.7888532505727346E-4</v>
      </c>
      <c r="AF95" s="180">
        <v>6.7734327840461236E-4</v>
      </c>
      <c r="AG95" s="180">
        <v>1.0020182531469391E-3</v>
      </c>
      <c r="AH95" s="180">
        <v>4.237060092283065E-5</v>
      </c>
      <c r="AI95" s="181">
        <v>6.6389606634421081E-4</v>
      </c>
    </row>
    <row r="96" spans="2:35" x14ac:dyDescent="0.25">
      <c r="B96" s="163" t="str">
        <f>'Market Data'!$B$34</f>
        <v>MMM</v>
      </c>
      <c r="C96" s="160">
        <f>Statistics!$G$36</f>
        <v>1.5280500930100561E-2</v>
      </c>
      <c r="E96" s="168">
        <v>0</v>
      </c>
      <c r="F96" s="85" t="str">
        <v>MMM</v>
      </c>
      <c r="G96" s="179">
        <v>1.6042263123932821E-3</v>
      </c>
      <c r="H96" s="180">
        <v>1.3680882736390085E-3</v>
      </c>
      <c r="I96" s="180">
        <v>1.220072170107771E-3</v>
      </c>
      <c r="J96" s="180">
        <v>1.3778500117759705E-3</v>
      </c>
      <c r="K96" s="180">
        <v>1.6594658489014636E-3</v>
      </c>
      <c r="L96" s="180">
        <v>1.3396872809028706E-3</v>
      </c>
      <c r="M96" s="180">
        <v>2.4333011024343194E-3</v>
      </c>
      <c r="N96" s="180">
        <v>1.3935802423237448E-3</v>
      </c>
      <c r="O96" s="180">
        <v>1.6476299492810176E-3</v>
      </c>
      <c r="P96" s="180">
        <v>1.5580261625844892E-3</v>
      </c>
      <c r="Q96" s="180">
        <v>1.0633975936011025E-3</v>
      </c>
      <c r="R96" s="180">
        <v>1.0275296737018624E-3</v>
      </c>
      <c r="S96" s="180">
        <v>1.3291856750406272E-3</v>
      </c>
      <c r="T96" s="180">
        <v>9.1647163555960687E-4</v>
      </c>
      <c r="U96" s="180">
        <v>1.3229022331511452E-3</v>
      </c>
      <c r="V96" s="180">
        <v>6.5400026561614926E-4</v>
      </c>
      <c r="W96" s="180">
        <v>7.9590651205676567E-4</v>
      </c>
      <c r="X96" s="180">
        <v>1.9007159701372343E-3</v>
      </c>
      <c r="Y96" s="180">
        <v>9.3087542856500223E-4</v>
      </c>
      <c r="Z96" s="180">
        <v>9.5021437706372129E-4</v>
      </c>
      <c r="AA96" s="180">
        <v>7.5220949128439868E-4</v>
      </c>
      <c r="AB96" s="180">
        <v>1.1108584905280188E-3</v>
      </c>
      <c r="AC96" s="180">
        <v>7.8023777188204919E-4</v>
      </c>
      <c r="AD96" s="180">
        <v>9.8369986573183495E-4</v>
      </c>
      <c r="AE96" s="180">
        <v>1.8471574472775569E-3</v>
      </c>
      <c r="AF96" s="180">
        <v>5.9539589470078522E-4</v>
      </c>
      <c r="AG96" s="180">
        <v>1.59984129324471E-3</v>
      </c>
      <c r="AH96" s="180">
        <v>4.5051539698961655E-4</v>
      </c>
      <c r="AI96" s="181">
        <v>1.2697174541958882E-3</v>
      </c>
    </row>
    <row r="97" spans="1:35" x14ac:dyDescent="0.25">
      <c r="B97" s="163" t="str">
        <f>'Market Data'!$B$35</f>
        <v>MRK</v>
      </c>
      <c r="C97" s="160">
        <f>Statistics!$G$37</f>
        <v>1.1473476041634185E-2</v>
      </c>
      <c r="E97" s="168">
        <v>0</v>
      </c>
      <c r="F97" s="85" t="str">
        <v>MRK</v>
      </c>
      <c r="G97" s="179">
        <v>6.6280896407091964E-4</v>
      </c>
      <c r="H97" s="180">
        <v>9.5675499919051471E-4</v>
      </c>
      <c r="I97" s="180">
        <v>1.3506721993334096E-3</v>
      </c>
      <c r="J97" s="180">
        <v>1.6454661341138513E-3</v>
      </c>
      <c r="K97" s="180">
        <v>1.2877752599161352E-3</v>
      </c>
      <c r="L97" s="180">
        <v>1.0548817345930506E-3</v>
      </c>
      <c r="M97" s="180">
        <v>2.1034755337789339E-3</v>
      </c>
      <c r="N97" s="180">
        <v>1.1180874248259017E-3</v>
      </c>
      <c r="O97" s="180">
        <v>7.4080885300837902E-4</v>
      </c>
      <c r="P97" s="180">
        <v>9.5059394038900442E-4</v>
      </c>
      <c r="Q97" s="180">
        <v>7.161428946835201E-4</v>
      </c>
      <c r="R97" s="180">
        <v>1.0097860441379664E-3</v>
      </c>
      <c r="S97" s="180">
        <v>1.2481991200788169E-3</v>
      </c>
      <c r="T97" s="180">
        <v>7.8932636294384688E-4</v>
      </c>
      <c r="U97" s="180">
        <v>9.9035410413519649E-4</v>
      </c>
      <c r="V97" s="180">
        <v>5.6925923112739025E-4</v>
      </c>
      <c r="W97" s="180">
        <v>5.886623345512683E-4</v>
      </c>
      <c r="X97" s="180">
        <v>9.3087542856500223E-4</v>
      </c>
      <c r="Y97" s="180">
        <v>2.5431403633519077E-3</v>
      </c>
      <c r="Z97" s="180">
        <v>1.0039618395335291E-3</v>
      </c>
      <c r="AA97" s="180">
        <v>3.4083858597475385E-4</v>
      </c>
      <c r="AB97" s="180">
        <v>1.3412346285691251E-3</v>
      </c>
      <c r="AC97" s="180">
        <v>3.7529952314904947E-4</v>
      </c>
      <c r="AD97" s="180">
        <v>8.5985137540516086E-4</v>
      </c>
      <c r="AE97" s="180">
        <v>1.4646144344401168E-3</v>
      </c>
      <c r="AF97" s="180">
        <v>3.3006228708408361E-4</v>
      </c>
      <c r="AG97" s="180">
        <v>1.1984054366898813E-3</v>
      </c>
      <c r="AH97" s="180">
        <v>4.389896882024129E-4</v>
      </c>
      <c r="AI97" s="181">
        <v>5.8214330295854532E-4</v>
      </c>
    </row>
    <row r="98" spans="1:35" x14ac:dyDescent="0.25">
      <c r="B98" s="163" t="str">
        <f>'Market Data'!$B$36</f>
        <v>MSFT</v>
      </c>
      <c r="C98" s="160">
        <f>Statistics!$G$38</f>
        <v>2.1777833497491961E-2</v>
      </c>
      <c r="E98" s="168">
        <v>0</v>
      </c>
      <c r="F98" s="85" t="str">
        <v>MSFT</v>
      </c>
      <c r="G98" s="179">
        <v>1.7656054736670385E-3</v>
      </c>
      <c r="H98" s="180">
        <v>1.7453927826798744E-3</v>
      </c>
      <c r="I98" s="180">
        <v>1.4618979219237266E-3</v>
      </c>
      <c r="J98" s="180">
        <v>2.2842322526096018E-3</v>
      </c>
      <c r="K98" s="180">
        <v>2.1511833371391734E-3</v>
      </c>
      <c r="L98" s="180">
        <v>1.921523261676006E-3</v>
      </c>
      <c r="M98" s="180">
        <v>3.4647817866697963E-3</v>
      </c>
      <c r="N98" s="180">
        <v>1.7514488094562146E-3</v>
      </c>
      <c r="O98" s="180">
        <v>2.1782812682115105E-3</v>
      </c>
      <c r="P98" s="180">
        <v>1.9881521509949444E-3</v>
      </c>
      <c r="Q98" s="180">
        <v>1.0017697174583111E-3</v>
      </c>
      <c r="R98" s="180">
        <v>1.4353906099659559E-3</v>
      </c>
      <c r="S98" s="180">
        <v>2.824290151917595E-3</v>
      </c>
      <c r="T98" s="180">
        <v>8.3950208317612799E-4</v>
      </c>
      <c r="U98" s="180">
        <v>2.1029083027690664E-3</v>
      </c>
      <c r="V98" s="180">
        <v>1.0711085481253278E-3</v>
      </c>
      <c r="W98" s="180">
        <v>1.2284698745461862E-3</v>
      </c>
      <c r="X98" s="180">
        <v>9.5021437706372129E-4</v>
      </c>
      <c r="Y98" s="180">
        <v>1.0039618395335291E-3</v>
      </c>
      <c r="Z98" s="180">
        <v>4.5817164894349687E-3</v>
      </c>
      <c r="AA98" s="180">
        <v>9.1111393401995618E-4</v>
      </c>
      <c r="AB98" s="180">
        <v>1.1007292150403058E-3</v>
      </c>
      <c r="AC98" s="180">
        <v>1.0300601718935634E-3</v>
      </c>
      <c r="AD98" s="180">
        <v>2.4058610256342332E-4</v>
      </c>
      <c r="AE98" s="180">
        <v>9.3007091875184366E-4</v>
      </c>
      <c r="AF98" s="180">
        <v>7.4555370224549768E-4</v>
      </c>
      <c r="AG98" s="180">
        <v>1.5294825998788863E-3</v>
      </c>
      <c r="AH98" s="180">
        <v>-3.4970831020819231E-4</v>
      </c>
      <c r="AI98" s="181">
        <v>1.2219742467918569E-3</v>
      </c>
    </row>
    <row r="99" spans="1:35" x14ac:dyDescent="0.25">
      <c r="B99" s="163" t="str">
        <f>'Market Data'!$B$37</f>
        <v>NKE</v>
      </c>
      <c r="C99" s="160">
        <f>Statistics!$G$39</f>
        <v>1.5970247269241938E-2</v>
      </c>
      <c r="E99" s="168">
        <v>0</v>
      </c>
      <c r="F99" s="85" t="str">
        <v>NKE</v>
      </c>
      <c r="G99" s="179">
        <v>7.4054258425286133E-4</v>
      </c>
      <c r="H99" s="180">
        <v>9.1418204127611028E-4</v>
      </c>
      <c r="I99" s="180">
        <v>1.1825978430535619E-3</v>
      </c>
      <c r="J99" s="180">
        <v>-1.1104731462091626E-4</v>
      </c>
      <c r="K99" s="180">
        <v>7.2136303147440504E-4</v>
      </c>
      <c r="L99" s="180">
        <v>-3.0145919518466895E-4</v>
      </c>
      <c r="M99" s="180">
        <v>1.371253710214986E-3</v>
      </c>
      <c r="N99" s="180">
        <v>1.1713887062549742E-3</v>
      </c>
      <c r="O99" s="180">
        <v>6.8149888740689005E-4</v>
      </c>
      <c r="P99" s="180">
        <v>9.2810945195530823E-4</v>
      </c>
      <c r="Q99" s="180">
        <v>7.3578315539153108E-4</v>
      </c>
      <c r="R99" s="180">
        <v>1.3757321359017424E-4</v>
      </c>
      <c r="S99" s="180">
        <v>5.7515792739731505E-4</v>
      </c>
      <c r="T99" s="180">
        <v>2.4076387457302071E-4</v>
      </c>
      <c r="U99" s="180">
        <v>6.7839144071882979E-4</v>
      </c>
      <c r="V99" s="180">
        <v>4.3589033448327737E-4</v>
      </c>
      <c r="W99" s="180">
        <v>4.3355644868225306E-4</v>
      </c>
      <c r="X99" s="180">
        <v>7.5220949128439868E-4</v>
      </c>
      <c r="Y99" s="180">
        <v>3.4083858597475385E-4</v>
      </c>
      <c r="Z99" s="180">
        <v>9.1111393401995618E-4</v>
      </c>
      <c r="AA99" s="180">
        <v>2.7193308407813446E-3</v>
      </c>
      <c r="AB99" s="180">
        <v>5.6615292191577104E-4</v>
      </c>
      <c r="AC99" s="180">
        <v>3.6538493696828688E-4</v>
      </c>
      <c r="AD99" s="180">
        <v>8.9669180264711685E-5</v>
      </c>
      <c r="AE99" s="180">
        <v>4.9140530374502923E-4</v>
      </c>
      <c r="AF99" s="180">
        <v>1.0278859564771125E-5</v>
      </c>
      <c r="AG99" s="180">
        <v>1.2162400994020978E-3</v>
      </c>
      <c r="AH99" s="180">
        <v>1.3266739677968515E-5</v>
      </c>
      <c r="AI99" s="181">
        <v>-1.9722713194093662E-4</v>
      </c>
    </row>
    <row r="100" spans="1:35" x14ac:dyDescent="0.25">
      <c r="B100" s="163" t="str">
        <f>'Market Data'!$B$38</f>
        <v>PFE</v>
      </c>
      <c r="C100" s="160">
        <f>Statistics!$G$40</f>
        <v>7.6042605716081235E-3</v>
      </c>
      <c r="E100" s="168">
        <v>0</v>
      </c>
      <c r="F100" s="85" t="str">
        <v>PFE</v>
      </c>
      <c r="G100" s="179">
        <v>1.105136574328315E-3</v>
      </c>
      <c r="H100" s="180">
        <v>1.0081234358528435E-3</v>
      </c>
      <c r="I100" s="180">
        <v>1.2950969606515986E-3</v>
      </c>
      <c r="J100" s="180">
        <v>7.9610645869862182E-4</v>
      </c>
      <c r="K100" s="180">
        <v>1.5185012123350332E-3</v>
      </c>
      <c r="L100" s="180">
        <v>1.0966581694716135E-3</v>
      </c>
      <c r="M100" s="180">
        <v>2.2541080192876768E-3</v>
      </c>
      <c r="N100" s="180">
        <v>1.4909638464124207E-3</v>
      </c>
      <c r="O100" s="180">
        <v>1.1596920910434683E-3</v>
      </c>
      <c r="P100" s="180">
        <v>1.2974763649140325E-3</v>
      </c>
      <c r="Q100" s="180">
        <v>8.5234066580948517E-4</v>
      </c>
      <c r="R100" s="180">
        <v>7.9545047293496068E-4</v>
      </c>
      <c r="S100" s="180">
        <v>9.9184976149502301E-4</v>
      </c>
      <c r="T100" s="180">
        <v>1.174922395291398E-3</v>
      </c>
      <c r="U100" s="180">
        <v>1.3592270505613203E-3</v>
      </c>
      <c r="V100" s="180">
        <v>6.3614560547018231E-4</v>
      </c>
      <c r="W100" s="180">
        <v>9.4939047744066322E-4</v>
      </c>
      <c r="X100" s="180">
        <v>1.1108584905280188E-3</v>
      </c>
      <c r="Y100" s="180">
        <v>1.3412346285691251E-3</v>
      </c>
      <c r="Z100" s="180">
        <v>1.1007292150403058E-3</v>
      </c>
      <c r="AA100" s="180">
        <v>5.6615292191577104E-4</v>
      </c>
      <c r="AB100" s="180">
        <v>2.4354805215546461E-3</v>
      </c>
      <c r="AC100" s="180">
        <v>7.7698221980775051E-4</v>
      </c>
      <c r="AD100" s="180">
        <v>7.5423895885674786E-4</v>
      </c>
      <c r="AE100" s="180">
        <v>1.3524566727664237E-3</v>
      </c>
      <c r="AF100" s="180">
        <v>6.9733723903610885E-4</v>
      </c>
      <c r="AG100" s="180">
        <v>1.6142857385330945E-3</v>
      </c>
      <c r="AH100" s="180">
        <v>6.1756439897017149E-4</v>
      </c>
      <c r="AI100" s="181">
        <v>8.1835922434987771E-4</v>
      </c>
    </row>
    <row r="101" spans="1:35" x14ac:dyDescent="0.25">
      <c r="B101" s="163" t="str">
        <f>'Market Data'!$B$39</f>
        <v>PG</v>
      </c>
      <c r="C101" s="160">
        <f>Statistics!$G$41</f>
        <v>6.7668222923833359E-3</v>
      </c>
      <c r="E101" s="168">
        <v>0</v>
      </c>
      <c r="F101" s="85" t="str">
        <v>PG</v>
      </c>
      <c r="G101" s="179">
        <v>1.0336127768185608E-3</v>
      </c>
      <c r="H101" s="180">
        <v>4.150551569421239E-4</v>
      </c>
      <c r="I101" s="180">
        <v>5.997217417536032E-4</v>
      </c>
      <c r="J101" s="180">
        <v>4.9254664842985144E-4</v>
      </c>
      <c r="K101" s="180">
        <v>1.0690588122897406E-3</v>
      </c>
      <c r="L101" s="180">
        <v>8.4385070363078498E-4</v>
      </c>
      <c r="M101" s="180">
        <v>1.1783213677355128E-3</v>
      </c>
      <c r="N101" s="180">
        <v>6.6920552953337459E-4</v>
      </c>
      <c r="O101" s="180">
        <v>8.669689440805547E-4</v>
      </c>
      <c r="P101" s="180">
        <v>6.8796273406052837E-4</v>
      </c>
      <c r="Q101" s="180">
        <v>4.7474349038820928E-4</v>
      </c>
      <c r="R101" s="180">
        <v>5.5361049131124631E-4</v>
      </c>
      <c r="S101" s="180">
        <v>7.9168442412031782E-4</v>
      </c>
      <c r="T101" s="180">
        <v>7.8676359672877393E-4</v>
      </c>
      <c r="U101" s="180">
        <v>7.2953612857905574E-4</v>
      </c>
      <c r="V101" s="180">
        <v>6.5740070509151668E-4</v>
      </c>
      <c r="W101" s="180">
        <v>4.0611550084338323E-4</v>
      </c>
      <c r="X101" s="180">
        <v>7.8023777188204919E-4</v>
      </c>
      <c r="Y101" s="180">
        <v>3.7529952314904947E-4</v>
      </c>
      <c r="Z101" s="180">
        <v>1.0300601718935634E-3</v>
      </c>
      <c r="AA101" s="180">
        <v>3.6538493696828688E-4</v>
      </c>
      <c r="AB101" s="180">
        <v>7.7698221980775051E-4</v>
      </c>
      <c r="AC101" s="180">
        <v>1.4111752678343567E-3</v>
      </c>
      <c r="AD101" s="180">
        <v>1.723275330802805E-4</v>
      </c>
      <c r="AE101" s="180">
        <v>6.4008748533685535E-4</v>
      </c>
      <c r="AF101" s="180">
        <v>2.3535220881827705E-4</v>
      </c>
      <c r="AG101" s="180">
        <v>9.2172519542926422E-4</v>
      </c>
      <c r="AH101" s="180">
        <v>7.2490049760504278E-4</v>
      </c>
      <c r="AI101" s="181">
        <v>6.1092932367000222E-4</v>
      </c>
    </row>
    <row r="102" spans="1:35" x14ac:dyDescent="0.25">
      <c r="B102" s="163" t="str">
        <f>'Market Data'!$B$40</f>
        <v>UNH</v>
      </c>
      <c r="C102" s="160">
        <f>Statistics!$G$42</f>
        <v>2.4695057092687361E-2</v>
      </c>
      <c r="E102" s="168">
        <v>0</v>
      </c>
      <c r="F102" s="85" t="str">
        <v>UNH</v>
      </c>
      <c r="G102" s="179">
        <v>5.5673881663560775E-4</v>
      </c>
      <c r="H102" s="180">
        <v>9.035040942327959E-4</v>
      </c>
      <c r="I102" s="180">
        <v>6.5863568330466196E-4</v>
      </c>
      <c r="J102" s="180">
        <v>7.8373416165496384E-4</v>
      </c>
      <c r="K102" s="180">
        <v>1.0321561899434074E-3</v>
      </c>
      <c r="L102" s="180">
        <v>8.9699068571536217E-4</v>
      </c>
      <c r="M102" s="180">
        <v>1.3915459916452729E-3</v>
      </c>
      <c r="N102" s="180">
        <v>9.9320622386439117E-4</v>
      </c>
      <c r="O102" s="180">
        <v>6.9406421327386882E-4</v>
      </c>
      <c r="P102" s="180">
        <v>1.248419321363809E-3</v>
      </c>
      <c r="Q102" s="180">
        <v>6.4915062582396636E-4</v>
      </c>
      <c r="R102" s="180">
        <v>8.8298395118505178E-4</v>
      </c>
      <c r="S102" s="180">
        <v>5.6633014876153942E-4</v>
      </c>
      <c r="T102" s="180">
        <v>4.4624886795118808E-4</v>
      </c>
      <c r="U102" s="180">
        <v>1.2617149248905092E-3</v>
      </c>
      <c r="V102" s="180">
        <v>1.2737483924284157E-4</v>
      </c>
      <c r="W102" s="180">
        <v>3.5874031329227935E-4</v>
      </c>
      <c r="X102" s="180">
        <v>9.8369986573183495E-4</v>
      </c>
      <c r="Y102" s="180">
        <v>8.5985137540516086E-4</v>
      </c>
      <c r="Z102" s="180">
        <v>2.4058610256342332E-4</v>
      </c>
      <c r="AA102" s="180">
        <v>8.9669180264711685E-5</v>
      </c>
      <c r="AB102" s="180">
        <v>7.5423895885674786E-4</v>
      </c>
      <c r="AC102" s="180">
        <v>1.723275330802805E-4</v>
      </c>
      <c r="AD102" s="180">
        <v>1.9588021355587989E-3</v>
      </c>
      <c r="AE102" s="180">
        <v>1.3013762269017E-3</v>
      </c>
      <c r="AF102" s="180">
        <v>4.3562344006968111E-4</v>
      </c>
      <c r="AG102" s="180">
        <v>6.7255745531353401E-4</v>
      </c>
      <c r="AH102" s="180">
        <v>2.5472583633253342E-4</v>
      </c>
      <c r="AI102" s="181">
        <v>7.6037739981613735E-4</v>
      </c>
    </row>
    <row r="103" spans="1:35" x14ac:dyDescent="0.25">
      <c r="B103" s="163" t="str">
        <f>'Market Data'!$B$41</f>
        <v>UTX</v>
      </c>
      <c r="C103" s="160">
        <f>Statistics!$G$43</f>
        <v>7.3861111519648165E-3</v>
      </c>
      <c r="E103" s="168">
        <v>0</v>
      </c>
      <c r="F103" s="85" t="str">
        <v>UTX</v>
      </c>
      <c r="G103" s="179">
        <v>1.2367738317379871E-3</v>
      </c>
      <c r="H103" s="180">
        <v>1.9679940702890687E-3</v>
      </c>
      <c r="I103" s="180">
        <v>1.846395156096473E-3</v>
      </c>
      <c r="J103" s="180">
        <v>2.1924453554447642E-3</v>
      </c>
      <c r="K103" s="180">
        <v>2.0848208418056797E-3</v>
      </c>
      <c r="L103" s="180">
        <v>1.7655731333339048E-3</v>
      </c>
      <c r="M103" s="180">
        <v>3.4844332298577191E-3</v>
      </c>
      <c r="N103" s="180">
        <v>1.6618009644053405E-3</v>
      </c>
      <c r="O103" s="180">
        <v>1.9210155408337607E-3</v>
      </c>
      <c r="P103" s="180">
        <v>2.1674424403236793E-3</v>
      </c>
      <c r="Q103" s="180">
        <v>1.2386809813748902E-3</v>
      </c>
      <c r="R103" s="180">
        <v>1.5169272523521361E-3</v>
      </c>
      <c r="S103" s="180">
        <v>1.2132957377483657E-3</v>
      </c>
      <c r="T103" s="180">
        <v>1.0117367356107026E-3</v>
      </c>
      <c r="U103" s="180">
        <v>1.8453743354725578E-3</v>
      </c>
      <c r="V103" s="180">
        <v>5.7087013169956707E-4</v>
      </c>
      <c r="W103" s="180">
        <v>8.7888532505727346E-4</v>
      </c>
      <c r="X103" s="180">
        <v>1.8471574472775569E-3</v>
      </c>
      <c r="Y103" s="180">
        <v>1.4646144344401168E-3</v>
      </c>
      <c r="Z103" s="180">
        <v>9.3007091875184366E-4</v>
      </c>
      <c r="AA103" s="180">
        <v>4.9140530374502923E-4</v>
      </c>
      <c r="AB103" s="180">
        <v>1.3524566727664237E-3</v>
      </c>
      <c r="AC103" s="180">
        <v>6.4008748533685535E-4</v>
      </c>
      <c r="AD103" s="180">
        <v>1.3013762269017E-3</v>
      </c>
      <c r="AE103" s="180">
        <v>3.1502830070701034E-3</v>
      </c>
      <c r="AF103" s="180">
        <v>3.2120511051046262E-4</v>
      </c>
      <c r="AG103" s="180">
        <v>1.6964262161404888E-3</v>
      </c>
      <c r="AH103" s="180">
        <v>2.8814451862251201E-4</v>
      </c>
      <c r="AI103" s="181">
        <v>1.3259012920786922E-3</v>
      </c>
    </row>
    <row r="104" spans="1:35" x14ac:dyDescent="0.25">
      <c r="B104" s="163" t="str">
        <f>'Market Data'!$B$42</f>
        <v>VZ</v>
      </c>
      <c r="C104" s="160">
        <f>Statistics!$G$44</f>
        <v>5.0086030759070753E-3</v>
      </c>
      <c r="E104" s="168">
        <v>0</v>
      </c>
      <c r="F104" s="85" t="str">
        <v>VZ</v>
      </c>
      <c r="G104" s="179">
        <v>1.8457278448214234E-4</v>
      </c>
      <c r="H104" s="180">
        <v>-7.7366109832012643E-5</v>
      </c>
      <c r="I104" s="180">
        <v>3.7914592931386057E-4</v>
      </c>
      <c r="J104" s="180">
        <v>6.8929109799853135E-4</v>
      </c>
      <c r="K104" s="180">
        <v>5.9888719676582812E-4</v>
      </c>
      <c r="L104" s="180">
        <v>7.5916190680994219E-4</v>
      </c>
      <c r="M104" s="180">
        <v>9.2727826439514978E-4</v>
      </c>
      <c r="N104" s="180">
        <v>5.8624704841600517E-4</v>
      </c>
      <c r="O104" s="180">
        <v>1.0256274934399997E-3</v>
      </c>
      <c r="P104" s="180">
        <v>3.7523862948950627E-4</v>
      </c>
      <c r="Q104" s="180">
        <v>1.1189073531181803E-4</v>
      </c>
      <c r="R104" s="180">
        <v>2.033685246020378E-4</v>
      </c>
      <c r="S104" s="180">
        <v>8.2166255763751334E-4</v>
      </c>
      <c r="T104" s="180">
        <v>7.3214708969514145E-4</v>
      </c>
      <c r="U104" s="180">
        <v>3.9836144643633019E-4</v>
      </c>
      <c r="V104" s="180">
        <v>4.9096142938173941E-4</v>
      </c>
      <c r="W104" s="180">
        <v>6.7734327840461236E-4</v>
      </c>
      <c r="X104" s="180">
        <v>5.9539589470078522E-4</v>
      </c>
      <c r="Y104" s="180">
        <v>3.3006228708408361E-4</v>
      </c>
      <c r="Z104" s="180">
        <v>7.4555370224549768E-4</v>
      </c>
      <c r="AA104" s="180">
        <v>1.0278859564771125E-5</v>
      </c>
      <c r="AB104" s="180">
        <v>6.9733723903610885E-4</v>
      </c>
      <c r="AC104" s="180">
        <v>2.3535220881827705E-4</v>
      </c>
      <c r="AD104" s="180">
        <v>4.3562344006968111E-4</v>
      </c>
      <c r="AE104" s="180">
        <v>3.2120511051046262E-4</v>
      </c>
      <c r="AF104" s="180">
        <v>2.0420562729853461E-3</v>
      </c>
      <c r="AG104" s="180">
        <v>3.5270826394507459E-4</v>
      </c>
      <c r="AH104" s="180">
        <v>4.5696587310639262E-4</v>
      </c>
      <c r="AI104" s="181">
        <v>6.4524949399266879E-4</v>
      </c>
    </row>
    <row r="105" spans="1:35" x14ac:dyDescent="0.25">
      <c r="B105" s="163" t="str">
        <f>'Market Data'!$B$43</f>
        <v>V</v>
      </c>
      <c r="C105" s="160">
        <f>Statistics!$G$45</f>
        <v>1.7947618128132319E-2</v>
      </c>
      <c r="E105" s="168">
        <v>0.25</v>
      </c>
      <c r="F105" s="85" t="str">
        <v>V</v>
      </c>
      <c r="G105" s="179">
        <v>1.5697677901095443E-3</v>
      </c>
      <c r="H105" s="180">
        <v>2.1563583115517065E-3</v>
      </c>
      <c r="I105" s="180">
        <v>2.2475777063178958E-3</v>
      </c>
      <c r="J105" s="180">
        <v>1.4624027030174886E-3</v>
      </c>
      <c r="K105" s="180">
        <v>2.8598074505702059E-3</v>
      </c>
      <c r="L105" s="180">
        <v>9.2897312946466114E-4</v>
      </c>
      <c r="M105" s="180">
        <v>3.0677861856869904E-3</v>
      </c>
      <c r="N105" s="180">
        <v>2.2204011828610088E-3</v>
      </c>
      <c r="O105" s="180">
        <v>1.7646874198991678E-3</v>
      </c>
      <c r="P105" s="180">
        <v>2.0541307067505868E-3</v>
      </c>
      <c r="Q105" s="180">
        <v>1.2055891827737501E-3</v>
      </c>
      <c r="R105" s="180">
        <v>1.2306885914741903E-3</v>
      </c>
      <c r="S105" s="180">
        <v>1.8678530672680304E-3</v>
      </c>
      <c r="T105" s="180">
        <v>8.2747273857601913E-4</v>
      </c>
      <c r="U105" s="180">
        <v>1.9463933682734615E-3</v>
      </c>
      <c r="V105" s="180">
        <v>9.4999344105865064E-4</v>
      </c>
      <c r="W105" s="180">
        <v>1.0020182531469391E-3</v>
      </c>
      <c r="X105" s="180">
        <v>1.59984129324471E-3</v>
      </c>
      <c r="Y105" s="180">
        <v>1.1984054366898813E-3</v>
      </c>
      <c r="Z105" s="180">
        <v>1.5294825998788863E-3</v>
      </c>
      <c r="AA105" s="180">
        <v>1.2162400994020978E-3</v>
      </c>
      <c r="AB105" s="180">
        <v>1.6142857385330945E-3</v>
      </c>
      <c r="AC105" s="180">
        <v>9.2172519542926422E-4</v>
      </c>
      <c r="AD105" s="180">
        <v>6.7255745531353401E-4</v>
      </c>
      <c r="AE105" s="180">
        <v>1.6964262161404888E-3</v>
      </c>
      <c r="AF105" s="180">
        <v>3.5270826394507459E-4</v>
      </c>
      <c r="AG105" s="180">
        <v>3.6944718915923875E-3</v>
      </c>
      <c r="AH105" s="180">
        <v>2.1280259291490004E-4</v>
      </c>
      <c r="AI105" s="181">
        <v>9.4116112769672574E-4</v>
      </c>
    </row>
    <row r="106" spans="1:35" x14ac:dyDescent="0.25">
      <c r="B106" s="163" t="str">
        <f>'Market Data'!$B$44</f>
        <v>WMT</v>
      </c>
      <c r="C106" s="160">
        <f>Statistics!$G$46</f>
        <v>1.8437214178450567E-3</v>
      </c>
      <c r="E106" s="168">
        <v>0.25</v>
      </c>
      <c r="F106" s="85" t="str">
        <v>WMT</v>
      </c>
      <c r="G106" s="179">
        <v>5.7975796375205426E-4</v>
      </c>
      <c r="H106" s="180">
        <v>2.6973274792062105E-5</v>
      </c>
      <c r="I106" s="180">
        <v>1.7979190170774528E-4</v>
      </c>
      <c r="J106" s="180">
        <v>-2.1581932882750213E-4</v>
      </c>
      <c r="K106" s="180">
        <v>3.2563207166723412E-4</v>
      </c>
      <c r="L106" s="180">
        <v>1.437380584121094E-4</v>
      </c>
      <c r="M106" s="180">
        <v>-2.3301122426120984E-5</v>
      </c>
      <c r="N106" s="180">
        <v>-1.1672694641114529E-4</v>
      </c>
      <c r="O106" s="180">
        <v>3.1986346053900631E-5</v>
      </c>
      <c r="P106" s="180">
        <v>-5.4295264980806504E-5</v>
      </c>
      <c r="Q106" s="180">
        <v>1.9815526434870993E-4</v>
      </c>
      <c r="R106" s="180">
        <v>3.7610030291999273E-4</v>
      </c>
      <c r="S106" s="180">
        <v>-1.8556188989019865E-5</v>
      </c>
      <c r="T106" s="180">
        <v>7.1470891411086447E-4</v>
      </c>
      <c r="U106" s="180">
        <v>7.503242005510376E-5</v>
      </c>
      <c r="V106" s="180">
        <v>6.4703627119224946E-4</v>
      </c>
      <c r="W106" s="180">
        <v>4.237060092283065E-5</v>
      </c>
      <c r="X106" s="180">
        <v>4.5051539698961655E-4</v>
      </c>
      <c r="Y106" s="180">
        <v>4.389896882024129E-4</v>
      </c>
      <c r="Z106" s="180">
        <v>-3.4970831020819231E-4</v>
      </c>
      <c r="AA106" s="180">
        <v>1.3266739677968515E-5</v>
      </c>
      <c r="AB106" s="180">
        <v>6.1756439897017149E-4</v>
      </c>
      <c r="AC106" s="180">
        <v>7.2490049760504278E-4</v>
      </c>
      <c r="AD106" s="180">
        <v>2.5472583633253342E-4</v>
      </c>
      <c r="AE106" s="180">
        <v>2.8814451862251201E-4</v>
      </c>
      <c r="AF106" s="180">
        <v>4.5696587310639262E-4</v>
      </c>
      <c r="AG106" s="180">
        <v>2.1280259291490004E-4</v>
      </c>
      <c r="AH106" s="180">
        <v>1.9253008332035728E-3</v>
      </c>
      <c r="AI106" s="181">
        <v>9.9417778748729687E-5</v>
      </c>
    </row>
    <row r="107" spans="1:35" x14ac:dyDescent="0.25">
      <c r="B107" s="164" t="str">
        <f>'Market Data'!$B$45</f>
        <v>XOM</v>
      </c>
      <c r="C107" s="165">
        <f>Statistics!$G$47</f>
        <v>1.7101166353118678E-3</v>
      </c>
      <c r="E107" s="169">
        <v>0.25</v>
      </c>
      <c r="F107" s="86" t="str">
        <v>XOM</v>
      </c>
      <c r="G107" s="179">
        <v>8.3126780280069973E-4</v>
      </c>
      <c r="H107" s="180">
        <v>9.0240454872836753E-4</v>
      </c>
      <c r="I107" s="180">
        <v>5.5785917505375118E-4</v>
      </c>
      <c r="J107" s="180">
        <v>1.368945659107327E-3</v>
      </c>
      <c r="K107" s="180">
        <v>1.3701802479257339E-3</v>
      </c>
      <c r="L107" s="180">
        <v>1.9286286807754067E-3</v>
      </c>
      <c r="M107" s="180">
        <v>2.1182301102402332E-3</v>
      </c>
      <c r="N107" s="180">
        <v>1.3292278052638991E-3</v>
      </c>
      <c r="O107" s="180">
        <v>1.6264073394302158E-3</v>
      </c>
      <c r="P107" s="180">
        <v>1.4387650786059658E-3</v>
      </c>
      <c r="Q107" s="180">
        <v>5.7016164369997474E-4</v>
      </c>
      <c r="R107" s="180">
        <v>1.0970123689928199E-3</v>
      </c>
      <c r="S107" s="180">
        <v>1.0791409093812321E-3</v>
      </c>
      <c r="T107" s="180">
        <v>7.4627799983375924E-4</v>
      </c>
      <c r="U107" s="180">
        <v>1.3958094738143344E-3</v>
      </c>
      <c r="V107" s="180">
        <v>5.1805651820066112E-4</v>
      </c>
      <c r="W107" s="180">
        <v>6.6389606634421081E-4</v>
      </c>
      <c r="X107" s="180">
        <v>1.2697174541958882E-3</v>
      </c>
      <c r="Y107" s="180">
        <v>5.8214330295854532E-4</v>
      </c>
      <c r="Z107" s="180">
        <v>1.2219742467918569E-3</v>
      </c>
      <c r="AA107" s="180">
        <v>-1.9722713194093662E-4</v>
      </c>
      <c r="AB107" s="180">
        <v>8.1835922434987771E-4</v>
      </c>
      <c r="AC107" s="180">
        <v>6.1092932367000222E-4</v>
      </c>
      <c r="AD107" s="180">
        <v>7.6037739981613735E-4</v>
      </c>
      <c r="AE107" s="180">
        <v>1.3259012920786922E-3</v>
      </c>
      <c r="AF107" s="180">
        <v>6.4524949399266879E-4</v>
      </c>
      <c r="AG107" s="180">
        <v>9.4116112769672574E-4</v>
      </c>
      <c r="AH107" s="180">
        <v>9.9417778748729687E-5</v>
      </c>
      <c r="AI107" s="181">
        <v>1.845802781732033E-3</v>
      </c>
    </row>
    <row r="108" spans="1:35" x14ac:dyDescent="0.25">
      <c r="A108" s="3"/>
      <c r="B108" s="3"/>
      <c r="C108" s="3"/>
      <c r="D108" s="3"/>
      <c r="E108" s="182">
        <f>SUM(TEST_PORTFOLIO_WEIGHTS)</f>
        <v>1</v>
      </c>
      <c r="F108" s="3"/>
      <c r="G108" s="184">
        <f>_xll.SumProduct2(TEST_PORTFOLIO_WEIGHTS,G79:G107)*G77</f>
        <v>0</v>
      </c>
      <c r="H108" s="185">
        <f>_xll.SumProduct2(TEST_PORTFOLIO_WEIGHTS,H79:H107)*H77</f>
        <v>0</v>
      </c>
      <c r="I108" s="185">
        <f>_xll.SumProduct2(TEST_PORTFOLIO_WEIGHTS,I79:I107)*I77</f>
        <v>0</v>
      </c>
      <c r="J108" s="185">
        <f>_xll.SumProduct2(TEST_PORTFOLIO_WEIGHTS,J79:J107)*J77</f>
        <v>0</v>
      </c>
      <c r="K108" s="185">
        <f>_xll.SumProduct2(TEST_PORTFOLIO_WEIGHTS,K79:K107)*K77</f>
        <v>0</v>
      </c>
      <c r="L108" s="185">
        <f>_xll.SumProduct2(TEST_PORTFOLIO_WEIGHTS,L79:L107)*L77</f>
        <v>0</v>
      </c>
      <c r="M108" s="185">
        <f>_xll.SumProduct2(TEST_PORTFOLIO_WEIGHTS,M79:M107)*M77</f>
        <v>0</v>
      </c>
      <c r="N108" s="185">
        <f>_xll.SumProduct2(TEST_PORTFOLIO_WEIGHTS,N79:N107)*N77</f>
        <v>0</v>
      </c>
      <c r="O108" s="185">
        <f>_xll.SumProduct2(TEST_PORTFOLIO_WEIGHTS,O79:O107)*O77</f>
        <v>0</v>
      </c>
      <c r="P108" s="185">
        <f>_xll.SumProduct2(TEST_PORTFOLIO_WEIGHTS,P79:P107)*P77</f>
        <v>2.0223634216469497E-4</v>
      </c>
      <c r="Q108" s="185">
        <f>_xll.SumProduct2(TEST_PORTFOLIO_WEIGHTS,Q79:Q107)*Q77</f>
        <v>0</v>
      </c>
      <c r="R108" s="185">
        <f>_xll.SumProduct2(TEST_PORTFOLIO_WEIGHTS,R79:R107)*R77</f>
        <v>0</v>
      </c>
      <c r="S108" s="185">
        <f>_xll.SumProduct2(TEST_PORTFOLIO_WEIGHTS,S79:S107)*S77</f>
        <v>0</v>
      </c>
      <c r="T108" s="185">
        <f>_xll.SumProduct2(TEST_PORTFOLIO_WEIGHTS,T79:T107)*T77</f>
        <v>0</v>
      </c>
      <c r="U108" s="186">
        <f>_xll.SumProduct2(TEST_PORTFOLIO_WEIGHTS,U79:U107)*U77</f>
        <v>0</v>
      </c>
      <c r="V108" s="186">
        <f>_xll.SumProduct2(TEST_PORTFOLIO_WEIGHTS,V79:V107)*V77</f>
        <v>0</v>
      </c>
      <c r="W108" s="186">
        <f>_xll.SumProduct2(TEST_PORTFOLIO_WEIGHTS,W79:W107)*W77</f>
        <v>9.9469591290671502E-5</v>
      </c>
      <c r="X108" s="186">
        <f>_xll.SumProduct2(TEST_PORTFOLIO_WEIGHTS,X79:X107)*X77</f>
        <v>0</v>
      </c>
      <c r="Y108" s="186">
        <f>_xll.SumProduct2(TEST_PORTFOLIO_WEIGHTS,Y79:Y107)*Y77</f>
        <v>0</v>
      </c>
      <c r="Z108" s="186">
        <f>_xll.SumProduct2(TEST_PORTFOLIO_WEIGHTS,Z79:Z107)*Z77</f>
        <v>0</v>
      </c>
      <c r="AA108" s="186">
        <f>_xll.SumProduct2(TEST_PORTFOLIO_WEIGHTS,AA79:AA107)*AA77</f>
        <v>0</v>
      </c>
      <c r="AB108" s="186">
        <f>_xll.SumProduct2(TEST_PORTFOLIO_WEIGHTS,AB79:AB107)*AB77</f>
        <v>0</v>
      </c>
      <c r="AC108" s="186">
        <f>_xll.SumProduct2(TEST_PORTFOLIO_WEIGHTS,AC79:AC107)*AC77</f>
        <v>0</v>
      </c>
      <c r="AD108" s="186">
        <f>_xll.SumProduct2(TEST_PORTFOLIO_WEIGHTS,AD79:AD107)*AD77</f>
        <v>0</v>
      </c>
      <c r="AE108" s="186">
        <f>_xll.SumProduct2(TEST_PORTFOLIO_WEIGHTS,AE79:AE107)*AE77</f>
        <v>0</v>
      </c>
      <c r="AF108" s="186">
        <f>_xll.SumProduct2(TEST_PORTFOLIO_WEIGHTS,AF79:AF107)*AF77</f>
        <v>0</v>
      </c>
      <c r="AG108" s="186">
        <f>_xll.SumProduct2(TEST_PORTFOLIO_WEIGHTS,AG79:AG107)*AG77</f>
        <v>3.985318807595485E-4</v>
      </c>
      <c r="AH108" s="186">
        <f>_xll.SumProduct2(TEST_PORTFOLIO_WEIGHTS,AH79:AH107)*AH77</f>
        <v>1.3947242955238842E-4</v>
      </c>
      <c r="AI108" s="187">
        <f>_xll.SumProduct2(TEST_PORTFOLIO_WEIGHTS,AI79:AI107)*AI77</f>
        <v>2.4610701629078607E-4</v>
      </c>
    </row>
    <row r="109" spans="1:35" x14ac:dyDescent="0.25">
      <c r="A109" s="3"/>
      <c r="B109" s="3"/>
      <c r="C109" s="3"/>
      <c r="E109" s="3"/>
      <c r="F109" s="110"/>
      <c r="G109" s="110"/>
      <c r="H109" s="110"/>
      <c r="I109" s="110"/>
      <c r="J109" s="110"/>
      <c r="K109" s="110"/>
      <c r="L109" s="110"/>
      <c r="M109" s="110"/>
      <c r="N109" s="110"/>
      <c r="O109" s="110"/>
      <c r="P109" s="110"/>
      <c r="Q109" s="110"/>
      <c r="R109" s="110"/>
      <c r="S109" s="110"/>
      <c r="T109" s="6"/>
      <c r="U109" s="6"/>
      <c r="V109" s="6"/>
      <c r="W109" s="6"/>
      <c r="X109" s="6"/>
      <c r="Y109" s="6"/>
      <c r="Z109" s="6"/>
      <c r="AA109" s="6"/>
      <c r="AB109" s="6"/>
      <c r="AC109" s="6"/>
      <c r="AD109" s="6"/>
      <c r="AE109" s="6"/>
      <c r="AF109" s="6"/>
      <c r="AG109" s="6"/>
      <c r="AH109" s="6"/>
      <c r="AI109" s="3"/>
    </row>
    <row r="110" spans="1:35" ht="20.25" thickBot="1" x14ac:dyDescent="0.35">
      <c r="A110" s="3"/>
      <c r="B110" s="153" t="s">
        <v>106</v>
      </c>
      <c r="C110" s="153"/>
      <c r="D110" s="153"/>
      <c r="E110" s="154"/>
      <c r="F110" s="153"/>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row>
    <row r="111" spans="1:35" ht="15.75" thickTop="1" x14ac:dyDescent="0.25">
      <c r="B111" s="156" t="s">
        <v>70</v>
      </c>
      <c r="C111" s="159">
        <f>MIN_PORTFOLIO_TARGET_RETURN</f>
        <v>-1.4277266060162369E-4</v>
      </c>
    </row>
    <row r="112" spans="1:35" x14ac:dyDescent="0.25">
      <c r="B112" s="157" t="s">
        <v>60</v>
      </c>
      <c r="C112" s="160">
        <f>_xll.SumProduct2(MIN_PORTFOLIO_EXPECTED_RETURNS,MIN_PORTFOLIO_WEIGHTS)-RISK_FREE_RATE</f>
        <v>-1.4277266060162364E-4</v>
      </c>
    </row>
    <row r="113" spans="2:35" x14ac:dyDescent="0.25">
      <c r="B113" s="157" t="s">
        <v>62</v>
      </c>
      <c r="C113" s="160">
        <f>SQRT(SUM(G146:AI146))</f>
        <v>5.7984589725615016E-2</v>
      </c>
    </row>
    <row r="114" spans="2:35" x14ac:dyDescent="0.25">
      <c r="B114" s="158" t="s">
        <v>103</v>
      </c>
      <c r="C114" s="161" t="str">
        <f>_xll.TimeSeries.CovarianceMatrixCalculator.apply(COVARIANCE_MATRIX_CALCULATOR,MIN_PORTFOLIO_TICKERS,ALL_RETURN_SERIES)</f>
        <v>»LabelledMatrix-16705291694770987822</v>
      </c>
      <c r="D114" t="s">
        <v>77</v>
      </c>
    </row>
    <row r="115" spans="2:35" x14ac:dyDescent="0.25">
      <c r="F115" s="111" t="s">
        <v>69</v>
      </c>
      <c r="G115" s="170">
        <f t="array" ref="G115:AI115">TRANSPOSE(MIN_PORTFOLIO_WEIGHTS)</f>
        <v>0</v>
      </c>
      <c r="H115" s="171">
        <v>0</v>
      </c>
      <c r="I115" s="171">
        <v>0</v>
      </c>
      <c r="J115" s="171">
        <v>0</v>
      </c>
      <c r="K115" s="171">
        <v>0</v>
      </c>
      <c r="L115" s="171">
        <v>0</v>
      </c>
      <c r="M115" s="171">
        <v>0</v>
      </c>
      <c r="N115" s="171">
        <v>0</v>
      </c>
      <c r="O115" s="171">
        <v>0</v>
      </c>
      <c r="P115" s="171">
        <v>0</v>
      </c>
      <c r="Q115" s="171">
        <v>0</v>
      </c>
      <c r="R115" s="171">
        <v>0.99999999999999967</v>
      </c>
      <c r="S115" s="171">
        <v>0</v>
      </c>
      <c r="T115" s="171">
        <v>0</v>
      </c>
      <c r="U115" s="171">
        <v>0</v>
      </c>
      <c r="V115" s="171">
        <v>0</v>
      </c>
      <c r="W115" s="171">
        <v>0</v>
      </c>
      <c r="X115" s="171">
        <v>0</v>
      </c>
      <c r="Y115" s="171">
        <v>0</v>
      </c>
      <c r="Z115" s="171">
        <v>0</v>
      </c>
      <c r="AA115" s="171">
        <v>0</v>
      </c>
      <c r="AB115" s="171">
        <v>0</v>
      </c>
      <c r="AC115" s="171">
        <v>0</v>
      </c>
      <c r="AD115" s="171">
        <v>0</v>
      </c>
      <c r="AE115" s="171">
        <v>0</v>
      </c>
      <c r="AF115" s="171">
        <v>0</v>
      </c>
      <c r="AG115" s="171">
        <v>0</v>
      </c>
      <c r="AH115" s="171">
        <v>0</v>
      </c>
      <c r="AI115" s="172">
        <v>0</v>
      </c>
    </row>
    <row r="116" spans="2:35" x14ac:dyDescent="0.25">
      <c r="C116" s="111" t="s">
        <v>63</v>
      </c>
      <c r="E116" s="89" t="s">
        <v>69</v>
      </c>
      <c r="F116" s="166" t="str">
        <f t="array" ref="F116:AI145">_xll.Matrix.ExpandAsArray(C114)</f>
        <v/>
      </c>
      <c r="G116" s="173" t="str">
        <v>AAPL</v>
      </c>
      <c r="H116" s="174" t="str">
        <v>AXP</v>
      </c>
      <c r="I116" s="174" t="str">
        <v>BA</v>
      </c>
      <c r="J116" s="174" t="str">
        <v>CAT</v>
      </c>
      <c r="K116" s="174" t="str">
        <v>CSCO</v>
      </c>
      <c r="L116" s="174" t="str">
        <v>CVX</v>
      </c>
      <c r="M116" s="174" t="str">
        <v>DD</v>
      </c>
      <c r="N116" s="174" t="str">
        <v>DIS</v>
      </c>
      <c r="O116" s="174" t="str">
        <v>GE</v>
      </c>
      <c r="P116" s="174" t="str">
        <v>GS</v>
      </c>
      <c r="Q116" s="174" t="str">
        <v>HD</v>
      </c>
      <c r="R116" s="174" t="str">
        <v>IBM</v>
      </c>
      <c r="S116" s="174" t="str">
        <v>INTC</v>
      </c>
      <c r="T116" s="174" t="str">
        <v>JNJ</v>
      </c>
      <c r="U116" s="174" t="str">
        <v>JPM</v>
      </c>
      <c r="V116" s="174" t="str">
        <v>KO</v>
      </c>
      <c r="W116" s="174" t="str">
        <v>MCD</v>
      </c>
      <c r="X116" s="174" t="str">
        <v>MMM</v>
      </c>
      <c r="Y116" s="174" t="str">
        <v>MRK</v>
      </c>
      <c r="Z116" s="174" t="str">
        <v>MSFT</v>
      </c>
      <c r="AA116" s="174" t="str">
        <v>NKE</v>
      </c>
      <c r="AB116" s="174" t="str">
        <v>PFE</v>
      </c>
      <c r="AC116" s="174" t="str">
        <v>PG</v>
      </c>
      <c r="AD116" s="174" t="str">
        <v>UNH</v>
      </c>
      <c r="AE116" s="174" t="str">
        <v>UTX</v>
      </c>
      <c r="AF116" s="174" t="str">
        <v>VZ</v>
      </c>
      <c r="AG116" s="174" t="str">
        <v>V</v>
      </c>
      <c r="AH116" s="174" t="str">
        <v>WMT</v>
      </c>
      <c r="AI116" s="175" t="str">
        <v>XOM</v>
      </c>
    </row>
    <row r="117" spans="2:35" x14ac:dyDescent="0.25">
      <c r="B117" s="162" t="str">
        <f>'Market Data'!$B$17</f>
        <v>AAPL</v>
      </c>
      <c r="C117" s="159">
        <f>Statistics!$G$19</f>
        <v>2.1230184800142136E-2</v>
      </c>
      <c r="E117" s="167">
        <v>0</v>
      </c>
      <c r="F117" s="84" t="str">
        <v>AAPL</v>
      </c>
      <c r="G117" s="176">
        <v>4.5162973293162668E-3</v>
      </c>
      <c r="H117" s="177">
        <v>1.6284380645241216E-3</v>
      </c>
      <c r="I117" s="177">
        <v>1.6201491796022521E-3</v>
      </c>
      <c r="J117" s="177">
        <v>1.5690359790962263E-3</v>
      </c>
      <c r="K117" s="177">
        <v>2.3505409053430782E-3</v>
      </c>
      <c r="L117" s="177">
        <v>1.1773098260505132E-3</v>
      </c>
      <c r="M117" s="177">
        <v>2.5889638042653502E-3</v>
      </c>
      <c r="N117" s="177">
        <v>1.366655807124157E-3</v>
      </c>
      <c r="O117" s="177">
        <v>1.5698375611055285E-3</v>
      </c>
      <c r="P117" s="177">
        <v>1.8109156333145874E-3</v>
      </c>
      <c r="Q117" s="177">
        <v>9.8639311096076088E-4</v>
      </c>
      <c r="R117" s="177">
        <v>1.7737023799007877E-3</v>
      </c>
      <c r="S117" s="177">
        <v>1.6293191413582805E-3</v>
      </c>
      <c r="T117" s="177">
        <v>8.2631268301744008E-4</v>
      </c>
      <c r="U117" s="177">
        <v>1.2529926248616137E-3</v>
      </c>
      <c r="V117" s="177">
        <v>9.6129190129553134E-4</v>
      </c>
      <c r="W117" s="177">
        <v>4.3723596630614248E-4</v>
      </c>
      <c r="X117" s="177">
        <v>1.6042263123932821E-3</v>
      </c>
      <c r="Y117" s="177">
        <v>6.6280896407091964E-4</v>
      </c>
      <c r="Z117" s="177">
        <v>1.7656054736670385E-3</v>
      </c>
      <c r="AA117" s="177">
        <v>7.4054258425286133E-4</v>
      </c>
      <c r="AB117" s="177">
        <v>1.105136574328315E-3</v>
      </c>
      <c r="AC117" s="177">
        <v>1.0336127768185608E-3</v>
      </c>
      <c r="AD117" s="177">
        <v>5.5673881663560775E-4</v>
      </c>
      <c r="AE117" s="177">
        <v>1.2367738317379871E-3</v>
      </c>
      <c r="AF117" s="177">
        <v>1.8457278448214234E-4</v>
      </c>
      <c r="AG117" s="177">
        <v>1.5697677901095443E-3</v>
      </c>
      <c r="AH117" s="177">
        <v>5.7975796375205426E-4</v>
      </c>
      <c r="AI117" s="178">
        <v>8.3126780280069973E-4</v>
      </c>
    </row>
    <row r="118" spans="2:35" x14ac:dyDescent="0.25">
      <c r="B118" s="163" t="str">
        <f>'Market Data'!$B$18</f>
        <v>AXP</v>
      </c>
      <c r="C118" s="160">
        <f>Statistics!$G$20</f>
        <v>6.4918343965214677E-3</v>
      </c>
      <c r="E118" s="168">
        <v>0</v>
      </c>
      <c r="F118" s="85" t="str">
        <v>AXP</v>
      </c>
      <c r="G118" s="179">
        <v>1.6284380645241216E-3</v>
      </c>
      <c r="H118" s="180">
        <v>4.0660324753009668E-3</v>
      </c>
      <c r="I118" s="180">
        <v>2.3214948032735548E-3</v>
      </c>
      <c r="J118" s="180">
        <v>2.4672804057197504E-3</v>
      </c>
      <c r="K118" s="180">
        <v>2.2861035048804129E-3</v>
      </c>
      <c r="L118" s="180">
        <v>1.4106472819975181E-3</v>
      </c>
      <c r="M118" s="180">
        <v>3.0070268955997704E-3</v>
      </c>
      <c r="N118" s="180">
        <v>1.9718583562846406E-3</v>
      </c>
      <c r="O118" s="180">
        <v>1.6460552176854309E-3</v>
      </c>
      <c r="P118" s="180">
        <v>3.1197862990926528E-3</v>
      </c>
      <c r="Q118" s="180">
        <v>1.285962047454306E-3</v>
      </c>
      <c r="R118" s="180">
        <v>1.960684724858895E-3</v>
      </c>
      <c r="S118" s="180">
        <v>2.0715314739138896E-3</v>
      </c>
      <c r="T118" s="180">
        <v>7.3945969222275051E-4</v>
      </c>
      <c r="U118" s="180">
        <v>2.7840355446374721E-3</v>
      </c>
      <c r="V118" s="180">
        <v>5.6369017954212687E-4</v>
      </c>
      <c r="W118" s="180">
        <v>5.9016175595858627E-4</v>
      </c>
      <c r="X118" s="180">
        <v>1.3680882736390085E-3</v>
      </c>
      <c r="Y118" s="180">
        <v>9.5675499919051471E-4</v>
      </c>
      <c r="Z118" s="180">
        <v>1.7453927826798744E-3</v>
      </c>
      <c r="AA118" s="180">
        <v>9.1418204127611028E-4</v>
      </c>
      <c r="AB118" s="180">
        <v>1.0081234358528435E-3</v>
      </c>
      <c r="AC118" s="180">
        <v>4.150551569421239E-4</v>
      </c>
      <c r="AD118" s="180">
        <v>9.035040942327959E-4</v>
      </c>
      <c r="AE118" s="180">
        <v>1.9679940702890687E-3</v>
      </c>
      <c r="AF118" s="180">
        <v>-7.7366109832012643E-5</v>
      </c>
      <c r="AG118" s="180">
        <v>2.1563583115517065E-3</v>
      </c>
      <c r="AH118" s="180">
        <v>2.6973274792062105E-5</v>
      </c>
      <c r="AI118" s="181">
        <v>9.0240454872836753E-4</v>
      </c>
    </row>
    <row r="119" spans="2:35" x14ac:dyDescent="0.25">
      <c r="B119" s="163" t="str">
        <f>'Market Data'!$B$19</f>
        <v>BA</v>
      </c>
      <c r="C119" s="160">
        <f>Statistics!$G$21</f>
        <v>1.9250861766613322E-2</v>
      </c>
      <c r="E119" s="168">
        <v>0</v>
      </c>
      <c r="F119" s="85" t="str">
        <v>BA</v>
      </c>
      <c r="G119" s="179">
        <v>1.6201491796022521E-3</v>
      </c>
      <c r="H119" s="180">
        <v>2.3214948032735548E-3</v>
      </c>
      <c r="I119" s="180">
        <v>3.7402935775721971E-3</v>
      </c>
      <c r="J119" s="180">
        <v>1.6046317611050844E-3</v>
      </c>
      <c r="K119" s="180">
        <v>2.1240240973260023E-3</v>
      </c>
      <c r="L119" s="180">
        <v>1.3419066335272889E-3</v>
      </c>
      <c r="M119" s="180">
        <v>3.1629198402818382E-3</v>
      </c>
      <c r="N119" s="180">
        <v>2.193611301570318E-3</v>
      </c>
      <c r="O119" s="180">
        <v>1.7334051959416068E-3</v>
      </c>
      <c r="P119" s="180">
        <v>2.2391121271409182E-3</v>
      </c>
      <c r="Q119" s="180">
        <v>1.2911501083222776E-3</v>
      </c>
      <c r="R119" s="180">
        <v>1.1336433634722555E-3</v>
      </c>
      <c r="S119" s="180">
        <v>1.485647562986758E-3</v>
      </c>
      <c r="T119" s="180">
        <v>7.7470388279684329E-4</v>
      </c>
      <c r="U119" s="180">
        <v>1.8054441283061249E-3</v>
      </c>
      <c r="V119" s="180">
        <v>9.7196182882881919E-4</v>
      </c>
      <c r="W119" s="180">
        <v>1.004575731683145E-3</v>
      </c>
      <c r="X119" s="180">
        <v>1.220072170107771E-3</v>
      </c>
      <c r="Y119" s="180">
        <v>1.3506721993334096E-3</v>
      </c>
      <c r="Z119" s="180">
        <v>1.4618979219237266E-3</v>
      </c>
      <c r="AA119" s="180">
        <v>1.1825978430535619E-3</v>
      </c>
      <c r="AB119" s="180">
        <v>1.2950969606515986E-3</v>
      </c>
      <c r="AC119" s="180">
        <v>5.997217417536032E-4</v>
      </c>
      <c r="AD119" s="180">
        <v>6.5863568330466196E-4</v>
      </c>
      <c r="AE119" s="180">
        <v>1.846395156096473E-3</v>
      </c>
      <c r="AF119" s="180">
        <v>3.7914592931386057E-4</v>
      </c>
      <c r="AG119" s="180">
        <v>2.2475777063178958E-3</v>
      </c>
      <c r="AH119" s="180">
        <v>1.7979190170774528E-4</v>
      </c>
      <c r="AI119" s="181">
        <v>5.5785917505375118E-4</v>
      </c>
    </row>
    <row r="120" spans="2:35" x14ac:dyDescent="0.25">
      <c r="B120" s="163" t="str">
        <f>'Market Data'!$B$20</f>
        <v>CAT</v>
      </c>
      <c r="C120" s="160">
        <f>Statistics!$G$22</f>
        <v>6.3545919720494892E-3</v>
      </c>
      <c r="E120" s="168">
        <v>0</v>
      </c>
      <c r="F120" s="85" t="str">
        <v>CAT</v>
      </c>
      <c r="G120" s="179">
        <v>1.5690359790962263E-3</v>
      </c>
      <c r="H120" s="180">
        <v>2.4672804057197504E-3</v>
      </c>
      <c r="I120" s="180">
        <v>1.6046317611050844E-3</v>
      </c>
      <c r="J120" s="180">
        <v>4.5013491323716076E-3</v>
      </c>
      <c r="K120" s="180">
        <v>1.8532157140411887E-3</v>
      </c>
      <c r="L120" s="180">
        <v>2.2352946064681648E-3</v>
      </c>
      <c r="M120" s="180">
        <v>3.0429489894058951E-3</v>
      </c>
      <c r="N120" s="180">
        <v>1.6981712196612736E-3</v>
      </c>
      <c r="O120" s="180">
        <v>2.2046623152336968E-3</v>
      </c>
      <c r="P120" s="180">
        <v>2.3825247137119567E-3</v>
      </c>
      <c r="Q120" s="180">
        <v>1.0587514228509517E-3</v>
      </c>
      <c r="R120" s="180">
        <v>2.1554825858441308E-3</v>
      </c>
      <c r="S120" s="180">
        <v>2.3005603160952529E-3</v>
      </c>
      <c r="T120" s="180">
        <v>9.0633949973445221E-4</v>
      </c>
      <c r="U120" s="180">
        <v>2.011937601179676E-3</v>
      </c>
      <c r="V120" s="180">
        <v>6.586205973694774E-4</v>
      </c>
      <c r="W120" s="180">
        <v>1.2118483675212872E-3</v>
      </c>
      <c r="X120" s="180">
        <v>1.3778500117759705E-3</v>
      </c>
      <c r="Y120" s="180">
        <v>1.6454661341138513E-3</v>
      </c>
      <c r="Z120" s="180">
        <v>2.2842322526096018E-3</v>
      </c>
      <c r="AA120" s="180">
        <v>-1.1104731462091626E-4</v>
      </c>
      <c r="AB120" s="180">
        <v>7.9610645869862182E-4</v>
      </c>
      <c r="AC120" s="180">
        <v>4.9254664842985144E-4</v>
      </c>
      <c r="AD120" s="180">
        <v>7.8373416165496384E-4</v>
      </c>
      <c r="AE120" s="180">
        <v>2.1924453554447642E-3</v>
      </c>
      <c r="AF120" s="180">
        <v>6.8929109799853135E-4</v>
      </c>
      <c r="AG120" s="180">
        <v>1.4624027030174886E-3</v>
      </c>
      <c r="AH120" s="180">
        <v>-2.1581932882750213E-4</v>
      </c>
      <c r="AI120" s="181">
        <v>1.368945659107327E-3</v>
      </c>
    </row>
    <row r="121" spans="2:35" x14ac:dyDescent="0.25">
      <c r="B121" s="163" t="str">
        <f>'Market Data'!$B$21</f>
        <v>CSCO</v>
      </c>
      <c r="C121" s="160">
        <f>Statistics!$G$23</f>
        <v>1.4928779568119917E-2</v>
      </c>
      <c r="E121" s="168">
        <v>0</v>
      </c>
      <c r="F121" s="85" t="str">
        <v>CSCO</v>
      </c>
      <c r="G121" s="179">
        <v>2.3505409053430782E-3</v>
      </c>
      <c r="H121" s="180">
        <v>2.2861035048804129E-3</v>
      </c>
      <c r="I121" s="180">
        <v>2.1240240973260023E-3</v>
      </c>
      <c r="J121" s="180">
        <v>1.8532157140411887E-3</v>
      </c>
      <c r="K121" s="180">
        <v>4.2943797540477393E-3</v>
      </c>
      <c r="L121" s="180">
        <v>1.6495950515362169E-3</v>
      </c>
      <c r="M121" s="180">
        <v>3.7036865533827041E-3</v>
      </c>
      <c r="N121" s="180">
        <v>1.9090150380186609E-3</v>
      </c>
      <c r="O121" s="180">
        <v>2.0168425927536027E-3</v>
      </c>
      <c r="P121" s="180">
        <v>2.2177683830845976E-3</v>
      </c>
      <c r="Q121" s="180">
        <v>9.8504335267051509E-4</v>
      </c>
      <c r="R121" s="180">
        <v>2.2508292865696072E-3</v>
      </c>
      <c r="S121" s="180">
        <v>2.2625583672846289E-3</v>
      </c>
      <c r="T121" s="180">
        <v>1.1094225673998865E-3</v>
      </c>
      <c r="U121" s="180">
        <v>2.0831844183308271E-3</v>
      </c>
      <c r="V121" s="180">
        <v>1.0904984859812852E-3</v>
      </c>
      <c r="W121" s="180">
        <v>8.8656407550750189E-4</v>
      </c>
      <c r="X121" s="180">
        <v>1.6594658489014636E-3</v>
      </c>
      <c r="Y121" s="180">
        <v>1.2877752599161352E-3</v>
      </c>
      <c r="Z121" s="180">
        <v>2.1511833371391734E-3</v>
      </c>
      <c r="AA121" s="180">
        <v>7.2136303147440504E-4</v>
      </c>
      <c r="AB121" s="180">
        <v>1.5185012123350332E-3</v>
      </c>
      <c r="AC121" s="180">
        <v>1.0690588122897406E-3</v>
      </c>
      <c r="AD121" s="180">
        <v>1.0321561899434074E-3</v>
      </c>
      <c r="AE121" s="180">
        <v>2.0848208418056797E-3</v>
      </c>
      <c r="AF121" s="180">
        <v>5.9888719676582812E-4</v>
      </c>
      <c r="AG121" s="180">
        <v>2.8598074505702059E-3</v>
      </c>
      <c r="AH121" s="180">
        <v>3.2563207166723412E-4</v>
      </c>
      <c r="AI121" s="181">
        <v>1.3701802479257339E-3</v>
      </c>
    </row>
    <row r="122" spans="2:35" x14ac:dyDescent="0.25">
      <c r="B122" s="163" t="str">
        <f>'Market Data'!$B$22</f>
        <v>CVX</v>
      </c>
      <c r="C122" s="160">
        <f>Statistics!$G$24</f>
        <v>2.6845541907593424E-3</v>
      </c>
      <c r="E122" s="168">
        <v>0</v>
      </c>
      <c r="F122" s="85" t="str">
        <v>CVX</v>
      </c>
      <c r="G122" s="179">
        <v>1.1773098260505132E-3</v>
      </c>
      <c r="H122" s="180">
        <v>1.4106472819975181E-3</v>
      </c>
      <c r="I122" s="180">
        <v>1.3419066335272889E-3</v>
      </c>
      <c r="J122" s="180">
        <v>2.2352946064681648E-3</v>
      </c>
      <c r="K122" s="180">
        <v>1.6495950515362169E-3</v>
      </c>
      <c r="L122" s="180">
        <v>3.2764948408559465E-3</v>
      </c>
      <c r="M122" s="180">
        <v>2.8277959806832817E-3</v>
      </c>
      <c r="N122" s="180">
        <v>1.8200348202442435E-3</v>
      </c>
      <c r="O122" s="180">
        <v>2.0997855192430963E-3</v>
      </c>
      <c r="P122" s="180">
        <v>2.495859527554455E-3</v>
      </c>
      <c r="Q122" s="180">
        <v>7.9860489883547216E-4</v>
      </c>
      <c r="R122" s="180">
        <v>1.7099575851328929E-3</v>
      </c>
      <c r="S122" s="180">
        <v>1.762362573764028E-3</v>
      </c>
      <c r="T122" s="180">
        <v>1.0006982850928254E-3</v>
      </c>
      <c r="U122" s="180">
        <v>2.159640132817216E-3</v>
      </c>
      <c r="V122" s="180">
        <v>7.7350953916938299E-4</v>
      </c>
      <c r="W122" s="180">
        <v>1.2445101608031307E-3</v>
      </c>
      <c r="X122" s="180">
        <v>1.3396872809028706E-3</v>
      </c>
      <c r="Y122" s="180">
        <v>1.0548817345930506E-3</v>
      </c>
      <c r="Z122" s="180">
        <v>1.921523261676006E-3</v>
      </c>
      <c r="AA122" s="180">
        <v>-3.0145919518466895E-4</v>
      </c>
      <c r="AB122" s="180">
        <v>1.0966581694716135E-3</v>
      </c>
      <c r="AC122" s="180">
        <v>8.4385070363078498E-4</v>
      </c>
      <c r="AD122" s="180">
        <v>8.9699068571536217E-4</v>
      </c>
      <c r="AE122" s="180">
        <v>1.7655731333339048E-3</v>
      </c>
      <c r="AF122" s="180">
        <v>7.5916190680994219E-4</v>
      </c>
      <c r="AG122" s="180">
        <v>9.2897312946466114E-4</v>
      </c>
      <c r="AH122" s="180">
        <v>1.437380584121094E-4</v>
      </c>
      <c r="AI122" s="181">
        <v>1.9286286807754067E-3</v>
      </c>
    </row>
    <row r="123" spans="2:35" x14ac:dyDescent="0.25">
      <c r="B123" s="163" t="str">
        <f>'Market Data'!$B$23</f>
        <v>DD</v>
      </c>
      <c r="C123" s="160">
        <f>Statistics!$G$25</f>
        <v>1.7349865519574785E-2</v>
      </c>
      <c r="E123" s="168">
        <v>0</v>
      </c>
      <c r="F123" s="85" t="str">
        <v>DD</v>
      </c>
      <c r="G123" s="179">
        <v>2.5889638042653502E-3</v>
      </c>
      <c r="H123" s="180">
        <v>3.0070268955997704E-3</v>
      </c>
      <c r="I123" s="180">
        <v>3.1629198402818382E-3</v>
      </c>
      <c r="J123" s="180">
        <v>3.0429489894058951E-3</v>
      </c>
      <c r="K123" s="180">
        <v>3.7036865533827041E-3</v>
      </c>
      <c r="L123" s="180">
        <v>2.8277959806832817E-3</v>
      </c>
      <c r="M123" s="180">
        <v>7.2090294001774871E-3</v>
      </c>
      <c r="N123" s="180">
        <v>3.2246456006375726E-3</v>
      </c>
      <c r="O123" s="180">
        <v>3.2408092269649337E-3</v>
      </c>
      <c r="P123" s="180">
        <v>3.1194558916632768E-3</v>
      </c>
      <c r="Q123" s="180">
        <v>2.0138415935295195E-3</v>
      </c>
      <c r="R123" s="180">
        <v>2.4056181433013803E-3</v>
      </c>
      <c r="S123" s="180">
        <v>2.9333641814070907E-3</v>
      </c>
      <c r="T123" s="180">
        <v>1.7073269232421356E-3</v>
      </c>
      <c r="U123" s="180">
        <v>2.9403656750226037E-3</v>
      </c>
      <c r="V123" s="180">
        <v>1.3828838928124146E-3</v>
      </c>
      <c r="W123" s="180">
        <v>1.5566945864839937E-3</v>
      </c>
      <c r="X123" s="180">
        <v>2.4333011024343194E-3</v>
      </c>
      <c r="Y123" s="180">
        <v>2.1034755337789339E-3</v>
      </c>
      <c r="Z123" s="180">
        <v>3.4647817866697963E-3</v>
      </c>
      <c r="AA123" s="180">
        <v>1.371253710214986E-3</v>
      </c>
      <c r="AB123" s="180">
        <v>2.2541080192876768E-3</v>
      </c>
      <c r="AC123" s="180">
        <v>1.1783213677355128E-3</v>
      </c>
      <c r="AD123" s="180">
        <v>1.3915459916452729E-3</v>
      </c>
      <c r="AE123" s="180">
        <v>3.4844332298577191E-3</v>
      </c>
      <c r="AF123" s="180">
        <v>9.2727826439514978E-4</v>
      </c>
      <c r="AG123" s="180">
        <v>3.0677861856869904E-3</v>
      </c>
      <c r="AH123" s="180">
        <v>-2.3301122426120984E-5</v>
      </c>
      <c r="AI123" s="181">
        <v>2.1182301102402332E-3</v>
      </c>
    </row>
    <row r="124" spans="2:35" x14ac:dyDescent="0.25">
      <c r="B124" s="163" t="str">
        <f>'Market Data'!$B$24</f>
        <v>DIS</v>
      </c>
      <c r="C124" s="160">
        <f>Statistics!$G$26</f>
        <v>1.7109009470709015E-2</v>
      </c>
      <c r="E124" s="168">
        <v>0</v>
      </c>
      <c r="F124" s="85" t="str">
        <v>DIS</v>
      </c>
      <c r="G124" s="179">
        <v>1.366655807124157E-3</v>
      </c>
      <c r="H124" s="180">
        <v>1.9718583562846406E-3</v>
      </c>
      <c r="I124" s="180">
        <v>2.193611301570318E-3</v>
      </c>
      <c r="J124" s="180">
        <v>1.6981712196612736E-3</v>
      </c>
      <c r="K124" s="180">
        <v>1.9090150380186609E-3</v>
      </c>
      <c r="L124" s="180">
        <v>1.8200348202442435E-3</v>
      </c>
      <c r="M124" s="180">
        <v>3.2246456006375726E-3</v>
      </c>
      <c r="N124" s="180">
        <v>3.2225637954133132E-3</v>
      </c>
      <c r="O124" s="180">
        <v>1.7980110839806059E-3</v>
      </c>
      <c r="P124" s="180">
        <v>2.5910429203650125E-3</v>
      </c>
      <c r="Q124" s="180">
        <v>1.4438567521116873E-3</v>
      </c>
      <c r="R124" s="180">
        <v>1.2533920720746924E-3</v>
      </c>
      <c r="S124" s="180">
        <v>1.4872846501875279E-3</v>
      </c>
      <c r="T124" s="180">
        <v>7.6090581351824873E-4</v>
      </c>
      <c r="U124" s="180">
        <v>2.3150492241015347E-3</v>
      </c>
      <c r="V124" s="180">
        <v>7.3157249166013263E-4</v>
      </c>
      <c r="W124" s="180">
        <v>1.0434476997331528E-3</v>
      </c>
      <c r="X124" s="180">
        <v>1.3935802423237448E-3</v>
      </c>
      <c r="Y124" s="180">
        <v>1.1180874248259017E-3</v>
      </c>
      <c r="Z124" s="180">
        <v>1.7514488094562146E-3</v>
      </c>
      <c r="AA124" s="180">
        <v>1.1713887062549742E-3</v>
      </c>
      <c r="AB124" s="180">
        <v>1.4909638464124207E-3</v>
      </c>
      <c r="AC124" s="180">
        <v>6.6920552953337459E-4</v>
      </c>
      <c r="AD124" s="180">
        <v>9.9320622386439117E-4</v>
      </c>
      <c r="AE124" s="180">
        <v>1.6618009644053405E-3</v>
      </c>
      <c r="AF124" s="180">
        <v>5.8624704841600517E-4</v>
      </c>
      <c r="AG124" s="180">
        <v>2.2204011828610088E-3</v>
      </c>
      <c r="AH124" s="180">
        <v>-1.1672694641114529E-4</v>
      </c>
      <c r="AI124" s="181">
        <v>1.3292278052638991E-3</v>
      </c>
    </row>
    <row r="125" spans="2:35" x14ac:dyDescent="0.25">
      <c r="B125" s="163" t="str">
        <f>'Market Data'!$B$25</f>
        <v>GE</v>
      </c>
      <c r="C125" s="160">
        <f>Statistics!$G$27</f>
        <v>9.2719197536449416E-3</v>
      </c>
      <c r="E125" s="168">
        <v>0</v>
      </c>
      <c r="F125" s="85" t="str">
        <v>GE</v>
      </c>
      <c r="G125" s="179">
        <v>1.5698375611055285E-3</v>
      </c>
      <c r="H125" s="180">
        <v>1.6460552176854309E-3</v>
      </c>
      <c r="I125" s="180">
        <v>1.7334051959416068E-3</v>
      </c>
      <c r="J125" s="180">
        <v>2.2046623152336968E-3</v>
      </c>
      <c r="K125" s="180">
        <v>2.0168425927536027E-3</v>
      </c>
      <c r="L125" s="180">
        <v>2.0997855192430963E-3</v>
      </c>
      <c r="M125" s="180">
        <v>3.2408092269649337E-3</v>
      </c>
      <c r="N125" s="180">
        <v>1.7980110839806059E-3</v>
      </c>
      <c r="O125" s="180">
        <v>2.8739818723832944E-3</v>
      </c>
      <c r="P125" s="180">
        <v>2.2255962061739098E-3</v>
      </c>
      <c r="Q125" s="180">
        <v>1.1779071347684854E-3</v>
      </c>
      <c r="R125" s="180">
        <v>1.4606469135339543E-3</v>
      </c>
      <c r="S125" s="180">
        <v>1.8413857882482649E-3</v>
      </c>
      <c r="T125" s="180">
        <v>1.1338883047798758E-3</v>
      </c>
      <c r="U125" s="180">
        <v>1.9825602222543746E-3</v>
      </c>
      <c r="V125" s="180">
        <v>1.0900315820250495E-3</v>
      </c>
      <c r="W125" s="180">
        <v>1.4080437366372094E-3</v>
      </c>
      <c r="X125" s="180">
        <v>1.6476299492810176E-3</v>
      </c>
      <c r="Y125" s="180">
        <v>7.4080885300837902E-4</v>
      </c>
      <c r="Z125" s="180">
        <v>2.1782812682115105E-3</v>
      </c>
      <c r="AA125" s="180">
        <v>6.8149888740689005E-4</v>
      </c>
      <c r="AB125" s="180">
        <v>1.1596920910434683E-3</v>
      </c>
      <c r="AC125" s="180">
        <v>8.669689440805547E-4</v>
      </c>
      <c r="AD125" s="180">
        <v>6.9406421327386882E-4</v>
      </c>
      <c r="AE125" s="180">
        <v>1.9210155408337607E-3</v>
      </c>
      <c r="AF125" s="180">
        <v>1.0256274934399997E-3</v>
      </c>
      <c r="AG125" s="180">
        <v>1.7646874198991678E-3</v>
      </c>
      <c r="AH125" s="180">
        <v>3.1986346053900631E-5</v>
      </c>
      <c r="AI125" s="181">
        <v>1.6264073394302158E-3</v>
      </c>
    </row>
    <row r="126" spans="2:35" x14ac:dyDescent="0.25">
      <c r="B126" s="163" t="str">
        <f>'Market Data'!$B$26</f>
        <v>GS</v>
      </c>
      <c r="C126" s="160">
        <f>Statistics!$G$28</f>
        <v>1.2775975133106521E-2</v>
      </c>
      <c r="E126" s="168">
        <v>0</v>
      </c>
      <c r="F126" s="85" t="str">
        <v>GS</v>
      </c>
      <c r="G126" s="179">
        <v>1.8109156333145874E-3</v>
      </c>
      <c r="H126" s="180">
        <v>3.1197862990926528E-3</v>
      </c>
      <c r="I126" s="180">
        <v>2.2391121271409182E-3</v>
      </c>
      <c r="J126" s="180">
        <v>2.3825247137119567E-3</v>
      </c>
      <c r="K126" s="180">
        <v>2.2177683830845976E-3</v>
      </c>
      <c r="L126" s="180">
        <v>2.495859527554455E-3</v>
      </c>
      <c r="M126" s="180">
        <v>3.1194558916632768E-3</v>
      </c>
      <c r="N126" s="180">
        <v>2.5910429203650125E-3</v>
      </c>
      <c r="O126" s="180">
        <v>2.2255962061739098E-3</v>
      </c>
      <c r="P126" s="180">
        <v>4.8815099105356504E-3</v>
      </c>
      <c r="Q126" s="180">
        <v>1.5442152510598698E-3</v>
      </c>
      <c r="R126" s="180">
        <v>2.2308798805711167E-3</v>
      </c>
      <c r="S126" s="180">
        <v>1.7997270101458302E-3</v>
      </c>
      <c r="T126" s="180">
        <v>7.4857834611503948E-4</v>
      </c>
      <c r="U126" s="180">
        <v>3.8267678235899111E-3</v>
      </c>
      <c r="V126" s="180">
        <v>5.0884399749192373E-4</v>
      </c>
      <c r="W126" s="180">
        <v>1.1844149472533348E-3</v>
      </c>
      <c r="X126" s="180">
        <v>1.5580261625844892E-3</v>
      </c>
      <c r="Y126" s="180">
        <v>9.5059394038900442E-4</v>
      </c>
      <c r="Z126" s="180">
        <v>1.9881521509949444E-3</v>
      </c>
      <c r="AA126" s="180">
        <v>9.2810945195530823E-4</v>
      </c>
      <c r="AB126" s="180">
        <v>1.2974763649140325E-3</v>
      </c>
      <c r="AC126" s="180">
        <v>6.8796273406052837E-4</v>
      </c>
      <c r="AD126" s="180">
        <v>1.248419321363809E-3</v>
      </c>
      <c r="AE126" s="180">
        <v>2.1674424403236793E-3</v>
      </c>
      <c r="AF126" s="180">
        <v>3.7523862948950627E-4</v>
      </c>
      <c r="AG126" s="180">
        <v>2.0541307067505868E-3</v>
      </c>
      <c r="AH126" s="180">
        <v>-5.4295264980806504E-5</v>
      </c>
      <c r="AI126" s="181">
        <v>1.4387650786059658E-3</v>
      </c>
    </row>
    <row r="127" spans="2:35" x14ac:dyDescent="0.25">
      <c r="B127" s="163" t="str">
        <f>'Market Data'!$B$27</f>
        <v>HD</v>
      </c>
      <c r="C127" s="160">
        <f>Statistics!$G$29</f>
        <v>1.8352985528230569E-2</v>
      </c>
      <c r="E127" s="168">
        <v>0</v>
      </c>
      <c r="F127" s="85" t="str">
        <v>HD</v>
      </c>
      <c r="G127" s="179">
        <v>9.8639311096076088E-4</v>
      </c>
      <c r="H127" s="180">
        <v>1.285962047454306E-3</v>
      </c>
      <c r="I127" s="180">
        <v>1.2911501083222776E-3</v>
      </c>
      <c r="J127" s="180">
        <v>1.0587514228509517E-3</v>
      </c>
      <c r="K127" s="180">
        <v>9.8504335267051509E-4</v>
      </c>
      <c r="L127" s="180">
        <v>7.9860489883547216E-4</v>
      </c>
      <c r="M127" s="180">
        <v>2.0138415935295195E-3</v>
      </c>
      <c r="N127" s="180">
        <v>1.4438567521116873E-3</v>
      </c>
      <c r="O127" s="180">
        <v>1.1779071347684854E-3</v>
      </c>
      <c r="P127" s="180">
        <v>1.5442152510598698E-3</v>
      </c>
      <c r="Q127" s="180">
        <v>1.8880219117441428E-3</v>
      </c>
      <c r="R127" s="180">
        <v>9.3173966010624539E-4</v>
      </c>
      <c r="S127" s="180">
        <v>9.2701062278089308E-4</v>
      </c>
      <c r="T127" s="180">
        <v>6.2481040103688149E-4</v>
      </c>
      <c r="U127" s="180">
        <v>1.4284505514434026E-3</v>
      </c>
      <c r="V127" s="180">
        <v>5.5799413673053339E-4</v>
      </c>
      <c r="W127" s="180">
        <v>7.381374461617429E-4</v>
      </c>
      <c r="X127" s="180">
        <v>1.0633975936011025E-3</v>
      </c>
      <c r="Y127" s="180">
        <v>7.161428946835201E-4</v>
      </c>
      <c r="Z127" s="180">
        <v>1.0017697174583111E-3</v>
      </c>
      <c r="AA127" s="180">
        <v>7.3578315539153108E-4</v>
      </c>
      <c r="AB127" s="180">
        <v>8.5234066580948517E-4</v>
      </c>
      <c r="AC127" s="180">
        <v>4.7474349038820928E-4</v>
      </c>
      <c r="AD127" s="180">
        <v>6.4915062582396636E-4</v>
      </c>
      <c r="AE127" s="180">
        <v>1.2386809813748902E-3</v>
      </c>
      <c r="AF127" s="180">
        <v>1.1189073531181803E-4</v>
      </c>
      <c r="AG127" s="180">
        <v>1.2055891827737501E-3</v>
      </c>
      <c r="AH127" s="180">
        <v>1.9815526434870993E-4</v>
      </c>
      <c r="AI127" s="181">
        <v>5.7016164369997474E-4</v>
      </c>
    </row>
    <row r="128" spans="2:35" x14ac:dyDescent="0.25">
      <c r="B128" s="163" t="str">
        <f>'Market Data'!$B$28</f>
        <v>IBM</v>
      </c>
      <c r="C128" s="160">
        <f>Statistics!$G$30</f>
        <v>-1.0805706759468385E-4</v>
      </c>
      <c r="E128" s="168">
        <v>0.99999999999999967</v>
      </c>
      <c r="F128" s="85" t="str">
        <v>IBM</v>
      </c>
      <c r="G128" s="179">
        <v>1.7737023799007877E-3</v>
      </c>
      <c r="H128" s="180">
        <v>1.960684724858895E-3</v>
      </c>
      <c r="I128" s="180">
        <v>1.1336433634722555E-3</v>
      </c>
      <c r="J128" s="180">
        <v>2.1554825858441308E-3</v>
      </c>
      <c r="K128" s="180">
        <v>2.2508292865696072E-3</v>
      </c>
      <c r="L128" s="180">
        <v>1.7099575851328929E-3</v>
      </c>
      <c r="M128" s="180">
        <v>2.4056181433013803E-3</v>
      </c>
      <c r="N128" s="180">
        <v>1.2533920720746924E-3</v>
      </c>
      <c r="O128" s="180">
        <v>1.4606469135339543E-3</v>
      </c>
      <c r="P128" s="180">
        <v>2.2308798805711167E-3</v>
      </c>
      <c r="Q128" s="180">
        <v>9.3173966010624539E-4</v>
      </c>
      <c r="R128" s="180">
        <v>3.3622126456479009E-3</v>
      </c>
      <c r="S128" s="180">
        <v>1.4043690490920693E-3</v>
      </c>
      <c r="T128" s="180">
        <v>5.9347717242683358E-4</v>
      </c>
      <c r="U128" s="180">
        <v>2.0888390371824788E-3</v>
      </c>
      <c r="V128" s="180">
        <v>5.7019303114958723E-4</v>
      </c>
      <c r="W128" s="180">
        <v>5.4513263389601688E-4</v>
      </c>
      <c r="X128" s="180">
        <v>1.0275296737018624E-3</v>
      </c>
      <c r="Y128" s="180">
        <v>1.0097860441379664E-3</v>
      </c>
      <c r="Z128" s="180">
        <v>1.4353906099659559E-3</v>
      </c>
      <c r="AA128" s="180">
        <v>1.3757321359017424E-4</v>
      </c>
      <c r="AB128" s="180">
        <v>7.9545047293496068E-4</v>
      </c>
      <c r="AC128" s="180">
        <v>5.5361049131124631E-4</v>
      </c>
      <c r="AD128" s="180">
        <v>8.8298395118505178E-4</v>
      </c>
      <c r="AE128" s="180">
        <v>1.5169272523521361E-3</v>
      </c>
      <c r="AF128" s="180">
        <v>2.033685246020378E-4</v>
      </c>
      <c r="AG128" s="180">
        <v>1.2306885914741903E-3</v>
      </c>
      <c r="AH128" s="180">
        <v>3.7610030291999273E-4</v>
      </c>
      <c r="AI128" s="181">
        <v>1.0970123689928199E-3</v>
      </c>
    </row>
    <row r="129" spans="2:35" x14ac:dyDescent="0.25">
      <c r="B129" s="163" t="str">
        <f>'Market Data'!$B$29</f>
        <v>INTC</v>
      </c>
      <c r="C129" s="160">
        <f>Statistics!$G$31</f>
        <v>1.4825313209679855E-2</v>
      </c>
      <c r="E129" s="168">
        <v>0</v>
      </c>
      <c r="F129" s="85" t="str">
        <v>INTC</v>
      </c>
      <c r="G129" s="179">
        <v>1.6293191413582805E-3</v>
      </c>
      <c r="H129" s="180">
        <v>2.0715314739138896E-3</v>
      </c>
      <c r="I129" s="180">
        <v>1.485647562986758E-3</v>
      </c>
      <c r="J129" s="180">
        <v>2.3005603160952529E-3</v>
      </c>
      <c r="K129" s="180">
        <v>2.2625583672846289E-3</v>
      </c>
      <c r="L129" s="180">
        <v>1.762362573764028E-3</v>
      </c>
      <c r="M129" s="180">
        <v>2.9333641814070907E-3</v>
      </c>
      <c r="N129" s="180">
        <v>1.4872846501875279E-3</v>
      </c>
      <c r="O129" s="180">
        <v>1.8413857882482649E-3</v>
      </c>
      <c r="P129" s="180">
        <v>1.7997270101458302E-3</v>
      </c>
      <c r="Q129" s="180">
        <v>9.2701062278089308E-4</v>
      </c>
      <c r="R129" s="180">
        <v>1.4043690490920693E-3</v>
      </c>
      <c r="S129" s="180">
        <v>3.8953291630483993E-3</v>
      </c>
      <c r="T129" s="180">
        <v>8.7155825849789608E-4</v>
      </c>
      <c r="U129" s="180">
        <v>1.6338310266769979E-3</v>
      </c>
      <c r="V129" s="180">
        <v>1.1107691361801554E-3</v>
      </c>
      <c r="W129" s="180">
        <v>9.1762089354393737E-4</v>
      </c>
      <c r="X129" s="180">
        <v>1.3291856750406272E-3</v>
      </c>
      <c r="Y129" s="180">
        <v>1.2481991200788169E-3</v>
      </c>
      <c r="Z129" s="180">
        <v>2.824290151917595E-3</v>
      </c>
      <c r="AA129" s="180">
        <v>5.7515792739731505E-4</v>
      </c>
      <c r="AB129" s="180">
        <v>9.9184976149502301E-4</v>
      </c>
      <c r="AC129" s="180">
        <v>7.9168442412031782E-4</v>
      </c>
      <c r="AD129" s="180">
        <v>5.6633014876153942E-4</v>
      </c>
      <c r="AE129" s="180">
        <v>1.2132957377483657E-3</v>
      </c>
      <c r="AF129" s="180">
        <v>8.2166255763751334E-4</v>
      </c>
      <c r="AG129" s="180">
        <v>1.8678530672680304E-3</v>
      </c>
      <c r="AH129" s="180">
        <v>-1.8556188989019865E-5</v>
      </c>
      <c r="AI129" s="181">
        <v>1.0791409093812321E-3</v>
      </c>
    </row>
    <row r="130" spans="2:35" x14ac:dyDescent="0.25">
      <c r="B130" s="163" t="str">
        <f>'Market Data'!$B$30</f>
        <v>JNJ</v>
      </c>
      <c r="C130" s="160">
        <f>Statistics!$G$32</f>
        <v>1.2075919577819831E-2</v>
      </c>
      <c r="E130" s="168">
        <v>0</v>
      </c>
      <c r="F130" s="85" t="str">
        <v>JNJ</v>
      </c>
      <c r="G130" s="179">
        <v>8.2631268301744008E-4</v>
      </c>
      <c r="H130" s="180">
        <v>7.3945969222275051E-4</v>
      </c>
      <c r="I130" s="180">
        <v>7.7470388279684329E-4</v>
      </c>
      <c r="J130" s="180">
        <v>9.0633949973445221E-4</v>
      </c>
      <c r="K130" s="180">
        <v>1.1094225673998865E-3</v>
      </c>
      <c r="L130" s="180">
        <v>1.0006982850928254E-3</v>
      </c>
      <c r="M130" s="180">
        <v>1.7073269232421356E-3</v>
      </c>
      <c r="N130" s="180">
        <v>7.6090581351824873E-4</v>
      </c>
      <c r="O130" s="180">
        <v>1.1338883047798758E-3</v>
      </c>
      <c r="P130" s="180">
        <v>7.4857834611503948E-4</v>
      </c>
      <c r="Q130" s="180">
        <v>6.2481040103688149E-4</v>
      </c>
      <c r="R130" s="180">
        <v>5.9347717242683358E-4</v>
      </c>
      <c r="S130" s="180">
        <v>8.7155825849789608E-4</v>
      </c>
      <c r="T130" s="180">
        <v>1.3437205064186324E-3</v>
      </c>
      <c r="U130" s="180">
        <v>9.2330996350035955E-4</v>
      </c>
      <c r="V130" s="180">
        <v>8.0248592661524116E-4</v>
      </c>
      <c r="W130" s="180">
        <v>7.2064842002941051E-4</v>
      </c>
      <c r="X130" s="180">
        <v>9.1647163555960687E-4</v>
      </c>
      <c r="Y130" s="180">
        <v>7.8932636294384688E-4</v>
      </c>
      <c r="Z130" s="180">
        <v>8.3950208317612799E-4</v>
      </c>
      <c r="AA130" s="180">
        <v>2.4076387457302071E-4</v>
      </c>
      <c r="AB130" s="180">
        <v>1.174922395291398E-3</v>
      </c>
      <c r="AC130" s="180">
        <v>7.8676359672877393E-4</v>
      </c>
      <c r="AD130" s="180">
        <v>4.4624886795118808E-4</v>
      </c>
      <c r="AE130" s="180">
        <v>1.0117367356107026E-3</v>
      </c>
      <c r="AF130" s="180">
        <v>7.3214708969514145E-4</v>
      </c>
      <c r="AG130" s="180">
        <v>8.2747273857601913E-4</v>
      </c>
      <c r="AH130" s="180">
        <v>7.1470891411086447E-4</v>
      </c>
      <c r="AI130" s="181">
        <v>7.4627799983375924E-4</v>
      </c>
    </row>
    <row r="131" spans="2:35" x14ac:dyDescent="0.25">
      <c r="B131" s="163" t="str">
        <f>'Market Data'!$B$31</f>
        <v>JPM</v>
      </c>
      <c r="C131" s="160">
        <f>Statistics!$G$33</f>
        <v>1.7183196749963128E-2</v>
      </c>
      <c r="E131" s="168">
        <v>0</v>
      </c>
      <c r="F131" s="85" t="str">
        <v>JPM</v>
      </c>
      <c r="G131" s="179">
        <v>1.2529926248616137E-3</v>
      </c>
      <c r="H131" s="180">
        <v>2.7840355446374721E-3</v>
      </c>
      <c r="I131" s="180">
        <v>1.8054441283061249E-3</v>
      </c>
      <c r="J131" s="180">
        <v>2.011937601179676E-3</v>
      </c>
      <c r="K131" s="180">
        <v>2.0831844183308271E-3</v>
      </c>
      <c r="L131" s="180">
        <v>2.159640132817216E-3</v>
      </c>
      <c r="M131" s="180">
        <v>2.9403656750226037E-3</v>
      </c>
      <c r="N131" s="180">
        <v>2.3150492241015347E-3</v>
      </c>
      <c r="O131" s="180">
        <v>1.9825602222543746E-3</v>
      </c>
      <c r="P131" s="180">
        <v>3.8267678235899111E-3</v>
      </c>
      <c r="Q131" s="180">
        <v>1.4284505514434026E-3</v>
      </c>
      <c r="R131" s="180">
        <v>2.0888390371824788E-3</v>
      </c>
      <c r="S131" s="180">
        <v>1.6338310266769979E-3</v>
      </c>
      <c r="T131" s="180">
        <v>9.2330996350035955E-4</v>
      </c>
      <c r="U131" s="180">
        <v>3.6504820104783621E-3</v>
      </c>
      <c r="V131" s="180">
        <v>6.292727988425526E-4</v>
      </c>
      <c r="W131" s="180">
        <v>1.135373183104091E-3</v>
      </c>
      <c r="X131" s="180">
        <v>1.3229022331511452E-3</v>
      </c>
      <c r="Y131" s="180">
        <v>9.9035410413519649E-4</v>
      </c>
      <c r="Z131" s="180">
        <v>2.1029083027690664E-3</v>
      </c>
      <c r="AA131" s="180">
        <v>6.7839144071882979E-4</v>
      </c>
      <c r="AB131" s="180">
        <v>1.3592270505613203E-3</v>
      </c>
      <c r="AC131" s="180">
        <v>7.2953612857905574E-4</v>
      </c>
      <c r="AD131" s="180">
        <v>1.2617149248905092E-3</v>
      </c>
      <c r="AE131" s="180">
        <v>1.8453743354725578E-3</v>
      </c>
      <c r="AF131" s="180">
        <v>3.9836144643633019E-4</v>
      </c>
      <c r="AG131" s="180">
        <v>1.9463933682734615E-3</v>
      </c>
      <c r="AH131" s="180">
        <v>7.503242005510376E-5</v>
      </c>
      <c r="AI131" s="181">
        <v>1.3958094738143344E-3</v>
      </c>
    </row>
    <row r="132" spans="2:35" x14ac:dyDescent="0.25">
      <c r="B132" s="163" t="str">
        <f>'Market Data'!$B$32</f>
        <v>KO</v>
      </c>
      <c r="C132" s="160">
        <f>Statistics!$G$34</f>
        <v>4.1810541872704362E-3</v>
      </c>
      <c r="E132" s="168">
        <v>0</v>
      </c>
      <c r="F132" s="85" t="str">
        <v>KO</v>
      </c>
      <c r="G132" s="179">
        <v>9.6129190129553134E-4</v>
      </c>
      <c r="H132" s="180">
        <v>5.6369017954212687E-4</v>
      </c>
      <c r="I132" s="180">
        <v>9.7196182882881919E-4</v>
      </c>
      <c r="J132" s="180">
        <v>6.586205973694774E-4</v>
      </c>
      <c r="K132" s="180">
        <v>1.0904984859812852E-3</v>
      </c>
      <c r="L132" s="180">
        <v>7.7350953916938299E-4</v>
      </c>
      <c r="M132" s="180">
        <v>1.3828838928124146E-3</v>
      </c>
      <c r="N132" s="180">
        <v>7.3157249166013263E-4</v>
      </c>
      <c r="O132" s="180">
        <v>1.0900315820250495E-3</v>
      </c>
      <c r="P132" s="180">
        <v>5.0884399749192373E-4</v>
      </c>
      <c r="Q132" s="180">
        <v>5.5799413673053339E-4</v>
      </c>
      <c r="R132" s="180">
        <v>5.7019303114958723E-4</v>
      </c>
      <c r="S132" s="180">
        <v>1.1107691361801554E-3</v>
      </c>
      <c r="T132" s="180">
        <v>8.0248592661524116E-4</v>
      </c>
      <c r="U132" s="180">
        <v>6.292727988425526E-4</v>
      </c>
      <c r="V132" s="180">
        <v>1.2210270669043683E-3</v>
      </c>
      <c r="W132" s="180">
        <v>7.9000312454904529E-4</v>
      </c>
      <c r="X132" s="180">
        <v>6.5400026561614926E-4</v>
      </c>
      <c r="Y132" s="180">
        <v>5.6925923112739025E-4</v>
      </c>
      <c r="Z132" s="180">
        <v>1.0711085481253278E-3</v>
      </c>
      <c r="AA132" s="180">
        <v>4.3589033448327737E-4</v>
      </c>
      <c r="AB132" s="180">
        <v>6.3614560547018231E-4</v>
      </c>
      <c r="AC132" s="180">
        <v>6.5740070509151668E-4</v>
      </c>
      <c r="AD132" s="180">
        <v>1.2737483924284157E-4</v>
      </c>
      <c r="AE132" s="180">
        <v>5.7087013169956707E-4</v>
      </c>
      <c r="AF132" s="180">
        <v>4.9096142938173941E-4</v>
      </c>
      <c r="AG132" s="180">
        <v>9.4999344105865064E-4</v>
      </c>
      <c r="AH132" s="180">
        <v>6.4703627119224946E-4</v>
      </c>
      <c r="AI132" s="181">
        <v>5.1805651820066112E-4</v>
      </c>
    </row>
    <row r="133" spans="2:35" x14ac:dyDescent="0.25">
      <c r="B133" s="163" t="str">
        <f>'Market Data'!$B$33</f>
        <v>MCD</v>
      </c>
      <c r="C133" s="160">
        <f>Statistics!$G$35</f>
        <v>8.998422120903465E-3</v>
      </c>
      <c r="E133" s="168">
        <v>0</v>
      </c>
      <c r="F133" s="85" t="str">
        <v>MCD</v>
      </c>
      <c r="G133" s="179">
        <v>4.3723596630614248E-4</v>
      </c>
      <c r="H133" s="180">
        <v>5.9016175595858627E-4</v>
      </c>
      <c r="I133" s="180">
        <v>1.004575731683145E-3</v>
      </c>
      <c r="J133" s="180">
        <v>1.2118483675212872E-3</v>
      </c>
      <c r="K133" s="180">
        <v>8.8656407550750189E-4</v>
      </c>
      <c r="L133" s="180">
        <v>1.2445101608031307E-3</v>
      </c>
      <c r="M133" s="180">
        <v>1.5566945864839937E-3</v>
      </c>
      <c r="N133" s="180">
        <v>1.0434476997331528E-3</v>
      </c>
      <c r="O133" s="180">
        <v>1.4080437366372094E-3</v>
      </c>
      <c r="P133" s="180">
        <v>1.1844149472533348E-3</v>
      </c>
      <c r="Q133" s="180">
        <v>7.381374461617429E-4</v>
      </c>
      <c r="R133" s="180">
        <v>5.4513263389601688E-4</v>
      </c>
      <c r="S133" s="180">
        <v>9.1762089354393737E-4</v>
      </c>
      <c r="T133" s="180">
        <v>7.2064842002941051E-4</v>
      </c>
      <c r="U133" s="180">
        <v>1.135373183104091E-3</v>
      </c>
      <c r="V133" s="180">
        <v>7.9000312454904529E-4</v>
      </c>
      <c r="W133" s="180">
        <v>1.7650690545216805E-3</v>
      </c>
      <c r="X133" s="180">
        <v>7.9590651205676567E-4</v>
      </c>
      <c r="Y133" s="180">
        <v>5.886623345512683E-4</v>
      </c>
      <c r="Z133" s="180">
        <v>1.2284698745461862E-3</v>
      </c>
      <c r="AA133" s="180">
        <v>4.3355644868225306E-4</v>
      </c>
      <c r="AB133" s="180">
        <v>9.4939047744066322E-4</v>
      </c>
      <c r="AC133" s="180">
        <v>4.0611550084338323E-4</v>
      </c>
      <c r="AD133" s="180">
        <v>3.5874031329227935E-4</v>
      </c>
      <c r="AE133" s="180">
        <v>8.7888532505727346E-4</v>
      </c>
      <c r="AF133" s="180">
        <v>6.7734327840461236E-4</v>
      </c>
      <c r="AG133" s="180">
        <v>1.0020182531469391E-3</v>
      </c>
      <c r="AH133" s="180">
        <v>4.237060092283065E-5</v>
      </c>
      <c r="AI133" s="181">
        <v>6.6389606634421081E-4</v>
      </c>
    </row>
    <row r="134" spans="2:35" x14ac:dyDescent="0.25">
      <c r="B134" s="163" t="str">
        <f>'Market Data'!$B$34</f>
        <v>MMM</v>
      </c>
      <c r="C134" s="160">
        <f>Statistics!$G$36</f>
        <v>1.5280500930100561E-2</v>
      </c>
      <c r="E134" s="168">
        <v>0</v>
      </c>
      <c r="F134" s="85" t="str">
        <v>MMM</v>
      </c>
      <c r="G134" s="179">
        <v>1.6042263123932821E-3</v>
      </c>
      <c r="H134" s="180">
        <v>1.3680882736390085E-3</v>
      </c>
      <c r="I134" s="180">
        <v>1.220072170107771E-3</v>
      </c>
      <c r="J134" s="180">
        <v>1.3778500117759705E-3</v>
      </c>
      <c r="K134" s="180">
        <v>1.6594658489014636E-3</v>
      </c>
      <c r="L134" s="180">
        <v>1.3396872809028706E-3</v>
      </c>
      <c r="M134" s="180">
        <v>2.4333011024343194E-3</v>
      </c>
      <c r="N134" s="180">
        <v>1.3935802423237448E-3</v>
      </c>
      <c r="O134" s="180">
        <v>1.6476299492810176E-3</v>
      </c>
      <c r="P134" s="180">
        <v>1.5580261625844892E-3</v>
      </c>
      <c r="Q134" s="180">
        <v>1.0633975936011025E-3</v>
      </c>
      <c r="R134" s="180">
        <v>1.0275296737018624E-3</v>
      </c>
      <c r="S134" s="180">
        <v>1.3291856750406272E-3</v>
      </c>
      <c r="T134" s="180">
        <v>9.1647163555960687E-4</v>
      </c>
      <c r="U134" s="180">
        <v>1.3229022331511452E-3</v>
      </c>
      <c r="V134" s="180">
        <v>6.5400026561614926E-4</v>
      </c>
      <c r="W134" s="180">
        <v>7.9590651205676567E-4</v>
      </c>
      <c r="X134" s="180">
        <v>1.9007159701372343E-3</v>
      </c>
      <c r="Y134" s="180">
        <v>9.3087542856500223E-4</v>
      </c>
      <c r="Z134" s="180">
        <v>9.5021437706372129E-4</v>
      </c>
      <c r="AA134" s="180">
        <v>7.5220949128439868E-4</v>
      </c>
      <c r="AB134" s="180">
        <v>1.1108584905280188E-3</v>
      </c>
      <c r="AC134" s="180">
        <v>7.8023777188204919E-4</v>
      </c>
      <c r="AD134" s="180">
        <v>9.8369986573183495E-4</v>
      </c>
      <c r="AE134" s="180">
        <v>1.8471574472775569E-3</v>
      </c>
      <c r="AF134" s="180">
        <v>5.9539589470078522E-4</v>
      </c>
      <c r="AG134" s="180">
        <v>1.59984129324471E-3</v>
      </c>
      <c r="AH134" s="180">
        <v>4.5051539698961655E-4</v>
      </c>
      <c r="AI134" s="181">
        <v>1.2697174541958882E-3</v>
      </c>
    </row>
    <row r="135" spans="2:35" x14ac:dyDescent="0.25">
      <c r="B135" s="163" t="str">
        <f>'Market Data'!$B$35</f>
        <v>MRK</v>
      </c>
      <c r="C135" s="160">
        <f>Statistics!$G$37</f>
        <v>1.1473476041634185E-2</v>
      </c>
      <c r="E135" s="168">
        <v>0</v>
      </c>
      <c r="F135" s="85" t="str">
        <v>MRK</v>
      </c>
      <c r="G135" s="179">
        <v>6.6280896407091964E-4</v>
      </c>
      <c r="H135" s="180">
        <v>9.5675499919051471E-4</v>
      </c>
      <c r="I135" s="180">
        <v>1.3506721993334096E-3</v>
      </c>
      <c r="J135" s="180">
        <v>1.6454661341138513E-3</v>
      </c>
      <c r="K135" s="180">
        <v>1.2877752599161352E-3</v>
      </c>
      <c r="L135" s="180">
        <v>1.0548817345930506E-3</v>
      </c>
      <c r="M135" s="180">
        <v>2.1034755337789339E-3</v>
      </c>
      <c r="N135" s="180">
        <v>1.1180874248259017E-3</v>
      </c>
      <c r="O135" s="180">
        <v>7.4080885300837902E-4</v>
      </c>
      <c r="P135" s="180">
        <v>9.5059394038900442E-4</v>
      </c>
      <c r="Q135" s="180">
        <v>7.161428946835201E-4</v>
      </c>
      <c r="R135" s="180">
        <v>1.0097860441379664E-3</v>
      </c>
      <c r="S135" s="180">
        <v>1.2481991200788169E-3</v>
      </c>
      <c r="T135" s="180">
        <v>7.8932636294384688E-4</v>
      </c>
      <c r="U135" s="180">
        <v>9.9035410413519649E-4</v>
      </c>
      <c r="V135" s="180">
        <v>5.6925923112739025E-4</v>
      </c>
      <c r="W135" s="180">
        <v>5.886623345512683E-4</v>
      </c>
      <c r="X135" s="180">
        <v>9.3087542856500223E-4</v>
      </c>
      <c r="Y135" s="180">
        <v>2.5431403633519077E-3</v>
      </c>
      <c r="Z135" s="180">
        <v>1.0039618395335291E-3</v>
      </c>
      <c r="AA135" s="180">
        <v>3.4083858597475385E-4</v>
      </c>
      <c r="AB135" s="180">
        <v>1.3412346285691251E-3</v>
      </c>
      <c r="AC135" s="180">
        <v>3.7529952314904947E-4</v>
      </c>
      <c r="AD135" s="180">
        <v>8.5985137540516086E-4</v>
      </c>
      <c r="AE135" s="180">
        <v>1.4646144344401168E-3</v>
      </c>
      <c r="AF135" s="180">
        <v>3.3006228708408361E-4</v>
      </c>
      <c r="AG135" s="180">
        <v>1.1984054366898813E-3</v>
      </c>
      <c r="AH135" s="180">
        <v>4.389896882024129E-4</v>
      </c>
      <c r="AI135" s="181">
        <v>5.8214330295854532E-4</v>
      </c>
    </row>
    <row r="136" spans="2:35" x14ac:dyDescent="0.25">
      <c r="B136" s="163" t="str">
        <f>'Market Data'!$B$36</f>
        <v>MSFT</v>
      </c>
      <c r="C136" s="160">
        <f>Statistics!$G$38</f>
        <v>2.1777833497491961E-2</v>
      </c>
      <c r="E136" s="168">
        <v>0</v>
      </c>
      <c r="F136" s="85" t="str">
        <v>MSFT</v>
      </c>
      <c r="G136" s="179">
        <v>1.7656054736670385E-3</v>
      </c>
      <c r="H136" s="180">
        <v>1.7453927826798744E-3</v>
      </c>
      <c r="I136" s="180">
        <v>1.4618979219237266E-3</v>
      </c>
      <c r="J136" s="180">
        <v>2.2842322526096018E-3</v>
      </c>
      <c r="K136" s="180">
        <v>2.1511833371391734E-3</v>
      </c>
      <c r="L136" s="180">
        <v>1.921523261676006E-3</v>
      </c>
      <c r="M136" s="180">
        <v>3.4647817866697963E-3</v>
      </c>
      <c r="N136" s="180">
        <v>1.7514488094562146E-3</v>
      </c>
      <c r="O136" s="180">
        <v>2.1782812682115105E-3</v>
      </c>
      <c r="P136" s="180">
        <v>1.9881521509949444E-3</v>
      </c>
      <c r="Q136" s="180">
        <v>1.0017697174583111E-3</v>
      </c>
      <c r="R136" s="180">
        <v>1.4353906099659559E-3</v>
      </c>
      <c r="S136" s="180">
        <v>2.824290151917595E-3</v>
      </c>
      <c r="T136" s="180">
        <v>8.3950208317612799E-4</v>
      </c>
      <c r="U136" s="180">
        <v>2.1029083027690664E-3</v>
      </c>
      <c r="V136" s="180">
        <v>1.0711085481253278E-3</v>
      </c>
      <c r="W136" s="180">
        <v>1.2284698745461862E-3</v>
      </c>
      <c r="X136" s="180">
        <v>9.5021437706372129E-4</v>
      </c>
      <c r="Y136" s="180">
        <v>1.0039618395335291E-3</v>
      </c>
      <c r="Z136" s="180">
        <v>4.5817164894349687E-3</v>
      </c>
      <c r="AA136" s="180">
        <v>9.1111393401995618E-4</v>
      </c>
      <c r="AB136" s="180">
        <v>1.1007292150403058E-3</v>
      </c>
      <c r="AC136" s="180">
        <v>1.0300601718935634E-3</v>
      </c>
      <c r="AD136" s="180">
        <v>2.4058610256342332E-4</v>
      </c>
      <c r="AE136" s="180">
        <v>9.3007091875184366E-4</v>
      </c>
      <c r="AF136" s="180">
        <v>7.4555370224549768E-4</v>
      </c>
      <c r="AG136" s="180">
        <v>1.5294825998788863E-3</v>
      </c>
      <c r="AH136" s="180">
        <v>-3.4970831020819231E-4</v>
      </c>
      <c r="AI136" s="181">
        <v>1.2219742467918569E-3</v>
      </c>
    </row>
    <row r="137" spans="2:35" x14ac:dyDescent="0.25">
      <c r="B137" s="163" t="str">
        <f>'Market Data'!$B$37</f>
        <v>NKE</v>
      </c>
      <c r="C137" s="160">
        <f>Statistics!$G$39</f>
        <v>1.5970247269241938E-2</v>
      </c>
      <c r="E137" s="168">
        <v>0</v>
      </c>
      <c r="F137" s="85" t="str">
        <v>NKE</v>
      </c>
      <c r="G137" s="179">
        <v>7.4054258425286133E-4</v>
      </c>
      <c r="H137" s="180">
        <v>9.1418204127611028E-4</v>
      </c>
      <c r="I137" s="180">
        <v>1.1825978430535619E-3</v>
      </c>
      <c r="J137" s="180">
        <v>-1.1104731462091626E-4</v>
      </c>
      <c r="K137" s="180">
        <v>7.2136303147440504E-4</v>
      </c>
      <c r="L137" s="180">
        <v>-3.0145919518466895E-4</v>
      </c>
      <c r="M137" s="180">
        <v>1.371253710214986E-3</v>
      </c>
      <c r="N137" s="180">
        <v>1.1713887062549742E-3</v>
      </c>
      <c r="O137" s="180">
        <v>6.8149888740689005E-4</v>
      </c>
      <c r="P137" s="180">
        <v>9.2810945195530823E-4</v>
      </c>
      <c r="Q137" s="180">
        <v>7.3578315539153108E-4</v>
      </c>
      <c r="R137" s="180">
        <v>1.3757321359017424E-4</v>
      </c>
      <c r="S137" s="180">
        <v>5.7515792739731505E-4</v>
      </c>
      <c r="T137" s="180">
        <v>2.4076387457302071E-4</v>
      </c>
      <c r="U137" s="180">
        <v>6.7839144071882979E-4</v>
      </c>
      <c r="V137" s="180">
        <v>4.3589033448327737E-4</v>
      </c>
      <c r="W137" s="180">
        <v>4.3355644868225306E-4</v>
      </c>
      <c r="X137" s="180">
        <v>7.5220949128439868E-4</v>
      </c>
      <c r="Y137" s="180">
        <v>3.4083858597475385E-4</v>
      </c>
      <c r="Z137" s="180">
        <v>9.1111393401995618E-4</v>
      </c>
      <c r="AA137" s="180">
        <v>2.7193308407813446E-3</v>
      </c>
      <c r="AB137" s="180">
        <v>5.6615292191577104E-4</v>
      </c>
      <c r="AC137" s="180">
        <v>3.6538493696828688E-4</v>
      </c>
      <c r="AD137" s="180">
        <v>8.9669180264711685E-5</v>
      </c>
      <c r="AE137" s="180">
        <v>4.9140530374502923E-4</v>
      </c>
      <c r="AF137" s="180">
        <v>1.0278859564771125E-5</v>
      </c>
      <c r="AG137" s="180">
        <v>1.2162400994020978E-3</v>
      </c>
      <c r="AH137" s="180">
        <v>1.3266739677968515E-5</v>
      </c>
      <c r="AI137" s="181">
        <v>-1.9722713194093662E-4</v>
      </c>
    </row>
    <row r="138" spans="2:35" x14ac:dyDescent="0.25">
      <c r="B138" s="163" t="str">
        <f>'Market Data'!$B$38</f>
        <v>PFE</v>
      </c>
      <c r="C138" s="160">
        <f>Statistics!$G$40</f>
        <v>7.6042605716081235E-3</v>
      </c>
      <c r="E138" s="168">
        <v>0</v>
      </c>
      <c r="F138" s="85" t="str">
        <v>PFE</v>
      </c>
      <c r="G138" s="179">
        <v>1.105136574328315E-3</v>
      </c>
      <c r="H138" s="180">
        <v>1.0081234358528435E-3</v>
      </c>
      <c r="I138" s="180">
        <v>1.2950969606515986E-3</v>
      </c>
      <c r="J138" s="180">
        <v>7.9610645869862182E-4</v>
      </c>
      <c r="K138" s="180">
        <v>1.5185012123350332E-3</v>
      </c>
      <c r="L138" s="180">
        <v>1.0966581694716135E-3</v>
      </c>
      <c r="M138" s="180">
        <v>2.2541080192876768E-3</v>
      </c>
      <c r="N138" s="180">
        <v>1.4909638464124207E-3</v>
      </c>
      <c r="O138" s="180">
        <v>1.1596920910434683E-3</v>
      </c>
      <c r="P138" s="180">
        <v>1.2974763649140325E-3</v>
      </c>
      <c r="Q138" s="180">
        <v>8.5234066580948517E-4</v>
      </c>
      <c r="R138" s="180">
        <v>7.9545047293496068E-4</v>
      </c>
      <c r="S138" s="180">
        <v>9.9184976149502301E-4</v>
      </c>
      <c r="T138" s="180">
        <v>1.174922395291398E-3</v>
      </c>
      <c r="U138" s="180">
        <v>1.3592270505613203E-3</v>
      </c>
      <c r="V138" s="180">
        <v>6.3614560547018231E-4</v>
      </c>
      <c r="W138" s="180">
        <v>9.4939047744066322E-4</v>
      </c>
      <c r="X138" s="180">
        <v>1.1108584905280188E-3</v>
      </c>
      <c r="Y138" s="180">
        <v>1.3412346285691251E-3</v>
      </c>
      <c r="Z138" s="180">
        <v>1.1007292150403058E-3</v>
      </c>
      <c r="AA138" s="180">
        <v>5.6615292191577104E-4</v>
      </c>
      <c r="AB138" s="180">
        <v>2.4354805215546461E-3</v>
      </c>
      <c r="AC138" s="180">
        <v>7.7698221980775051E-4</v>
      </c>
      <c r="AD138" s="180">
        <v>7.5423895885674786E-4</v>
      </c>
      <c r="AE138" s="180">
        <v>1.3524566727664237E-3</v>
      </c>
      <c r="AF138" s="180">
        <v>6.9733723903610885E-4</v>
      </c>
      <c r="AG138" s="180">
        <v>1.6142857385330945E-3</v>
      </c>
      <c r="AH138" s="180">
        <v>6.1756439897017149E-4</v>
      </c>
      <c r="AI138" s="181">
        <v>8.1835922434987771E-4</v>
      </c>
    </row>
    <row r="139" spans="2:35" x14ac:dyDescent="0.25">
      <c r="B139" s="163" t="str">
        <f>'Market Data'!$B$39</f>
        <v>PG</v>
      </c>
      <c r="C139" s="160">
        <f>Statistics!$G$41</f>
        <v>6.7668222923833359E-3</v>
      </c>
      <c r="E139" s="168">
        <v>0</v>
      </c>
      <c r="F139" s="85" t="str">
        <v>PG</v>
      </c>
      <c r="G139" s="179">
        <v>1.0336127768185608E-3</v>
      </c>
      <c r="H139" s="180">
        <v>4.150551569421239E-4</v>
      </c>
      <c r="I139" s="180">
        <v>5.997217417536032E-4</v>
      </c>
      <c r="J139" s="180">
        <v>4.9254664842985144E-4</v>
      </c>
      <c r="K139" s="180">
        <v>1.0690588122897406E-3</v>
      </c>
      <c r="L139" s="180">
        <v>8.4385070363078498E-4</v>
      </c>
      <c r="M139" s="180">
        <v>1.1783213677355128E-3</v>
      </c>
      <c r="N139" s="180">
        <v>6.6920552953337459E-4</v>
      </c>
      <c r="O139" s="180">
        <v>8.669689440805547E-4</v>
      </c>
      <c r="P139" s="180">
        <v>6.8796273406052837E-4</v>
      </c>
      <c r="Q139" s="180">
        <v>4.7474349038820928E-4</v>
      </c>
      <c r="R139" s="180">
        <v>5.5361049131124631E-4</v>
      </c>
      <c r="S139" s="180">
        <v>7.9168442412031782E-4</v>
      </c>
      <c r="T139" s="180">
        <v>7.8676359672877393E-4</v>
      </c>
      <c r="U139" s="180">
        <v>7.2953612857905574E-4</v>
      </c>
      <c r="V139" s="180">
        <v>6.5740070509151668E-4</v>
      </c>
      <c r="W139" s="180">
        <v>4.0611550084338323E-4</v>
      </c>
      <c r="X139" s="180">
        <v>7.8023777188204919E-4</v>
      </c>
      <c r="Y139" s="180">
        <v>3.7529952314904947E-4</v>
      </c>
      <c r="Z139" s="180">
        <v>1.0300601718935634E-3</v>
      </c>
      <c r="AA139" s="180">
        <v>3.6538493696828688E-4</v>
      </c>
      <c r="AB139" s="180">
        <v>7.7698221980775051E-4</v>
      </c>
      <c r="AC139" s="180">
        <v>1.4111752678343567E-3</v>
      </c>
      <c r="AD139" s="180">
        <v>1.723275330802805E-4</v>
      </c>
      <c r="AE139" s="180">
        <v>6.4008748533685535E-4</v>
      </c>
      <c r="AF139" s="180">
        <v>2.3535220881827705E-4</v>
      </c>
      <c r="AG139" s="180">
        <v>9.2172519542926422E-4</v>
      </c>
      <c r="AH139" s="180">
        <v>7.2490049760504278E-4</v>
      </c>
      <c r="AI139" s="181">
        <v>6.1092932367000222E-4</v>
      </c>
    </row>
    <row r="140" spans="2:35" x14ac:dyDescent="0.25">
      <c r="B140" s="163" t="str">
        <f>'Market Data'!$B$40</f>
        <v>UNH</v>
      </c>
      <c r="C140" s="160">
        <f>Statistics!$G$42</f>
        <v>2.4695057092687361E-2</v>
      </c>
      <c r="E140" s="168">
        <v>0</v>
      </c>
      <c r="F140" s="85" t="str">
        <v>UNH</v>
      </c>
      <c r="G140" s="179">
        <v>5.5673881663560775E-4</v>
      </c>
      <c r="H140" s="180">
        <v>9.035040942327959E-4</v>
      </c>
      <c r="I140" s="180">
        <v>6.5863568330466196E-4</v>
      </c>
      <c r="J140" s="180">
        <v>7.8373416165496384E-4</v>
      </c>
      <c r="K140" s="180">
        <v>1.0321561899434074E-3</v>
      </c>
      <c r="L140" s="180">
        <v>8.9699068571536217E-4</v>
      </c>
      <c r="M140" s="180">
        <v>1.3915459916452729E-3</v>
      </c>
      <c r="N140" s="180">
        <v>9.9320622386439117E-4</v>
      </c>
      <c r="O140" s="180">
        <v>6.9406421327386882E-4</v>
      </c>
      <c r="P140" s="180">
        <v>1.248419321363809E-3</v>
      </c>
      <c r="Q140" s="180">
        <v>6.4915062582396636E-4</v>
      </c>
      <c r="R140" s="180">
        <v>8.8298395118505178E-4</v>
      </c>
      <c r="S140" s="180">
        <v>5.6633014876153942E-4</v>
      </c>
      <c r="T140" s="180">
        <v>4.4624886795118808E-4</v>
      </c>
      <c r="U140" s="180">
        <v>1.2617149248905092E-3</v>
      </c>
      <c r="V140" s="180">
        <v>1.2737483924284157E-4</v>
      </c>
      <c r="W140" s="180">
        <v>3.5874031329227935E-4</v>
      </c>
      <c r="X140" s="180">
        <v>9.8369986573183495E-4</v>
      </c>
      <c r="Y140" s="180">
        <v>8.5985137540516086E-4</v>
      </c>
      <c r="Z140" s="180">
        <v>2.4058610256342332E-4</v>
      </c>
      <c r="AA140" s="180">
        <v>8.9669180264711685E-5</v>
      </c>
      <c r="AB140" s="180">
        <v>7.5423895885674786E-4</v>
      </c>
      <c r="AC140" s="180">
        <v>1.723275330802805E-4</v>
      </c>
      <c r="AD140" s="180">
        <v>1.9588021355587989E-3</v>
      </c>
      <c r="AE140" s="180">
        <v>1.3013762269017E-3</v>
      </c>
      <c r="AF140" s="180">
        <v>4.3562344006968111E-4</v>
      </c>
      <c r="AG140" s="180">
        <v>6.7255745531353401E-4</v>
      </c>
      <c r="AH140" s="180">
        <v>2.5472583633253342E-4</v>
      </c>
      <c r="AI140" s="181">
        <v>7.6037739981613735E-4</v>
      </c>
    </row>
    <row r="141" spans="2:35" x14ac:dyDescent="0.25">
      <c r="B141" s="163" t="str">
        <f>'Market Data'!$B$41</f>
        <v>UTX</v>
      </c>
      <c r="C141" s="160">
        <f>Statistics!$G$43</f>
        <v>7.3861111519648165E-3</v>
      </c>
      <c r="E141" s="168">
        <v>0</v>
      </c>
      <c r="F141" s="85" t="str">
        <v>UTX</v>
      </c>
      <c r="G141" s="179">
        <v>1.2367738317379871E-3</v>
      </c>
      <c r="H141" s="180">
        <v>1.9679940702890687E-3</v>
      </c>
      <c r="I141" s="180">
        <v>1.846395156096473E-3</v>
      </c>
      <c r="J141" s="180">
        <v>2.1924453554447642E-3</v>
      </c>
      <c r="K141" s="180">
        <v>2.0848208418056797E-3</v>
      </c>
      <c r="L141" s="180">
        <v>1.7655731333339048E-3</v>
      </c>
      <c r="M141" s="180">
        <v>3.4844332298577191E-3</v>
      </c>
      <c r="N141" s="180">
        <v>1.6618009644053405E-3</v>
      </c>
      <c r="O141" s="180">
        <v>1.9210155408337607E-3</v>
      </c>
      <c r="P141" s="180">
        <v>2.1674424403236793E-3</v>
      </c>
      <c r="Q141" s="180">
        <v>1.2386809813748902E-3</v>
      </c>
      <c r="R141" s="180">
        <v>1.5169272523521361E-3</v>
      </c>
      <c r="S141" s="180">
        <v>1.2132957377483657E-3</v>
      </c>
      <c r="T141" s="180">
        <v>1.0117367356107026E-3</v>
      </c>
      <c r="U141" s="180">
        <v>1.8453743354725578E-3</v>
      </c>
      <c r="V141" s="180">
        <v>5.7087013169956707E-4</v>
      </c>
      <c r="W141" s="180">
        <v>8.7888532505727346E-4</v>
      </c>
      <c r="X141" s="180">
        <v>1.8471574472775569E-3</v>
      </c>
      <c r="Y141" s="180">
        <v>1.4646144344401168E-3</v>
      </c>
      <c r="Z141" s="180">
        <v>9.3007091875184366E-4</v>
      </c>
      <c r="AA141" s="180">
        <v>4.9140530374502923E-4</v>
      </c>
      <c r="AB141" s="180">
        <v>1.3524566727664237E-3</v>
      </c>
      <c r="AC141" s="180">
        <v>6.4008748533685535E-4</v>
      </c>
      <c r="AD141" s="180">
        <v>1.3013762269017E-3</v>
      </c>
      <c r="AE141" s="180">
        <v>3.1502830070701034E-3</v>
      </c>
      <c r="AF141" s="180">
        <v>3.2120511051046262E-4</v>
      </c>
      <c r="AG141" s="180">
        <v>1.6964262161404888E-3</v>
      </c>
      <c r="AH141" s="180">
        <v>2.8814451862251201E-4</v>
      </c>
      <c r="AI141" s="181">
        <v>1.3259012920786922E-3</v>
      </c>
    </row>
    <row r="142" spans="2:35" x14ac:dyDescent="0.25">
      <c r="B142" s="163" t="str">
        <f>'Market Data'!$B$42</f>
        <v>VZ</v>
      </c>
      <c r="C142" s="160">
        <f>Statistics!$G$44</f>
        <v>5.0086030759070753E-3</v>
      </c>
      <c r="E142" s="168">
        <v>0</v>
      </c>
      <c r="F142" s="85" t="str">
        <v>VZ</v>
      </c>
      <c r="G142" s="179">
        <v>1.8457278448214234E-4</v>
      </c>
      <c r="H142" s="180">
        <v>-7.7366109832012643E-5</v>
      </c>
      <c r="I142" s="180">
        <v>3.7914592931386057E-4</v>
      </c>
      <c r="J142" s="180">
        <v>6.8929109799853135E-4</v>
      </c>
      <c r="K142" s="180">
        <v>5.9888719676582812E-4</v>
      </c>
      <c r="L142" s="180">
        <v>7.5916190680994219E-4</v>
      </c>
      <c r="M142" s="180">
        <v>9.2727826439514978E-4</v>
      </c>
      <c r="N142" s="180">
        <v>5.8624704841600517E-4</v>
      </c>
      <c r="O142" s="180">
        <v>1.0256274934399997E-3</v>
      </c>
      <c r="P142" s="180">
        <v>3.7523862948950627E-4</v>
      </c>
      <c r="Q142" s="180">
        <v>1.1189073531181803E-4</v>
      </c>
      <c r="R142" s="180">
        <v>2.033685246020378E-4</v>
      </c>
      <c r="S142" s="180">
        <v>8.2166255763751334E-4</v>
      </c>
      <c r="T142" s="180">
        <v>7.3214708969514145E-4</v>
      </c>
      <c r="U142" s="180">
        <v>3.9836144643633019E-4</v>
      </c>
      <c r="V142" s="180">
        <v>4.9096142938173941E-4</v>
      </c>
      <c r="W142" s="180">
        <v>6.7734327840461236E-4</v>
      </c>
      <c r="X142" s="180">
        <v>5.9539589470078522E-4</v>
      </c>
      <c r="Y142" s="180">
        <v>3.3006228708408361E-4</v>
      </c>
      <c r="Z142" s="180">
        <v>7.4555370224549768E-4</v>
      </c>
      <c r="AA142" s="180">
        <v>1.0278859564771125E-5</v>
      </c>
      <c r="AB142" s="180">
        <v>6.9733723903610885E-4</v>
      </c>
      <c r="AC142" s="180">
        <v>2.3535220881827705E-4</v>
      </c>
      <c r="AD142" s="180">
        <v>4.3562344006968111E-4</v>
      </c>
      <c r="AE142" s="180">
        <v>3.2120511051046262E-4</v>
      </c>
      <c r="AF142" s="180">
        <v>2.0420562729853461E-3</v>
      </c>
      <c r="AG142" s="180">
        <v>3.5270826394507459E-4</v>
      </c>
      <c r="AH142" s="180">
        <v>4.5696587310639262E-4</v>
      </c>
      <c r="AI142" s="181">
        <v>6.4524949399266879E-4</v>
      </c>
    </row>
    <row r="143" spans="2:35" x14ac:dyDescent="0.25">
      <c r="B143" s="163" t="str">
        <f>'Market Data'!$B$43</f>
        <v>V</v>
      </c>
      <c r="C143" s="160">
        <f>Statistics!$G$45</f>
        <v>1.7947618128132319E-2</v>
      </c>
      <c r="E143" s="168">
        <v>0</v>
      </c>
      <c r="F143" s="85" t="str">
        <v>V</v>
      </c>
      <c r="G143" s="179">
        <v>1.5697677901095443E-3</v>
      </c>
      <c r="H143" s="180">
        <v>2.1563583115517065E-3</v>
      </c>
      <c r="I143" s="180">
        <v>2.2475777063178958E-3</v>
      </c>
      <c r="J143" s="180">
        <v>1.4624027030174886E-3</v>
      </c>
      <c r="K143" s="180">
        <v>2.8598074505702059E-3</v>
      </c>
      <c r="L143" s="180">
        <v>9.2897312946466114E-4</v>
      </c>
      <c r="M143" s="180">
        <v>3.0677861856869904E-3</v>
      </c>
      <c r="N143" s="180">
        <v>2.2204011828610088E-3</v>
      </c>
      <c r="O143" s="180">
        <v>1.7646874198991678E-3</v>
      </c>
      <c r="P143" s="180">
        <v>2.0541307067505868E-3</v>
      </c>
      <c r="Q143" s="180">
        <v>1.2055891827737501E-3</v>
      </c>
      <c r="R143" s="180">
        <v>1.2306885914741903E-3</v>
      </c>
      <c r="S143" s="180">
        <v>1.8678530672680304E-3</v>
      </c>
      <c r="T143" s="180">
        <v>8.2747273857601913E-4</v>
      </c>
      <c r="U143" s="180">
        <v>1.9463933682734615E-3</v>
      </c>
      <c r="V143" s="180">
        <v>9.4999344105865064E-4</v>
      </c>
      <c r="W143" s="180">
        <v>1.0020182531469391E-3</v>
      </c>
      <c r="X143" s="180">
        <v>1.59984129324471E-3</v>
      </c>
      <c r="Y143" s="180">
        <v>1.1984054366898813E-3</v>
      </c>
      <c r="Z143" s="180">
        <v>1.5294825998788863E-3</v>
      </c>
      <c r="AA143" s="180">
        <v>1.2162400994020978E-3</v>
      </c>
      <c r="AB143" s="180">
        <v>1.6142857385330945E-3</v>
      </c>
      <c r="AC143" s="180">
        <v>9.2172519542926422E-4</v>
      </c>
      <c r="AD143" s="180">
        <v>6.7255745531353401E-4</v>
      </c>
      <c r="AE143" s="180">
        <v>1.6964262161404888E-3</v>
      </c>
      <c r="AF143" s="180">
        <v>3.5270826394507459E-4</v>
      </c>
      <c r="AG143" s="180">
        <v>3.6944718915923875E-3</v>
      </c>
      <c r="AH143" s="180">
        <v>2.1280259291490004E-4</v>
      </c>
      <c r="AI143" s="181">
        <v>9.4116112769672574E-4</v>
      </c>
    </row>
    <row r="144" spans="2:35" x14ac:dyDescent="0.25">
      <c r="B144" s="163" t="str">
        <f>'Market Data'!$B$44</f>
        <v>WMT</v>
      </c>
      <c r="C144" s="160">
        <f>Statistics!$G$46</f>
        <v>1.8437214178450567E-3</v>
      </c>
      <c r="E144" s="168">
        <v>0</v>
      </c>
      <c r="F144" s="85" t="str">
        <v>WMT</v>
      </c>
      <c r="G144" s="179">
        <v>5.7975796375205426E-4</v>
      </c>
      <c r="H144" s="180">
        <v>2.6973274792062105E-5</v>
      </c>
      <c r="I144" s="180">
        <v>1.7979190170774528E-4</v>
      </c>
      <c r="J144" s="180">
        <v>-2.1581932882750213E-4</v>
      </c>
      <c r="K144" s="180">
        <v>3.2563207166723412E-4</v>
      </c>
      <c r="L144" s="180">
        <v>1.437380584121094E-4</v>
      </c>
      <c r="M144" s="180">
        <v>-2.3301122426120984E-5</v>
      </c>
      <c r="N144" s="180">
        <v>-1.1672694641114529E-4</v>
      </c>
      <c r="O144" s="180">
        <v>3.1986346053900631E-5</v>
      </c>
      <c r="P144" s="180">
        <v>-5.4295264980806504E-5</v>
      </c>
      <c r="Q144" s="180">
        <v>1.9815526434870993E-4</v>
      </c>
      <c r="R144" s="180">
        <v>3.7610030291999273E-4</v>
      </c>
      <c r="S144" s="180">
        <v>-1.8556188989019865E-5</v>
      </c>
      <c r="T144" s="180">
        <v>7.1470891411086447E-4</v>
      </c>
      <c r="U144" s="180">
        <v>7.503242005510376E-5</v>
      </c>
      <c r="V144" s="180">
        <v>6.4703627119224946E-4</v>
      </c>
      <c r="W144" s="180">
        <v>4.237060092283065E-5</v>
      </c>
      <c r="X144" s="180">
        <v>4.5051539698961655E-4</v>
      </c>
      <c r="Y144" s="180">
        <v>4.389896882024129E-4</v>
      </c>
      <c r="Z144" s="180">
        <v>-3.4970831020819231E-4</v>
      </c>
      <c r="AA144" s="180">
        <v>1.3266739677968515E-5</v>
      </c>
      <c r="AB144" s="180">
        <v>6.1756439897017149E-4</v>
      </c>
      <c r="AC144" s="180">
        <v>7.2490049760504278E-4</v>
      </c>
      <c r="AD144" s="180">
        <v>2.5472583633253342E-4</v>
      </c>
      <c r="AE144" s="180">
        <v>2.8814451862251201E-4</v>
      </c>
      <c r="AF144" s="180">
        <v>4.5696587310639262E-4</v>
      </c>
      <c r="AG144" s="180">
        <v>2.1280259291490004E-4</v>
      </c>
      <c r="AH144" s="180">
        <v>1.9253008332035728E-3</v>
      </c>
      <c r="AI144" s="181">
        <v>9.9417778748729687E-5</v>
      </c>
    </row>
    <row r="145" spans="2:35" x14ac:dyDescent="0.25">
      <c r="B145" s="164" t="str">
        <f>'Market Data'!$B$45</f>
        <v>XOM</v>
      </c>
      <c r="C145" s="165">
        <f>Statistics!$G$47</f>
        <v>1.7101166353118678E-3</v>
      </c>
      <c r="E145" s="169">
        <v>0</v>
      </c>
      <c r="F145" s="86" t="str">
        <v>XOM</v>
      </c>
      <c r="G145" s="179">
        <v>8.3126780280069973E-4</v>
      </c>
      <c r="H145" s="180">
        <v>9.0240454872836753E-4</v>
      </c>
      <c r="I145" s="180">
        <v>5.5785917505375118E-4</v>
      </c>
      <c r="J145" s="180">
        <v>1.368945659107327E-3</v>
      </c>
      <c r="K145" s="180">
        <v>1.3701802479257339E-3</v>
      </c>
      <c r="L145" s="180">
        <v>1.9286286807754067E-3</v>
      </c>
      <c r="M145" s="180">
        <v>2.1182301102402332E-3</v>
      </c>
      <c r="N145" s="180">
        <v>1.3292278052638991E-3</v>
      </c>
      <c r="O145" s="180">
        <v>1.6264073394302158E-3</v>
      </c>
      <c r="P145" s="180">
        <v>1.4387650786059658E-3</v>
      </c>
      <c r="Q145" s="180">
        <v>5.7016164369997474E-4</v>
      </c>
      <c r="R145" s="180">
        <v>1.0970123689928199E-3</v>
      </c>
      <c r="S145" s="180">
        <v>1.0791409093812321E-3</v>
      </c>
      <c r="T145" s="180">
        <v>7.4627799983375924E-4</v>
      </c>
      <c r="U145" s="180">
        <v>1.3958094738143344E-3</v>
      </c>
      <c r="V145" s="180">
        <v>5.1805651820066112E-4</v>
      </c>
      <c r="W145" s="180">
        <v>6.6389606634421081E-4</v>
      </c>
      <c r="X145" s="180">
        <v>1.2697174541958882E-3</v>
      </c>
      <c r="Y145" s="180">
        <v>5.8214330295854532E-4</v>
      </c>
      <c r="Z145" s="180">
        <v>1.2219742467918569E-3</v>
      </c>
      <c r="AA145" s="180">
        <v>-1.9722713194093662E-4</v>
      </c>
      <c r="AB145" s="180">
        <v>8.1835922434987771E-4</v>
      </c>
      <c r="AC145" s="180">
        <v>6.1092932367000222E-4</v>
      </c>
      <c r="AD145" s="180">
        <v>7.6037739981613735E-4</v>
      </c>
      <c r="AE145" s="180">
        <v>1.3259012920786922E-3</v>
      </c>
      <c r="AF145" s="180">
        <v>6.4524949399266879E-4</v>
      </c>
      <c r="AG145" s="180">
        <v>9.4116112769672574E-4</v>
      </c>
      <c r="AH145" s="180">
        <v>9.9417778748729687E-5</v>
      </c>
      <c r="AI145" s="181">
        <v>1.845802781732033E-3</v>
      </c>
    </row>
    <row r="146" spans="2:35" x14ac:dyDescent="0.25">
      <c r="B146" s="3"/>
      <c r="C146" s="3"/>
      <c r="D146" s="3"/>
      <c r="E146" s="182">
        <f>SUM(MIN_PORTFOLIO_WEIGHTS)</f>
        <v>0.99999999999999967</v>
      </c>
      <c r="F146" s="3"/>
      <c r="G146" s="184">
        <f>_xll.SumProduct2(MIN_PORTFOLIO_WEIGHTS,G117:G145)*G115</f>
        <v>0</v>
      </c>
      <c r="H146" s="185">
        <f>_xll.SumProduct2(MIN_PORTFOLIO_WEIGHTS,H117:H145)*H115</f>
        <v>0</v>
      </c>
      <c r="I146" s="185">
        <f>_xll.SumProduct2(MIN_PORTFOLIO_WEIGHTS,I117:I145)*I115</f>
        <v>0</v>
      </c>
      <c r="J146" s="185">
        <f>_xll.SumProduct2(MIN_PORTFOLIO_WEIGHTS,J117:J145)*J115</f>
        <v>0</v>
      </c>
      <c r="K146" s="185">
        <f>_xll.SumProduct2(MIN_PORTFOLIO_WEIGHTS,K117:K145)*K115</f>
        <v>0</v>
      </c>
      <c r="L146" s="185">
        <f>_xll.SumProduct2(MIN_PORTFOLIO_WEIGHTS,L117:L145)*L115</f>
        <v>0</v>
      </c>
      <c r="M146" s="185">
        <f>_xll.SumProduct2(MIN_PORTFOLIO_WEIGHTS,M117:M145)*M115</f>
        <v>0</v>
      </c>
      <c r="N146" s="185">
        <f>_xll.SumProduct2(MIN_PORTFOLIO_WEIGHTS,N117:N145)*N115</f>
        <v>0</v>
      </c>
      <c r="O146" s="185">
        <f>_xll.SumProduct2(MIN_PORTFOLIO_WEIGHTS,O117:O145)*O115</f>
        <v>0</v>
      </c>
      <c r="P146" s="185">
        <f>_xll.SumProduct2(MIN_PORTFOLIO_WEIGHTS,P117:P145)*P115</f>
        <v>0</v>
      </c>
      <c r="Q146" s="185">
        <f>_xll.SumProduct2(MIN_PORTFOLIO_WEIGHTS,Q117:Q145)*Q115</f>
        <v>0</v>
      </c>
      <c r="R146" s="185">
        <f>_xll.SumProduct2(MIN_PORTFOLIO_WEIGHTS,R117:R145)*R115</f>
        <v>3.3622126456478983E-3</v>
      </c>
      <c r="S146" s="185">
        <f>_xll.SumProduct2(MIN_PORTFOLIO_WEIGHTS,S117:S145)*S115</f>
        <v>0</v>
      </c>
      <c r="T146" s="185">
        <f>_xll.SumProduct2(MIN_PORTFOLIO_WEIGHTS,T117:T145)*T115</f>
        <v>0</v>
      </c>
      <c r="U146" s="185">
        <f>_xll.SumProduct2(MIN_PORTFOLIO_WEIGHTS,U117:U145)*U115</f>
        <v>0</v>
      </c>
      <c r="V146" s="185">
        <f>_xll.SumProduct2(MIN_PORTFOLIO_WEIGHTS,V117:V145)*V115</f>
        <v>0</v>
      </c>
      <c r="W146" s="185">
        <f>_xll.SumProduct2(MIN_PORTFOLIO_WEIGHTS,W117:W145)*W115</f>
        <v>0</v>
      </c>
      <c r="X146" s="185">
        <f>_xll.SumProduct2(MIN_PORTFOLIO_WEIGHTS,X117:X145)*X115</f>
        <v>0</v>
      </c>
      <c r="Y146" s="185">
        <f>_xll.SumProduct2(MIN_PORTFOLIO_WEIGHTS,Y117:Y145)*Y115</f>
        <v>0</v>
      </c>
      <c r="Z146" s="185">
        <f>_xll.SumProduct2(MIN_PORTFOLIO_WEIGHTS,Z117:Z145)*Z115</f>
        <v>0</v>
      </c>
      <c r="AA146" s="185">
        <f>_xll.SumProduct2(MIN_PORTFOLIO_WEIGHTS,AA117:AA145)*AA115</f>
        <v>0</v>
      </c>
      <c r="AB146" s="185">
        <f>_xll.SumProduct2(MIN_PORTFOLIO_WEIGHTS,AB117:AB145)*AB115</f>
        <v>0</v>
      </c>
      <c r="AC146" s="185">
        <f>_xll.SumProduct2(MIN_PORTFOLIO_WEIGHTS,AC117:AC145)*AC115</f>
        <v>0</v>
      </c>
      <c r="AD146" s="185">
        <f>_xll.SumProduct2(MIN_PORTFOLIO_WEIGHTS,AD117:AD145)*AD115</f>
        <v>0</v>
      </c>
      <c r="AE146" s="185">
        <f>_xll.SumProduct2(MIN_PORTFOLIO_WEIGHTS,AE117:AE145)*AE115</f>
        <v>0</v>
      </c>
      <c r="AF146" s="185">
        <f>_xll.SumProduct2(MIN_PORTFOLIO_WEIGHTS,AF117:AF145)*AF115</f>
        <v>0</v>
      </c>
      <c r="AG146" s="185">
        <f>_xll.SumProduct2(MIN_PORTFOLIO_WEIGHTS,AG117:AG145)*AG115</f>
        <v>0</v>
      </c>
      <c r="AH146" s="185">
        <f>_xll.SumProduct2(MIN_PORTFOLIO_WEIGHTS,AH117:AH145)*AH115</f>
        <v>0</v>
      </c>
      <c r="AI146" s="189">
        <f>_xll.SumProduct2(MIN_PORTFOLIO_WEIGHTS,AI117:AI145)*AI115</f>
        <v>0</v>
      </c>
    </row>
    <row r="147" spans="2:35" x14ac:dyDescent="0.25">
      <c r="B147" s="3"/>
      <c r="C147" s="3"/>
      <c r="D147" s="3"/>
      <c r="E147" s="4"/>
      <c r="F147" s="3"/>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2:35" ht="20.25" thickBot="1" x14ac:dyDescent="0.35">
      <c r="B148" s="153" t="str">
        <f>ROUND(TR1_PORTFOLIO_TARGET_RETURN*100, LABEL_ROUNDING) &amp; "% Target Return Portfolio (TR1)"</f>
        <v>0.151% Target Return Portfolio (TR1)</v>
      </c>
      <c r="C148" s="153"/>
      <c r="D148" s="153"/>
      <c r="E148" s="154"/>
      <c r="F148" s="153"/>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row>
    <row r="149" spans="2:35" ht="15.75" thickTop="1" x14ac:dyDescent="0.25">
      <c r="B149" s="156" t="s">
        <v>70</v>
      </c>
      <c r="C149" s="159">
        <f>TR1_PORTFOLIO_TARGET_RETURN</f>
        <v>1.5107682834171793E-3</v>
      </c>
    </row>
    <row r="150" spans="2:35" x14ac:dyDescent="0.25">
      <c r="B150" s="157" t="s">
        <v>60</v>
      </c>
      <c r="C150" s="160">
        <f>_xll.SumProduct2(C155:C183,E155:E183)-RISK_FREE_RATE</f>
        <v>1.5116022449601254E-3</v>
      </c>
    </row>
    <row r="151" spans="2:35" x14ac:dyDescent="0.25">
      <c r="B151" s="157" t="s">
        <v>62</v>
      </c>
      <c r="C151" s="160">
        <f>SQRT(SUM(G184:AI184))</f>
        <v>3.1000333088606221E-2</v>
      </c>
    </row>
    <row r="152" spans="2:35" x14ac:dyDescent="0.25">
      <c r="B152" s="158" t="s">
        <v>103</v>
      </c>
      <c r="C152" s="161" t="str">
        <f>_xll.TimeSeries.CovarianceMatrixCalculator.apply(COVARIANCE_MATRIX_CALCULATOR,'Efficient Frontier'!B155:B183,Statistics!$F$19:$F$47)</f>
        <v>»LabelledMatrix-16705291694770987818</v>
      </c>
      <c r="D152" t="s">
        <v>77</v>
      </c>
    </row>
    <row r="153" spans="2:35" x14ac:dyDescent="0.25">
      <c r="F153" s="111" t="s">
        <v>69</v>
      </c>
      <c r="G153" s="170">
        <f t="array" ref="G153:AI153">TRANSPOSE(E155:E183)</f>
        <v>0</v>
      </c>
      <c r="H153" s="171">
        <v>0</v>
      </c>
      <c r="I153" s="171">
        <v>0</v>
      </c>
      <c r="J153" s="171">
        <v>0</v>
      </c>
      <c r="K153" s="171">
        <v>0</v>
      </c>
      <c r="L153" s="171">
        <v>0</v>
      </c>
      <c r="M153" s="171">
        <v>0</v>
      </c>
      <c r="N153" s="171">
        <v>0</v>
      </c>
      <c r="O153" s="171">
        <v>0</v>
      </c>
      <c r="P153" s="171">
        <v>0</v>
      </c>
      <c r="Q153" s="171">
        <v>0</v>
      </c>
      <c r="R153" s="171">
        <v>0.18032940886033386</v>
      </c>
      <c r="S153" s="171">
        <v>0</v>
      </c>
      <c r="T153" s="171">
        <v>0</v>
      </c>
      <c r="U153" s="171">
        <v>0</v>
      </c>
      <c r="V153" s="171">
        <v>3.4754878881345368E-2</v>
      </c>
      <c r="W153" s="171">
        <v>0</v>
      </c>
      <c r="X153" s="171">
        <v>0</v>
      </c>
      <c r="Y153" s="171">
        <v>0</v>
      </c>
      <c r="Z153" s="171">
        <v>0</v>
      </c>
      <c r="AA153" s="171">
        <v>0</v>
      </c>
      <c r="AB153" s="171">
        <v>0</v>
      </c>
      <c r="AC153" s="171">
        <v>0</v>
      </c>
      <c r="AD153" s="171">
        <v>0</v>
      </c>
      <c r="AE153" s="171">
        <v>0</v>
      </c>
      <c r="AF153" s="171">
        <v>7.0699819823669876E-3</v>
      </c>
      <c r="AG153" s="171">
        <v>0</v>
      </c>
      <c r="AH153" s="171">
        <v>0.41071895496204464</v>
      </c>
      <c r="AI153" s="172">
        <v>0.36712677531390897</v>
      </c>
    </row>
    <row r="154" spans="2:35" x14ac:dyDescent="0.25">
      <c r="C154" s="111" t="s">
        <v>63</v>
      </c>
      <c r="E154" s="89" t="s">
        <v>69</v>
      </c>
      <c r="F154" s="166" t="str">
        <f t="array" ref="F154:AI183">_xll.Matrix.ExpandAsArray(C152)</f>
        <v/>
      </c>
      <c r="G154" s="173" t="str">
        <v>AAPL</v>
      </c>
      <c r="H154" s="174" t="str">
        <v>AXP</v>
      </c>
      <c r="I154" s="174" t="str">
        <v>BA</v>
      </c>
      <c r="J154" s="174" t="str">
        <v>CAT</v>
      </c>
      <c r="K154" s="174" t="str">
        <v>CSCO</v>
      </c>
      <c r="L154" s="174" t="str">
        <v>CVX</v>
      </c>
      <c r="M154" s="174" t="str">
        <v>DD</v>
      </c>
      <c r="N154" s="174" t="str">
        <v>DIS</v>
      </c>
      <c r="O154" s="174" t="str">
        <v>GE</v>
      </c>
      <c r="P154" s="174" t="str">
        <v>GS</v>
      </c>
      <c r="Q154" s="174" t="str">
        <v>HD</v>
      </c>
      <c r="R154" s="174" t="str">
        <v>IBM</v>
      </c>
      <c r="S154" s="174" t="str">
        <v>INTC</v>
      </c>
      <c r="T154" s="174" t="str">
        <v>JNJ</v>
      </c>
      <c r="U154" s="174" t="str">
        <v>JPM</v>
      </c>
      <c r="V154" s="174" t="str">
        <v>KO</v>
      </c>
      <c r="W154" s="174" t="str">
        <v>MCD</v>
      </c>
      <c r="X154" s="174" t="str">
        <v>MMM</v>
      </c>
      <c r="Y154" s="174" t="str">
        <v>MRK</v>
      </c>
      <c r="Z154" s="174" t="str">
        <v>MSFT</v>
      </c>
      <c r="AA154" s="174" t="str">
        <v>NKE</v>
      </c>
      <c r="AB154" s="174" t="str">
        <v>PFE</v>
      </c>
      <c r="AC154" s="174" t="str">
        <v>PG</v>
      </c>
      <c r="AD154" s="174" t="str">
        <v>UNH</v>
      </c>
      <c r="AE154" s="174" t="str">
        <v>UTX</v>
      </c>
      <c r="AF154" s="174" t="str">
        <v>VZ</v>
      </c>
      <c r="AG154" s="174" t="str">
        <v>V</v>
      </c>
      <c r="AH154" s="174" t="str">
        <v>WMT</v>
      </c>
      <c r="AI154" s="175" t="str">
        <v>XOM</v>
      </c>
    </row>
    <row r="155" spans="2:35" x14ac:dyDescent="0.25">
      <c r="B155" s="162" t="str">
        <f>'Market Data'!$B$17</f>
        <v>AAPL</v>
      </c>
      <c r="C155" s="159">
        <f>Statistics!$G$19</f>
        <v>2.1230184800142136E-2</v>
      </c>
      <c r="E155" s="167">
        <v>0</v>
      </c>
      <c r="F155" s="84" t="str">
        <v>AAPL</v>
      </c>
      <c r="G155" s="176">
        <v>4.5162973293162668E-3</v>
      </c>
      <c r="H155" s="177">
        <v>1.6284380645241216E-3</v>
      </c>
      <c r="I155" s="177">
        <v>1.6201491796022521E-3</v>
      </c>
      <c r="J155" s="177">
        <v>1.5690359790962263E-3</v>
      </c>
      <c r="K155" s="177">
        <v>2.3505409053430782E-3</v>
      </c>
      <c r="L155" s="177">
        <v>1.1773098260505132E-3</v>
      </c>
      <c r="M155" s="177">
        <v>2.5889638042653502E-3</v>
      </c>
      <c r="N155" s="177">
        <v>1.366655807124157E-3</v>
      </c>
      <c r="O155" s="177">
        <v>1.5698375611055285E-3</v>
      </c>
      <c r="P155" s="177">
        <v>1.8109156333145874E-3</v>
      </c>
      <c r="Q155" s="177">
        <v>9.8639311096076088E-4</v>
      </c>
      <c r="R155" s="177">
        <v>1.7737023799007877E-3</v>
      </c>
      <c r="S155" s="177">
        <v>1.6293191413582805E-3</v>
      </c>
      <c r="T155" s="177">
        <v>8.2631268301744008E-4</v>
      </c>
      <c r="U155" s="177">
        <v>1.2529926248616137E-3</v>
      </c>
      <c r="V155" s="177">
        <v>9.6129190129553134E-4</v>
      </c>
      <c r="W155" s="177">
        <v>4.3723596630614248E-4</v>
      </c>
      <c r="X155" s="177">
        <v>1.6042263123932821E-3</v>
      </c>
      <c r="Y155" s="177">
        <v>6.6280896407091964E-4</v>
      </c>
      <c r="Z155" s="177">
        <v>1.7656054736670385E-3</v>
      </c>
      <c r="AA155" s="177">
        <v>7.4054258425286133E-4</v>
      </c>
      <c r="AB155" s="177">
        <v>1.105136574328315E-3</v>
      </c>
      <c r="AC155" s="177">
        <v>1.0336127768185608E-3</v>
      </c>
      <c r="AD155" s="177">
        <v>5.5673881663560775E-4</v>
      </c>
      <c r="AE155" s="177">
        <v>1.2367738317379871E-3</v>
      </c>
      <c r="AF155" s="177">
        <v>1.8457278448214234E-4</v>
      </c>
      <c r="AG155" s="177">
        <v>1.5697677901095443E-3</v>
      </c>
      <c r="AH155" s="177">
        <v>5.7975796375205426E-4</v>
      </c>
      <c r="AI155" s="178">
        <v>8.3126780280069973E-4</v>
      </c>
    </row>
    <row r="156" spans="2:35" x14ac:dyDescent="0.25">
      <c r="B156" s="163" t="str">
        <f>'Market Data'!$B$18</f>
        <v>AXP</v>
      </c>
      <c r="C156" s="160">
        <f>Statistics!$G$20</f>
        <v>6.4918343965214677E-3</v>
      </c>
      <c r="E156" s="168">
        <v>0</v>
      </c>
      <c r="F156" s="85" t="str">
        <v>AXP</v>
      </c>
      <c r="G156" s="179">
        <v>1.6284380645241216E-3</v>
      </c>
      <c r="H156" s="180">
        <v>4.0660324753009668E-3</v>
      </c>
      <c r="I156" s="180">
        <v>2.3214948032735548E-3</v>
      </c>
      <c r="J156" s="180">
        <v>2.4672804057197504E-3</v>
      </c>
      <c r="K156" s="180">
        <v>2.2861035048804129E-3</v>
      </c>
      <c r="L156" s="180">
        <v>1.4106472819975181E-3</v>
      </c>
      <c r="M156" s="180">
        <v>3.0070268955997704E-3</v>
      </c>
      <c r="N156" s="180">
        <v>1.9718583562846406E-3</v>
      </c>
      <c r="O156" s="180">
        <v>1.6460552176854309E-3</v>
      </c>
      <c r="P156" s="180">
        <v>3.1197862990926528E-3</v>
      </c>
      <c r="Q156" s="180">
        <v>1.285962047454306E-3</v>
      </c>
      <c r="R156" s="180">
        <v>1.960684724858895E-3</v>
      </c>
      <c r="S156" s="180">
        <v>2.0715314739138896E-3</v>
      </c>
      <c r="T156" s="180">
        <v>7.3945969222275051E-4</v>
      </c>
      <c r="U156" s="180">
        <v>2.7840355446374721E-3</v>
      </c>
      <c r="V156" s="180">
        <v>5.6369017954212687E-4</v>
      </c>
      <c r="W156" s="180">
        <v>5.9016175595858627E-4</v>
      </c>
      <c r="X156" s="180">
        <v>1.3680882736390085E-3</v>
      </c>
      <c r="Y156" s="180">
        <v>9.5675499919051471E-4</v>
      </c>
      <c r="Z156" s="180">
        <v>1.7453927826798744E-3</v>
      </c>
      <c r="AA156" s="180">
        <v>9.1418204127611028E-4</v>
      </c>
      <c r="AB156" s="180">
        <v>1.0081234358528435E-3</v>
      </c>
      <c r="AC156" s="180">
        <v>4.150551569421239E-4</v>
      </c>
      <c r="AD156" s="180">
        <v>9.035040942327959E-4</v>
      </c>
      <c r="AE156" s="180">
        <v>1.9679940702890687E-3</v>
      </c>
      <c r="AF156" s="180">
        <v>-7.7366109832012643E-5</v>
      </c>
      <c r="AG156" s="180">
        <v>2.1563583115517065E-3</v>
      </c>
      <c r="AH156" s="180">
        <v>2.6973274792062105E-5</v>
      </c>
      <c r="AI156" s="181">
        <v>9.0240454872836753E-4</v>
      </c>
    </row>
    <row r="157" spans="2:35" x14ac:dyDescent="0.25">
      <c r="B157" s="163" t="str">
        <f>'Market Data'!$B$19</f>
        <v>BA</v>
      </c>
      <c r="C157" s="160">
        <f>Statistics!$G$21</f>
        <v>1.9250861766613322E-2</v>
      </c>
      <c r="E157" s="168">
        <v>0</v>
      </c>
      <c r="F157" s="85" t="str">
        <v>BA</v>
      </c>
      <c r="G157" s="179">
        <v>1.6201491796022521E-3</v>
      </c>
      <c r="H157" s="180">
        <v>2.3214948032735548E-3</v>
      </c>
      <c r="I157" s="180">
        <v>3.7402935775721971E-3</v>
      </c>
      <c r="J157" s="180">
        <v>1.6046317611050844E-3</v>
      </c>
      <c r="K157" s="180">
        <v>2.1240240973260023E-3</v>
      </c>
      <c r="L157" s="180">
        <v>1.3419066335272889E-3</v>
      </c>
      <c r="M157" s="180">
        <v>3.1629198402818382E-3</v>
      </c>
      <c r="N157" s="180">
        <v>2.193611301570318E-3</v>
      </c>
      <c r="O157" s="180">
        <v>1.7334051959416068E-3</v>
      </c>
      <c r="P157" s="180">
        <v>2.2391121271409182E-3</v>
      </c>
      <c r="Q157" s="180">
        <v>1.2911501083222776E-3</v>
      </c>
      <c r="R157" s="180">
        <v>1.1336433634722555E-3</v>
      </c>
      <c r="S157" s="180">
        <v>1.485647562986758E-3</v>
      </c>
      <c r="T157" s="180">
        <v>7.7470388279684329E-4</v>
      </c>
      <c r="U157" s="180">
        <v>1.8054441283061249E-3</v>
      </c>
      <c r="V157" s="180">
        <v>9.7196182882881919E-4</v>
      </c>
      <c r="W157" s="180">
        <v>1.004575731683145E-3</v>
      </c>
      <c r="X157" s="180">
        <v>1.220072170107771E-3</v>
      </c>
      <c r="Y157" s="180">
        <v>1.3506721993334096E-3</v>
      </c>
      <c r="Z157" s="180">
        <v>1.4618979219237266E-3</v>
      </c>
      <c r="AA157" s="180">
        <v>1.1825978430535619E-3</v>
      </c>
      <c r="AB157" s="180">
        <v>1.2950969606515986E-3</v>
      </c>
      <c r="AC157" s="180">
        <v>5.997217417536032E-4</v>
      </c>
      <c r="AD157" s="180">
        <v>6.5863568330466196E-4</v>
      </c>
      <c r="AE157" s="180">
        <v>1.846395156096473E-3</v>
      </c>
      <c r="AF157" s="180">
        <v>3.7914592931386057E-4</v>
      </c>
      <c r="AG157" s="180">
        <v>2.2475777063178958E-3</v>
      </c>
      <c r="AH157" s="180">
        <v>1.7979190170774528E-4</v>
      </c>
      <c r="AI157" s="181">
        <v>5.5785917505375118E-4</v>
      </c>
    </row>
    <row r="158" spans="2:35" x14ac:dyDescent="0.25">
      <c r="B158" s="163" t="str">
        <f>'Market Data'!$B$20</f>
        <v>CAT</v>
      </c>
      <c r="C158" s="160">
        <f>Statistics!$G$22</f>
        <v>6.3545919720494892E-3</v>
      </c>
      <c r="E158" s="168">
        <v>0</v>
      </c>
      <c r="F158" s="85" t="str">
        <v>CAT</v>
      </c>
      <c r="G158" s="179">
        <v>1.5690359790962263E-3</v>
      </c>
      <c r="H158" s="180">
        <v>2.4672804057197504E-3</v>
      </c>
      <c r="I158" s="180">
        <v>1.6046317611050844E-3</v>
      </c>
      <c r="J158" s="180">
        <v>4.5013491323716076E-3</v>
      </c>
      <c r="K158" s="180">
        <v>1.8532157140411887E-3</v>
      </c>
      <c r="L158" s="180">
        <v>2.2352946064681648E-3</v>
      </c>
      <c r="M158" s="180">
        <v>3.0429489894058951E-3</v>
      </c>
      <c r="N158" s="180">
        <v>1.6981712196612736E-3</v>
      </c>
      <c r="O158" s="180">
        <v>2.2046623152336968E-3</v>
      </c>
      <c r="P158" s="180">
        <v>2.3825247137119567E-3</v>
      </c>
      <c r="Q158" s="180">
        <v>1.0587514228509517E-3</v>
      </c>
      <c r="R158" s="180">
        <v>2.1554825858441308E-3</v>
      </c>
      <c r="S158" s="180">
        <v>2.3005603160952529E-3</v>
      </c>
      <c r="T158" s="180">
        <v>9.0633949973445221E-4</v>
      </c>
      <c r="U158" s="180">
        <v>2.011937601179676E-3</v>
      </c>
      <c r="V158" s="180">
        <v>6.586205973694774E-4</v>
      </c>
      <c r="W158" s="180">
        <v>1.2118483675212872E-3</v>
      </c>
      <c r="X158" s="180">
        <v>1.3778500117759705E-3</v>
      </c>
      <c r="Y158" s="180">
        <v>1.6454661341138513E-3</v>
      </c>
      <c r="Z158" s="180">
        <v>2.2842322526096018E-3</v>
      </c>
      <c r="AA158" s="180">
        <v>-1.1104731462091626E-4</v>
      </c>
      <c r="AB158" s="180">
        <v>7.9610645869862182E-4</v>
      </c>
      <c r="AC158" s="180">
        <v>4.9254664842985144E-4</v>
      </c>
      <c r="AD158" s="180">
        <v>7.8373416165496384E-4</v>
      </c>
      <c r="AE158" s="180">
        <v>2.1924453554447642E-3</v>
      </c>
      <c r="AF158" s="180">
        <v>6.8929109799853135E-4</v>
      </c>
      <c r="AG158" s="180">
        <v>1.4624027030174886E-3</v>
      </c>
      <c r="AH158" s="180">
        <v>-2.1581932882750213E-4</v>
      </c>
      <c r="AI158" s="181">
        <v>1.368945659107327E-3</v>
      </c>
    </row>
    <row r="159" spans="2:35" x14ac:dyDescent="0.25">
      <c r="B159" s="163" t="str">
        <f>'Market Data'!$B$21</f>
        <v>CSCO</v>
      </c>
      <c r="C159" s="160">
        <f>Statistics!$G$23</f>
        <v>1.4928779568119917E-2</v>
      </c>
      <c r="E159" s="168">
        <v>0</v>
      </c>
      <c r="F159" s="85" t="str">
        <v>CSCO</v>
      </c>
      <c r="G159" s="179">
        <v>2.3505409053430782E-3</v>
      </c>
      <c r="H159" s="180">
        <v>2.2861035048804129E-3</v>
      </c>
      <c r="I159" s="180">
        <v>2.1240240973260023E-3</v>
      </c>
      <c r="J159" s="180">
        <v>1.8532157140411887E-3</v>
      </c>
      <c r="K159" s="180">
        <v>4.2943797540477393E-3</v>
      </c>
      <c r="L159" s="180">
        <v>1.6495950515362169E-3</v>
      </c>
      <c r="M159" s="180">
        <v>3.7036865533827041E-3</v>
      </c>
      <c r="N159" s="180">
        <v>1.9090150380186609E-3</v>
      </c>
      <c r="O159" s="180">
        <v>2.0168425927536027E-3</v>
      </c>
      <c r="P159" s="180">
        <v>2.2177683830845976E-3</v>
      </c>
      <c r="Q159" s="180">
        <v>9.8504335267051509E-4</v>
      </c>
      <c r="R159" s="180">
        <v>2.2508292865696072E-3</v>
      </c>
      <c r="S159" s="180">
        <v>2.2625583672846289E-3</v>
      </c>
      <c r="T159" s="180">
        <v>1.1094225673998865E-3</v>
      </c>
      <c r="U159" s="180">
        <v>2.0831844183308271E-3</v>
      </c>
      <c r="V159" s="180">
        <v>1.0904984859812852E-3</v>
      </c>
      <c r="W159" s="180">
        <v>8.8656407550750189E-4</v>
      </c>
      <c r="X159" s="180">
        <v>1.6594658489014636E-3</v>
      </c>
      <c r="Y159" s="180">
        <v>1.2877752599161352E-3</v>
      </c>
      <c r="Z159" s="180">
        <v>2.1511833371391734E-3</v>
      </c>
      <c r="AA159" s="180">
        <v>7.2136303147440504E-4</v>
      </c>
      <c r="AB159" s="180">
        <v>1.5185012123350332E-3</v>
      </c>
      <c r="AC159" s="180">
        <v>1.0690588122897406E-3</v>
      </c>
      <c r="AD159" s="180">
        <v>1.0321561899434074E-3</v>
      </c>
      <c r="AE159" s="180">
        <v>2.0848208418056797E-3</v>
      </c>
      <c r="AF159" s="180">
        <v>5.9888719676582812E-4</v>
      </c>
      <c r="AG159" s="180">
        <v>2.8598074505702059E-3</v>
      </c>
      <c r="AH159" s="180">
        <v>3.2563207166723412E-4</v>
      </c>
      <c r="AI159" s="181">
        <v>1.3701802479257339E-3</v>
      </c>
    </row>
    <row r="160" spans="2:35" x14ac:dyDescent="0.25">
      <c r="B160" s="163" t="str">
        <f>'Market Data'!$B$22</f>
        <v>CVX</v>
      </c>
      <c r="C160" s="160">
        <f>Statistics!$G$24</f>
        <v>2.6845541907593424E-3</v>
      </c>
      <c r="E160" s="168">
        <v>0</v>
      </c>
      <c r="F160" s="85" t="str">
        <v>CVX</v>
      </c>
      <c r="G160" s="179">
        <v>1.1773098260505132E-3</v>
      </c>
      <c r="H160" s="180">
        <v>1.4106472819975181E-3</v>
      </c>
      <c r="I160" s="180">
        <v>1.3419066335272889E-3</v>
      </c>
      <c r="J160" s="180">
        <v>2.2352946064681648E-3</v>
      </c>
      <c r="K160" s="180">
        <v>1.6495950515362169E-3</v>
      </c>
      <c r="L160" s="180">
        <v>3.2764948408559465E-3</v>
      </c>
      <c r="M160" s="180">
        <v>2.8277959806832817E-3</v>
      </c>
      <c r="N160" s="180">
        <v>1.8200348202442435E-3</v>
      </c>
      <c r="O160" s="180">
        <v>2.0997855192430963E-3</v>
      </c>
      <c r="P160" s="180">
        <v>2.495859527554455E-3</v>
      </c>
      <c r="Q160" s="180">
        <v>7.9860489883547216E-4</v>
      </c>
      <c r="R160" s="180">
        <v>1.7099575851328929E-3</v>
      </c>
      <c r="S160" s="180">
        <v>1.762362573764028E-3</v>
      </c>
      <c r="T160" s="180">
        <v>1.0006982850928254E-3</v>
      </c>
      <c r="U160" s="180">
        <v>2.159640132817216E-3</v>
      </c>
      <c r="V160" s="180">
        <v>7.7350953916938299E-4</v>
      </c>
      <c r="W160" s="180">
        <v>1.2445101608031307E-3</v>
      </c>
      <c r="X160" s="180">
        <v>1.3396872809028706E-3</v>
      </c>
      <c r="Y160" s="180">
        <v>1.0548817345930506E-3</v>
      </c>
      <c r="Z160" s="180">
        <v>1.921523261676006E-3</v>
      </c>
      <c r="AA160" s="180">
        <v>-3.0145919518466895E-4</v>
      </c>
      <c r="AB160" s="180">
        <v>1.0966581694716135E-3</v>
      </c>
      <c r="AC160" s="180">
        <v>8.4385070363078498E-4</v>
      </c>
      <c r="AD160" s="180">
        <v>8.9699068571536217E-4</v>
      </c>
      <c r="AE160" s="180">
        <v>1.7655731333339048E-3</v>
      </c>
      <c r="AF160" s="180">
        <v>7.5916190680994219E-4</v>
      </c>
      <c r="AG160" s="180">
        <v>9.2897312946466114E-4</v>
      </c>
      <c r="AH160" s="180">
        <v>1.437380584121094E-4</v>
      </c>
      <c r="AI160" s="181">
        <v>1.9286286807754067E-3</v>
      </c>
    </row>
    <row r="161" spans="2:35" x14ac:dyDescent="0.25">
      <c r="B161" s="163" t="str">
        <f>'Market Data'!$B$23</f>
        <v>DD</v>
      </c>
      <c r="C161" s="160">
        <f>Statistics!$G$25</f>
        <v>1.7349865519574785E-2</v>
      </c>
      <c r="E161" s="168">
        <v>0</v>
      </c>
      <c r="F161" s="85" t="str">
        <v>DD</v>
      </c>
      <c r="G161" s="179">
        <v>2.5889638042653502E-3</v>
      </c>
      <c r="H161" s="180">
        <v>3.0070268955997704E-3</v>
      </c>
      <c r="I161" s="180">
        <v>3.1629198402818382E-3</v>
      </c>
      <c r="J161" s="180">
        <v>3.0429489894058951E-3</v>
      </c>
      <c r="K161" s="180">
        <v>3.7036865533827041E-3</v>
      </c>
      <c r="L161" s="180">
        <v>2.8277959806832817E-3</v>
      </c>
      <c r="M161" s="180">
        <v>7.2090294001774871E-3</v>
      </c>
      <c r="N161" s="180">
        <v>3.2246456006375726E-3</v>
      </c>
      <c r="O161" s="180">
        <v>3.2408092269649337E-3</v>
      </c>
      <c r="P161" s="180">
        <v>3.1194558916632768E-3</v>
      </c>
      <c r="Q161" s="180">
        <v>2.0138415935295195E-3</v>
      </c>
      <c r="R161" s="180">
        <v>2.4056181433013803E-3</v>
      </c>
      <c r="S161" s="180">
        <v>2.9333641814070907E-3</v>
      </c>
      <c r="T161" s="180">
        <v>1.7073269232421356E-3</v>
      </c>
      <c r="U161" s="180">
        <v>2.9403656750226037E-3</v>
      </c>
      <c r="V161" s="180">
        <v>1.3828838928124146E-3</v>
      </c>
      <c r="W161" s="180">
        <v>1.5566945864839937E-3</v>
      </c>
      <c r="X161" s="180">
        <v>2.4333011024343194E-3</v>
      </c>
      <c r="Y161" s="180">
        <v>2.1034755337789339E-3</v>
      </c>
      <c r="Z161" s="180">
        <v>3.4647817866697963E-3</v>
      </c>
      <c r="AA161" s="180">
        <v>1.371253710214986E-3</v>
      </c>
      <c r="AB161" s="180">
        <v>2.2541080192876768E-3</v>
      </c>
      <c r="AC161" s="180">
        <v>1.1783213677355128E-3</v>
      </c>
      <c r="AD161" s="180">
        <v>1.3915459916452729E-3</v>
      </c>
      <c r="AE161" s="180">
        <v>3.4844332298577191E-3</v>
      </c>
      <c r="AF161" s="180">
        <v>9.2727826439514978E-4</v>
      </c>
      <c r="AG161" s="180">
        <v>3.0677861856869904E-3</v>
      </c>
      <c r="AH161" s="180">
        <v>-2.3301122426120984E-5</v>
      </c>
      <c r="AI161" s="181">
        <v>2.1182301102402332E-3</v>
      </c>
    </row>
    <row r="162" spans="2:35" x14ac:dyDescent="0.25">
      <c r="B162" s="163" t="str">
        <f>'Market Data'!$B$24</f>
        <v>DIS</v>
      </c>
      <c r="C162" s="160">
        <f>Statistics!$G$26</f>
        <v>1.7109009470709015E-2</v>
      </c>
      <c r="E162" s="168">
        <v>0</v>
      </c>
      <c r="F162" s="85" t="str">
        <v>DIS</v>
      </c>
      <c r="G162" s="179">
        <v>1.366655807124157E-3</v>
      </c>
      <c r="H162" s="180">
        <v>1.9718583562846406E-3</v>
      </c>
      <c r="I162" s="180">
        <v>2.193611301570318E-3</v>
      </c>
      <c r="J162" s="180">
        <v>1.6981712196612736E-3</v>
      </c>
      <c r="K162" s="180">
        <v>1.9090150380186609E-3</v>
      </c>
      <c r="L162" s="180">
        <v>1.8200348202442435E-3</v>
      </c>
      <c r="M162" s="180">
        <v>3.2246456006375726E-3</v>
      </c>
      <c r="N162" s="180">
        <v>3.2225637954133132E-3</v>
      </c>
      <c r="O162" s="180">
        <v>1.7980110839806059E-3</v>
      </c>
      <c r="P162" s="180">
        <v>2.5910429203650125E-3</v>
      </c>
      <c r="Q162" s="180">
        <v>1.4438567521116873E-3</v>
      </c>
      <c r="R162" s="180">
        <v>1.2533920720746924E-3</v>
      </c>
      <c r="S162" s="180">
        <v>1.4872846501875279E-3</v>
      </c>
      <c r="T162" s="180">
        <v>7.6090581351824873E-4</v>
      </c>
      <c r="U162" s="180">
        <v>2.3150492241015347E-3</v>
      </c>
      <c r="V162" s="180">
        <v>7.3157249166013263E-4</v>
      </c>
      <c r="W162" s="180">
        <v>1.0434476997331528E-3</v>
      </c>
      <c r="X162" s="180">
        <v>1.3935802423237448E-3</v>
      </c>
      <c r="Y162" s="180">
        <v>1.1180874248259017E-3</v>
      </c>
      <c r="Z162" s="180">
        <v>1.7514488094562146E-3</v>
      </c>
      <c r="AA162" s="180">
        <v>1.1713887062549742E-3</v>
      </c>
      <c r="AB162" s="180">
        <v>1.4909638464124207E-3</v>
      </c>
      <c r="AC162" s="180">
        <v>6.6920552953337459E-4</v>
      </c>
      <c r="AD162" s="180">
        <v>9.9320622386439117E-4</v>
      </c>
      <c r="AE162" s="180">
        <v>1.6618009644053405E-3</v>
      </c>
      <c r="AF162" s="180">
        <v>5.8624704841600517E-4</v>
      </c>
      <c r="AG162" s="180">
        <v>2.2204011828610088E-3</v>
      </c>
      <c r="AH162" s="180">
        <v>-1.1672694641114529E-4</v>
      </c>
      <c r="AI162" s="181">
        <v>1.3292278052638991E-3</v>
      </c>
    </row>
    <row r="163" spans="2:35" x14ac:dyDescent="0.25">
      <c r="B163" s="163" t="str">
        <f>'Market Data'!$B$25</f>
        <v>GE</v>
      </c>
      <c r="C163" s="160">
        <f>Statistics!$G$27</f>
        <v>9.2719197536449416E-3</v>
      </c>
      <c r="E163" s="168">
        <v>0</v>
      </c>
      <c r="F163" s="85" t="str">
        <v>GE</v>
      </c>
      <c r="G163" s="179">
        <v>1.5698375611055285E-3</v>
      </c>
      <c r="H163" s="180">
        <v>1.6460552176854309E-3</v>
      </c>
      <c r="I163" s="180">
        <v>1.7334051959416068E-3</v>
      </c>
      <c r="J163" s="180">
        <v>2.2046623152336968E-3</v>
      </c>
      <c r="K163" s="180">
        <v>2.0168425927536027E-3</v>
      </c>
      <c r="L163" s="180">
        <v>2.0997855192430963E-3</v>
      </c>
      <c r="M163" s="180">
        <v>3.2408092269649337E-3</v>
      </c>
      <c r="N163" s="180">
        <v>1.7980110839806059E-3</v>
      </c>
      <c r="O163" s="180">
        <v>2.8739818723832944E-3</v>
      </c>
      <c r="P163" s="180">
        <v>2.2255962061739098E-3</v>
      </c>
      <c r="Q163" s="180">
        <v>1.1779071347684854E-3</v>
      </c>
      <c r="R163" s="180">
        <v>1.4606469135339543E-3</v>
      </c>
      <c r="S163" s="180">
        <v>1.8413857882482649E-3</v>
      </c>
      <c r="T163" s="180">
        <v>1.1338883047798758E-3</v>
      </c>
      <c r="U163" s="180">
        <v>1.9825602222543746E-3</v>
      </c>
      <c r="V163" s="180">
        <v>1.0900315820250495E-3</v>
      </c>
      <c r="W163" s="180">
        <v>1.4080437366372094E-3</v>
      </c>
      <c r="X163" s="180">
        <v>1.6476299492810176E-3</v>
      </c>
      <c r="Y163" s="180">
        <v>7.4080885300837902E-4</v>
      </c>
      <c r="Z163" s="180">
        <v>2.1782812682115105E-3</v>
      </c>
      <c r="AA163" s="180">
        <v>6.8149888740689005E-4</v>
      </c>
      <c r="AB163" s="180">
        <v>1.1596920910434683E-3</v>
      </c>
      <c r="AC163" s="180">
        <v>8.669689440805547E-4</v>
      </c>
      <c r="AD163" s="180">
        <v>6.9406421327386882E-4</v>
      </c>
      <c r="AE163" s="180">
        <v>1.9210155408337607E-3</v>
      </c>
      <c r="AF163" s="180">
        <v>1.0256274934399997E-3</v>
      </c>
      <c r="AG163" s="180">
        <v>1.7646874198991678E-3</v>
      </c>
      <c r="AH163" s="180">
        <v>3.1986346053900631E-5</v>
      </c>
      <c r="AI163" s="181">
        <v>1.6264073394302158E-3</v>
      </c>
    </row>
    <row r="164" spans="2:35" x14ac:dyDescent="0.25">
      <c r="B164" s="163" t="str">
        <f>'Market Data'!$B$26</f>
        <v>GS</v>
      </c>
      <c r="C164" s="160">
        <f>Statistics!$G$28</f>
        <v>1.2775975133106521E-2</v>
      </c>
      <c r="E164" s="168">
        <v>0</v>
      </c>
      <c r="F164" s="85" t="str">
        <v>GS</v>
      </c>
      <c r="G164" s="179">
        <v>1.8109156333145874E-3</v>
      </c>
      <c r="H164" s="180">
        <v>3.1197862990926528E-3</v>
      </c>
      <c r="I164" s="180">
        <v>2.2391121271409182E-3</v>
      </c>
      <c r="J164" s="180">
        <v>2.3825247137119567E-3</v>
      </c>
      <c r="K164" s="180">
        <v>2.2177683830845976E-3</v>
      </c>
      <c r="L164" s="180">
        <v>2.495859527554455E-3</v>
      </c>
      <c r="M164" s="180">
        <v>3.1194558916632768E-3</v>
      </c>
      <c r="N164" s="180">
        <v>2.5910429203650125E-3</v>
      </c>
      <c r="O164" s="180">
        <v>2.2255962061739098E-3</v>
      </c>
      <c r="P164" s="180">
        <v>4.8815099105356504E-3</v>
      </c>
      <c r="Q164" s="180">
        <v>1.5442152510598698E-3</v>
      </c>
      <c r="R164" s="180">
        <v>2.2308798805711167E-3</v>
      </c>
      <c r="S164" s="180">
        <v>1.7997270101458302E-3</v>
      </c>
      <c r="T164" s="180">
        <v>7.4857834611503948E-4</v>
      </c>
      <c r="U164" s="180">
        <v>3.8267678235899111E-3</v>
      </c>
      <c r="V164" s="180">
        <v>5.0884399749192373E-4</v>
      </c>
      <c r="W164" s="180">
        <v>1.1844149472533348E-3</v>
      </c>
      <c r="X164" s="180">
        <v>1.5580261625844892E-3</v>
      </c>
      <c r="Y164" s="180">
        <v>9.5059394038900442E-4</v>
      </c>
      <c r="Z164" s="180">
        <v>1.9881521509949444E-3</v>
      </c>
      <c r="AA164" s="180">
        <v>9.2810945195530823E-4</v>
      </c>
      <c r="AB164" s="180">
        <v>1.2974763649140325E-3</v>
      </c>
      <c r="AC164" s="180">
        <v>6.8796273406052837E-4</v>
      </c>
      <c r="AD164" s="180">
        <v>1.248419321363809E-3</v>
      </c>
      <c r="AE164" s="180">
        <v>2.1674424403236793E-3</v>
      </c>
      <c r="AF164" s="180">
        <v>3.7523862948950627E-4</v>
      </c>
      <c r="AG164" s="180">
        <v>2.0541307067505868E-3</v>
      </c>
      <c r="AH164" s="180">
        <v>-5.4295264980806504E-5</v>
      </c>
      <c r="AI164" s="181">
        <v>1.4387650786059658E-3</v>
      </c>
    </row>
    <row r="165" spans="2:35" x14ac:dyDescent="0.25">
      <c r="B165" s="163" t="str">
        <f>'Market Data'!$B$27</f>
        <v>HD</v>
      </c>
      <c r="C165" s="160">
        <f>Statistics!$G$29</f>
        <v>1.8352985528230569E-2</v>
      </c>
      <c r="E165" s="168">
        <v>0</v>
      </c>
      <c r="F165" s="85" t="str">
        <v>HD</v>
      </c>
      <c r="G165" s="179">
        <v>9.8639311096076088E-4</v>
      </c>
      <c r="H165" s="180">
        <v>1.285962047454306E-3</v>
      </c>
      <c r="I165" s="180">
        <v>1.2911501083222776E-3</v>
      </c>
      <c r="J165" s="180">
        <v>1.0587514228509517E-3</v>
      </c>
      <c r="K165" s="180">
        <v>9.8504335267051509E-4</v>
      </c>
      <c r="L165" s="180">
        <v>7.9860489883547216E-4</v>
      </c>
      <c r="M165" s="180">
        <v>2.0138415935295195E-3</v>
      </c>
      <c r="N165" s="180">
        <v>1.4438567521116873E-3</v>
      </c>
      <c r="O165" s="180">
        <v>1.1779071347684854E-3</v>
      </c>
      <c r="P165" s="180">
        <v>1.5442152510598698E-3</v>
      </c>
      <c r="Q165" s="180">
        <v>1.8880219117441428E-3</v>
      </c>
      <c r="R165" s="180">
        <v>9.3173966010624539E-4</v>
      </c>
      <c r="S165" s="180">
        <v>9.2701062278089308E-4</v>
      </c>
      <c r="T165" s="180">
        <v>6.2481040103688149E-4</v>
      </c>
      <c r="U165" s="180">
        <v>1.4284505514434026E-3</v>
      </c>
      <c r="V165" s="180">
        <v>5.5799413673053339E-4</v>
      </c>
      <c r="W165" s="180">
        <v>7.381374461617429E-4</v>
      </c>
      <c r="X165" s="180">
        <v>1.0633975936011025E-3</v>
      </c>
      <c r="Y165" s="180">
        <v>7.161428946835201E-4</v>
      </c>
      <c r="Z165" s="180">
        <v>1.0017697174583111E-3</v>
      </c>
      <c r="AA165" s="180">
        <v>7.3578315539153108E-4</v>
      </c>
      <c r="AB165" s="180">
        <v>8.5234066580948517E-4</v>
      </c>
      <c r="AC165" s="180">
        <v>4.7474349038820928E-4</v>
      </c>
      <c r="AD165" s="180">
        <v>6.4915062582396636E-4</v>
      </c>
      <c r="AE165" s="180">
        <v>1.2386809813748902E-3</v>
      </c>
      <c r="AF165" s="180">
        <v>1.1189073531181803E-4</v>
      </c>
      <c r="AG165" s="180">
        <v>1.2055891827737501E-3</v>
      </c>
      <c r="AH165" s="180">
        <v>1.9815526434870993E-4</v>
      </c>
      <c r="AI165" s="181">
        <v>5.7016164369997474E-4</v>
      </c>
    </row>
    <row r="166" spans="2:35" x14ac:dyDescent="0.25">
      <c r="B166" s="163" t="str">
        <f>'Market Data'!$B$28</f>
        <v>IBM</v>
      </c>
      <c r="C166" s="160">
        <f>Statistics!$G$30</f>
        <v>-1.0805706759468385E-4</v>
      </c>
      <c r="E166" s="168">
        <v>0.18032940886033386</v>
      </c>
      <c r="F166" s="85" t="str">
        <v>IBM</v>
      </c>
      <c r="G166" s="179">
        <v>1.7737023799007877E-3</v>
      </c>
      <c r="H166" s="180">
        <v>1.960684724858895E-3</v>
      </c>
      <c r="I166" s="180">
        <v>1.1336433634722555E-3</v>
      </c>
      <c r="J166" s="180">
        <v>2.1554825858441308E-3</v>
      </c>
      <c r="K166" s="180">
        <v>2.2508292865696072E-3</v>
      </c>
      <c r="L166" s="180">
        <v>1.7099575851328929E-3</v>
      </c>
      <c r="M166" s="180">
        <v>2.4056181433013803E-3</v>
      </c>
      <c r="N166" s="180">
        <v>1.2533920720746924E-3</v>
      </c>
      <c r="O166" s="180">
        <v>1.4606469135339543E-3</v>
      </c>
      <c r="P166" s="180">
        <v>2.2308798805711167E-3</v>
      </c>
      <c r="Q166" s="180">
        <v>9.3173966010624539E-4</v>
      </c>
      <c r="R166" s="180">
        <v>3.3622126456479009E-3</v>
      </c>
      <c r="S166" s="180">
        <v>1.4043690490920693E-3</v>
      </c>
      <c r="T166" s="180">
        <v>5.9347717242683358E-4</v>
      </c>
      <c r="U166" s="180">
        <v>2.0888390371824788E-3</v>
      </c>
      <c r="V166" s="180">
        <v>5.7019303114958723E-4</v>
      </c>
      <c r="W166" s="180">
        <v>5.4513263389601688E-4</v>
      </c>
      <c r="X166" s="180">
        <v>1.0275296737018624E-3</v>
      </c>
      <c r="Y166" s="180">
        <v>1.0097860441379664E-3</v>
      </c>
      <c r="Z166" s="180">
        <v>1.4353906099659559E-3</v>
      </c>
      <c r="AA166" s="180">
        <v>1.3757321359017424E-4</v>
      </c>
      <c r="AB166" s="180">
        <v>7.9545047293496068E-4</v>
      </c>
      <c r="AC166" s="180">
        <v>5.5361049131124631E-4</v>
      </c>
      <c r="AD166" s="180">
        <v>8.8298395118505178E-4</v>
      </c>
      <c r="AE166" s="180">
        <v>1.5169272523521361E-3</v>
      </c>
      <c r="AF166" s="180">
        <v>2.033685246020378E-4</v>
      </c>
      <c r="AG166" s="180">
        <v>1.2306885914741903E-3</v>
      </c>
      <c r="AH166" s="180">
        <v>3.7610030291999273E-4</v>
      </c>
      <c r="AI166" s="181">
        <v>1.0970123689928199E-3</v>
      </c>
    </row>
    <row r="167" spans="2:35" x14ac:dyDescent="0.25">
      <c r="B167" s="163" t="str">
        <f>'Market Data'!$B$29</f>
        <v>INTC</v>
      </c>
      <c r="C167" s="160">
        <f>Statistics!$G$31</f>
        <v>1.4825313209679855E-2</v>
      </c>
      <c r="E167" s="168">
        <v>0</v>
      </c>
      <c r="F167" s="85" t="str">
        <v>INTC</v>
      </c>
      <c r="G167" s="179">
        <v>1.6293191413582805E-3</v>
      </c>
      <c r="H167" s="180">
        <v>2.0715314739138896E-3</v>
      </c>
      <c r="I167" s="180">
        <v>1.485647562986758E-3</v>
      </c>
      <c r="J167" s="180">
        <v>2.3005603160952529E-3</v>
      </c>
      <c r="K167" s="180">
        <v>2.2625583672846289E-3</v>
      </c>
      <c r="L167" s="180">
        <v>1.762362573764028E-3</v>
      </c>
      <c r="M167" s="180">
        <v>2.9333641814070907E-3</v>
      </c>
      <c r="N167" s="180">
        <v>1.4872846501875279E-3</v>
      </c>
      <c r="O167" s="180">
        <v>1.8413857882482649E-3</v>
      </c>
      <c r="P167" s="180">
        <v>1.7997270101458302E-3</v>
      </c>
      <c r="Q167" s="180">
        <v>9.2701062278089308E-4</v>
      </c>
      <c r="R167" s="180">
        <v>1.4043690490920693E-3</v>
      </c>
      <c r="S167" s="180">
        <v>3.8953291630483993E-3</v>
      </c>
      <c r="T167" s="180">
        <v>8.7155825849789608E-4</v>
      </c>
      <c r="U167" s="180">
        <v>1.6338310266769979E-3</v>
      </c>
      <c r="V167" s="180">
        <v>1.1107691361801554E-3</v>
      </c>
      <c r="W167" s="180">
        <v>9.1762089354393737E-4</v>
      </c>
      <c r="X167" s="180">
        <v>1.3291856750406272E-3</v>
      </c>
      <c r="Y167" s="180">
        <v>1.2481991200788169E-3</v>
      </c>
      <c r="Z167" s="180">
        <v>2.824290151917595E-3</v>
      </c>
      <c r="AA167" s="180">
        <v>5.7515792739731505E-4</v>
      </c>
      <c r="AB167" s="180">
        <v>9.9184976149502301E-4</v>
      </c>
      <c r="AC167" s="180">
        <v>7.9168442412031782E-4</v>
      </c>
      <c r="AD167" s="180">
        <v>5.6633014876153942E-4</v>
      </c>
      <c r="AE167" s="180">
        <v>1.2132957377483657E-3</v>
      </c>
      <c r="AF167" s="180">
        <v>8.2166255763751334E-4</v>
      </c>
      <c r="AG167" s="180">
        <v>1.8678530672680304E-3</v>
      </c>
      <c r="AH167" s="180">
        <v>-1.8556188989019865E-5</v>
      </c>
      <c r="AI167" s="181">
        <v>1.0791409093812321E-3</v>
      </c>
    </row>
    <row r="168" spans="2:35" x14ac:dyDescent="0.25">
      <c r="B168" s="163" t="str">
        <f>'Market Data'!$B$30</f>
        <v>JNJ</v>
      </c>
      <c r="C168" s="160">
        <f>Statistics!$G$32</f>
        <v>1.2075919577819831E-2</v>
      </c>
      <c r="E168" s="168">
        <v>0</v>
      </c>
      <c r="F168" s="85" t="str">
        <v>JNJ</v>
      </c>
      <c r="G168" s="179">
        <v>8.2631268301744008E-4</v>
      </c>
      <c r="H168" s="180">
        <v>7.3945969222275051E-4</v>
      </c>
      <c r="I168" s="180">
        <v>7.7470388279684329E-4</v>
      </c>
      <c r="J168" s="180">
        <v>9.0633949973445221E-4</v>
      </c>
      <c r="K168" s="180">
        <v>1.1094225673998865E-3</v>
      </c>
      <c r="L168" s="180">
        <v>1.0006982850928254E-3</v>
      </c>
      <c r="M168" s="180">
        <v>1.7073269232421356E-3</v>
      </c>
      <c r="N168" s="180">
        <v>7.6090581351824873E-4</v>
      </c>
      <c r="O168" s="180">
        <v>1.1338883047798758E-3</v>
      </c>
      <c r="P168" s="180">
        <v>7.4857834611503948E-4</v>
      </c>
      <c r="Q168" s="180">
        <v>6.2481040103688149E-4</v>
      </c>
      <c r="R168" s="180">
        <v>5.9347717242683358E-4</v>
      </c>
      <c r="S168" s="180">
        <v>8.7155825849789608E-4</v>
      </c>
      <c r="T168" s="180">
        <v>1.3437205064186324E-3</v>
      </c>
      <c r="U168" s="180">
        <v>9.2330996350035955E-4</v>
      </c>
      <c r="V168" s="180">
        <v>8.0248592661524116E-4</v>
      </c>
      <c r="W168" s="180">
        <v>7.2064842002941051E-4</v>
      </c>
      <c r="X168" s="180">
        <v>9.1647163555960687E-4</v>
      </c>
      <c r="Y168" s="180">
        <v>7.8932636294384688E-4</v>
      </c>
      <c r="Z168" s="180">
        <v>8.3950208317612799E-4</v>
      </c>
      <c r="AA168" s="180">
        <v>2.4076387457302071E-4</v>
      </c>
      <c r="AB168" s="180">
        <v>1.174922395291398E-3</v>
      </c>
      <c r="AC168" s="180">
        <v>7.8676359672877393E-4</v>
      </c>
      <c r="AD168" s="180">
        <v>4.4624886795118808E-4</v>
      </c>
      <c r="AE168" s="180">
        <v>1.0117367356107026E-3</v>
      </c>
      <c r="AF168" s="180">
        <v>7.3214708969514145E-4</v>
      </c>
      <c r="AG168" s="180">
        <v>8.2747273857601913E-4</v>
      </c>
      <c r="AH168" s="180">
        <v>7.1470891411086447E-4</v>
      </c>
      <c r="AI168" s="181">
        <v>7.4627799983375924E-4</v>
      </c>
    </row>
    <row r="169" spans="2:35" x14ac:dyDescent="0.25">
      <c r="B169" s="163" t="str">
        <f>'Market Data'!$B$31</f>
        <v>JPM</v>
      </c>
      <c r="C169" s="160">
        <f>Statistics!$G$33</f>
        <v>1.7183196749963128E-2</v>
      </c>
      <c r="E169" s="168">
        <v>0</v>
      </c>
      <c r="F169" s="85" t="str">
        <v>JPM</v>
      </c>
      <c r="G169" s="179">
        <v>1.2529926248616137E-3</v>
      </c>
      <c r="H169" s="180">
        <v>2.7840355446374721E-3</v>
      </c>
      <c r="I169" s="180">
        <v>1.8054441283061249E-3</v>
      </c>
      <c r="J169" s="180">
        <v>2.011937601179676E-3</v>
      </c>
      <c r="K169" s="180">
        <v>2.0831844183308271E-3</v>
      </c>
      <c r="L169" s="180">
        <v>2.159640132817216E-3</v>
      </c>
      <c r="M169" s="180">
        <v>2.9403656750226037E-3</v>
      </c>
      <c r="N169" s="180">
        <v>2.3150492241015347E-3</v>
      </c>
      <c r="O169" s="180">
        <v>1.9825602222543746E-3</v>
      </c>
      <c r="P169" s="180">
        <v>3.8267678235899111E-3</v>
      </c>
      <c r="Q169" s="180">
        <v>1.4284505514434026E-3</v>
      </c>
      <c r="R169" s="180">
        <v>2.0888390371824788E-3</v>
      </c>
      <c r="S169" s="180">
        <v>1.6338310266769979E-3</v>
      </c>
      <c r="T169" s="180">
        <v>9.2330996350035955E-4</v>
      </c>
      <c r="U169" s="180">
        <v>3.6504820104783621E-3</v>
      </c>
      <c r="V169" s="180">
        <v>6.292727988425526E-4</v>
      </c>
      <c r="W169" s="180">
        <v>1.135373183104091E-3</v>
      </c>
      <c r="X169" s="180">
        <v>1.3229022331511452E-3</v>
      </c>
      <c r="Y169" s="180">
        <v>9.9035410413519649E-4</v>
      </c>
      <c r="Z169" s="180">
        <v>2.1029083027690664E-3</v>
      </c>
      <c r="AA169" s="180">
        <v>6.7839144071882979E-4</v>
      </c>
      <c r="AB169" s="180">
        <v>1.3592270505613203E-3</v>
      </c>
      <c r="AC169" s="180">
        <v>7.2953612857905574E-4</v>
      </c>
      <c r="AD169" s="180">
        <v>1.2617149248905092E-3</v>
      </c>
      <c r="AE169" s="180">
        <v>1.8453743354725578E-3</v>
      </c>
      <c r="AF169" s="180">
        <v>3.9836144643633019E-4</v>
      </c>
      <c r="AG169" s="180">
        <v>1.9463933682734615E-3</v>
      </c>
      <c r="AH169" s="180">
        <v>7.503242005510376E-5</v>
      </c>
      <c r="AI169" s="181">
        <v>1.3958094738143344E-3</v>
      </c>
    </row>
    <row r="170" spans="2:35" x14ac:dyDescent="0.25">
      <c r="B170" s="163" t="str">
        <f>'Market Data'!$B$32</f>
        <v>KO</v>
      </c>
      <c r="C170" s="160">
        <f>Statistics!$G$34</f>
        <v>4.1810541872704362E-3</v>
      </c>
      <c r="E170" s="168">
        <v>3.4754878881345368E-2</v>
      </c>
      <c r="F170" s="85" t="str">
        <v>KO</v>
      </c>
      <c r="G170" s="179">
        <v>9.6129190129553134E-4</v>
      </c>
      <c r="H170" s="180">
        <v>5.6369017954212687E-4</v>
      </c>
      <c r="I170" s="180">
        <v>9.7196182882881919E-4</v>
      </c>
      <c r="J170" s="180">
        <v>6.586205973694774E-4</v>
      </c>
      <c r="K170" s="180">
        <v>1.0904984859812852E-3</v>
      </c>
      <c r="L170" s="180">
        <v>7.7350953916938299E-4</v>
      </c>
      <c r="M170" s="180">
        <v>1.3828838928124146E-3</v>
      </c>
      <c r="N170" s="180">
        <v>7.3157249166013263E-4</v>
      </c>
      <c r="O170" s="180">
        <v>1.0900315820250495E-3</v>
      </c>
      <c r="P170" s="180">
        <v>5.0884399749192373E-4</v>
      </c>
      <c r="Q170" s="180">
        <v>5.5799413673053339E-4</v>
      </c>
      <c r="R170" s="180">
        <v>5.7019303114958723E-4</v>
      </c>
      <c r="S170" s="180">
        <v>1.1107691361801554E-3</v>
      </c>
      <c r="T170" s="180">
        <v>8.0248592661524116E-4</v>
      </c>
      <c r="U170" s="180">
        <v>6.292727988425526E-4</v>
      </c>
      <c r="V170" s="180">
        <v>1.2210270669043683E-3</v>
      </c>
      <c r="W170" s="180">
        <v>7.9000312454904529E-4</v>
      </c>
      <c r="X170" s="180">
        <v>6.5400026561614926E-4</v>
      </c>
      <c r="Y170" s="180">
        <v>5.6925923112739025E-4</v>
      </c>
      <c r="Z170" s="180">
        <v>1.0711085481253278E-3</v>
      </c>
      <c r="AA170" s="180">
        <v>4.3589033448327737E-4</v>
      </c>
      <c r="AB170" s="180">
        <v>6.3614560547018231E-4</v>
      </c>
      <c r="AC170" s="180">
        <v>6.5740070509151668E-4</v>
      </c>
      <c r="AD170" s="180">
        <v>1.2737483924284157E-4</v>
      </c>
      <c r="AE170" s="180">
        <v>5.7087013169956707E-4</v>
      </c>
      <c r="AF170" s="180">
        <v>4.9096142938173941E-4</v>
      </c>
      <c r="AG170" s="180">
        <v>9.4999344105865064E-4</v>
      </c>
      <c r="AH170" s="180">
        <v>6.4703627119224946E-4</v>
      </c>
      <c r="AI170" s="181">
        <v>5.1805651820066112E-4</v>
      </c>
    </row>
    <row r="171" spans="2:35" x14ac:dyDescent="0.25">
      <c r="B171" s="163" t="str">
        <f>'Market Data'!$B$33</f>
        <v>MCD</v>
      </c>
      <c r="C171" s="160">
        <f>Statistics!$G$35</f>
        <v>8.998422120903465E-3</v>
      </c>
      <c r="E171" s="168">
        <v>0</v>
      </c>
      <c r="F171" s="85" t="str">
        <v>MCD</v>
      </c>
      <c r="G171" s="179">
        <v>4.3723596630614248E-4</v>
      </c>
      <c r="H171" s="180">
        <v>5.9016175595858627E-4</v>
      </c>
      <c r="I171" s="180">
        <v>1.004575731683145E-3</v>
      </c>
      <c r="J171" s="180">
        <v>1.2118483675212872E-3</v>
      </c>
      <c r="K171" s="180">
        <v>8.8656407550750189E-4</v>
      </c>
      <c r="L171" s="180">
        <v>1.2445101608031307E-3</v>
      </c>
      <c r="M171" s="180">
        <v>1.5566945864839937E-3</v>
      </c>
      <c r="N171" s="180">
        <v>1.0434476997331528E-3</v>
      </c>
      <c r="O171" s="180">
        <v>1.4080437366372094E-3</v>
      </c>
      <c r="P171" s="180">
        <v>1.1844149472533348E-3</v>
      </c>
      <c r="Q171" s="180">
        <v>7.381374461617429E-4</v>
      </c>
      <c r="R171" s="180">
        <v>5.4513263389601688E-4</v>
      </c>
      <c r="S171" s="180">
        <v>9.1762089354393737E-4</v>
      </c>
      <c r="T171" s="180">
        <v>7.2064842002941051E-4</v>
      </c>
      <c r="U171" s="180">
        <v>1.135373183104091E-3</v>
      </c>
      <c r="V171" s="180">
        <v>7.9000312454904529E-4</v>
      </c>
      <c r="W171" s="180">
        <v>1.7650690545216805E-3</v>
      </c>
      <c r="X171" s="180">
        <v>7.9590651205676567E-4</v>
      </c>
      <c r="Y171" s="180">
        <v>5.886623345512683E-4</v>
      </c>
      <c r="Z171" s="180">
        <v>1.2284698745461862E-3</v>
      </c>
      <c r="AA171" s="180">
        <v>4.3355644868225306E-4</v>
      </c>
      <c r="AB171" s="180">
        <v>9.4939047744066322E-4</v>
      </c>
      <c r="AC171" s="180">
        <v>4.0611550084338323E-4</v>
      </c>
      <c r="AD171" s="180">
        <v>3.5874031329227935E-4</v>
      </c>
      <c r="AE171" s="180">
        <v>8.7888532505727346E-4</v>
      </c>
      <c r="AF171" s="180">
        <v>6.7734327840461236E-4</v>
      </c>
      <c r="AG171" s="180">
        <v>1.0020182531469391E-3</v>
      </c>
      <c r="AH171" s="180">
        <v>4.237060092283065E-5</v>
      </c>
      <c r="AI171" s="181">
        <v>6.6389606634421081E-4</v>
      </c>
    </row>
    <row r="172" spans="2:35" x14ac:dyDescent="0.25">
      <c r="B172" s="163" t="str">
        <f>'Market Data'!$B$34</f>
        <v>MMM</v>
      </c>
      <c r="C172" s="160">
        <f>Statistics!$G$36</f>
        <v>1.5280500930100561E-2</v>
      </c>
      <c r="E172" s="168">
        <v>0</v>
      </c>
      <c r="F172" s="85" t="str">
        <v>MMM</v>
      </c>
      <c r="G172" s="179">
        <v>1.6042263123932821E-3</v>
      </c>
      <c r="H172" s="180">
        <v>1.3680882736390085E-3</v>
      </c>
      <c r="I172" s="180">
        <v>1.220072170107771E-3</v>
      </c>
      <c r="J172" s="180">
        <v>1.3778500117759705E-3</v>
      </c>
      <c r="K172" s="180">
        <v>1.6594658489014636E-3</v>
      </c>
      <c r="L172" s="180">
        <v>1.3396872809028706E-3</v>
      </c>
      <c r="M172" s="180">
        <v>2.4333011024343194E-3</v>
      </c>
      <c r="N172" s="180">
        <v>1.3935802423237448E-3</v>
      </c>
      <c r="O172" s="180">
        <v>1.6476299492810176E-3</v>
      </c>
      <c r="P172" s="180">
        <v>1.5580261625844892E-3</v>
      </c>
      <c r="Q172" s="180">
        <v>1.0633975936011025E-3</v>
      </c>
      <c r="R172" s="180">
        <v>1.0275296737018624E-3</v>
      </c>
      <c r="S172" s="180">
        <v>1.3291856750406272E-3</v>
      </c>
      <c r="T172" s="180">
        <v>9.1647163555960687E-4</v>
      </c>
      <c r="U172" s="180">
        <v>1.3229022331511452E-3</v>
      </c>
      <c r="V172" s="180">
        <v>6.5400026561614926E-4</v>
      </c>
      <c r="W172" s="180">
        <v>7.9590651205676567E-4</v>
      </c>
      <c r="X172" s="180">
        <v>1.9007159701372343E-3</v>
      </c>
      <c r="Y172" s="180">
        <v>9.3087542856500223E-4</v>
      </c>
      <c r="Z172" s="180">
        <v>9.5021437706372129E-4</v>
      </c>
      <c r="AA172" s="180">
        <v>7.5220949128439868E-4</v>
      </c>
      <c r="AB172" s="180">
        <v>1.1108584905280188E-3</v>
      </c>
      <c r="AC172" s="180">
        <v>7.8023777188204919E-4</v>
      </c>
      <c r="AD172" s="180">
        <v>9.8369986573183495E-4</v>
      </c>
      <c r="AE172" s="180">
        <v>1.8471574472775569E-3</v>
      </c>
      <c r="AF172" s="180">
        <v>5.9539589470078522E-4</v>
      </c>
      <c r="AG172" s="180">
        <v>1.59984129324471E-3</v>
      </c>
      <c r="AH172" s="180">
        <v>4.5051539698961655E-4</v>
      </c>
      <c r="AI172" s="181">
        <v>1.2697174541958882E-3</v>
      </c>
    </row>
    <row r="173" spans="2:35" x14ac:dyDescent="0.25">
      <c r="B173" s="163" t="str">
        <f>'Market Data'!$B$35</f>
        <v>MRK</v>
      </c>
      <c r="C173" s="160">
        <f>Statistics!$G$37</f>
        <v>1.1473476041634185E-2</v>
      </c>
      <c r="E173" s="168">
        <v>0</v>
      </c>
      <c r="F173" s="85" t="str">
        <v>MRK</v>
      </c>
      <c r="G173" s="179">
        <v>6.6280896407091964E-4</v>
      </c>
      <c r="H173" s="180">
        <v>9.5675499919051471E-4</v>
      </c>
      <c r="I173" s="180">
        <v>1.3506721993334096E-3</v>
      </c>
      <c r="J173" s="180">
        <v>1.6454661341138513E-3</v>
      </c>
      <c r="K173" s="180">
        <v>1.2877752599161352E-3</v>
      </c>
      <c r="L173" s="180">
        <v>1.0548817345930506E-3</v>
      </c>
      <c r="M173" s="180">
        <v>2.1034755337789339E-3</v>
      </c>
      <c r="N173" s="180">
        <v>1.1180874248259017E-3</v>
      </c>
      <c r="O173" s="180">
        <v>7.4080885300837902E-4</v>
      </c>
      <c r="P173" s="180">
        <v>9.5059394038900442E-4</v>
      </c>
      <c r="Q173" s="180">
        <v>7.161428946835201E-4</v>
      </c>
      <c r="R173" s="180">
        <v>1.0097860441379664E-3</v>
      </c>
      <c r="S173" s="180">
        <v>1.2481991200788169E-3</v>
      </c>
      <c r="T173" s="180">
        <v>7.8932636294384688E-4</v>
      </c>
      <c r="U173" s="180">
        <v>9.9035410413519649E-4</v>
      </c>
      <c r="V173" s="180">
        <v>5.6925923112739025E-4</v>
      </c>
      <c r="W173" s="180">
        <v>5.886623345512683E-4</v>
      </c>
      <c r="X173" s="180">
        <v>9.3087542856500223E-4</v>
      </c>
      <c r="Y173" s="180">
        <v>2.5431403633519077E-3</v>
      </c>
      <c r="Z173" s="180">
        <v>1.0039618395335291E-3</v>
      </c>
      <c r="AA173" s="180">
        <v>3.4083858597475385E-4</v>
      </c>
      <c r="AB173" s="180">
        <v>1.3412346285691251E-3</v>
      </c>
      <c r="AC173" s="180">
        <v>3.7529952314904947E-4</v>
      </c>
      <c r="AD173" s="180">
        <v>8.5985137540516086E-4</v>
      </c>
      <c r="AE173" s="180">
        <v>1.4646144344401168E-3</v>
      </c>
      <c r="AF173" s="180">
        <v>3.3006228708408361E-4</v>
      </c>
      <c r="AG173" s="180">
        <v>1.1984054366898813E-3</v>
      </c>
      <c r="AH173" s="180">
        <v>4.389896882024129E-4</v>
      </c>
      <c r="AI173" s="181">
        <v>5.8214330295854532E-4</v>
      </c>
    </row>
    <row r="174" spans="2:35" x14ac:dyDescent="0.25">
      <c r="B174" s="163" t="str">
        <f>'Market Data'!$B$36</f>
        <v>MSFT</v>
      </c>
      <c r="C174" s="160">
        <f>Statistics!$G$38</f>
        <v>2.1777833497491961E-2</v>
      </c>
      <c r="E174" s="168">
        <v>0</v>
      </c>
      <c r="F174" s="85" t="str">
        <v>MSFT</v>
      </c>
      <c r="G174" s="179">
        <v>1.7656054736670385E-3</v>
      </c>
      <c r="H174" s="180">
        <v>1.7453927826798744E-3</v>
      </c>
      <c r="I174" s="180">
        <v>1.4618979219237266E-3</v>
      </c>
      <c r="J174" s="180">
        <v>2.2842322526096018E-3</v>
      </c>
      <c r="K174" s="180">
        <v>2.1511833371391734E-3</v>
      </c>
      <c r="L174" s="180">
        <v>1.921523261676006E-3</v>
      </c>
      <c r="M174" s="180">
        <v>3.4647817866697963E-3</v>
      </c>
      <c r="N174" s="180">
        <v>1.7514488094562146E-3</v>
      </c>
      <c r="O174" s="180">
        <v>2.1782812682115105E-3</v>
      </c>
      <c r="P174" s="180">
        <v>1.9881521509949444E-3</v>
      </c>
      <c r="Q174" s="180">
        <v>1.0017697174583111E-3</v>
      </c>
      <c r="R174" s="180">
        <v>1.4353906099659559E-3</v>
      </c>
      <c r="S174" s="180">
        <v>2.824290151917595E-3</v>
      </c>
      <c r="T174" s="180">
        <v>8.3950208317612799E-4</v>
      </c>
      <c r="U174" s="180">
        <v>2.1029083027690664E-3</v>
      </c>
      <c r="V174" s="180">
        <v>1.0711085481253278E-3</v>
      </c>
      <c r="W174" s="180">
        <v>1.2284698745461862E-3</v>
      </c>
      <c r="X174" s="180">
        <v>9.5021437706372129E-4</v>
      </c>
      <c r="Y174" s="180">
        <v>1.0039618395335291E-3</v>
      </c>
      <c r="Z174" s="180">
        <v>4.5817164894349687E-3</v>
      </c>
      <c r="AA174" s="180">
        <v>9.1111393401995618E-4</v>
      </c>
      <c r="AB174" s="180">
        <v>1.1007292150403058E-3</v>
      </c>
      <c r="AC174" s="180">
        <v>1.0300601718935634E-3</v>
      </c>
      <c r="AD174" s="180">
        <v>2.4058610256342332E-4</v>
      </c>
      <c r="AE174" s="180">
        <v>9.3007091875184366E-4</v>
      </c>
      <c r="AF174" s="180">
        <v>7.4555370224549768E-4</v>
      </c>
      <c r="AG174" s="180">
        <v>1.5294825998788863E-3</v>
      </c>
      <c r="AH174" s="180">
        <v>-3.4970831020819231E-4</v>
      </c>
      <c r="AI174" s="181">
        <v>1.2219742467918569E-3</v>
      </c>
    </row>
    <row r="175" spans="2:35" x14ac:dyDescent="0.25">
      <c r="B175" s="163" t="str">
        <f>'Market Data'!$B$37</f>
        <v>NKE</v>
      </c>
      <c r="C175" s="160">
        <f>Statistics!$G$39</f>
        <v>1.5970247269241938E-2</v>
      </c>
      <c r="E175" s="168">
        <v>0</v>
      </c>
      <c r="F175" s="85" t="str">
        <v>NKE</v>
      </c>
      <c r="G175" s="179">
        <v>7.4054258425286133E-4</v>
      </c>
      <c r="H175" s="180">
        <v>9.1418204127611028E-4</v>
      </c>
      <c r="I175" s="180">
        <v>1.1825978430535619E-3</v>
      </c>
      <c r="J175" s="180">
        <v>-1.1104731462091626E-4</v>
      </c>
      <c r="K175" s="180">
        <v>7.2136303147440504E-4</v>
      </c>
      <c r="L175" s="180">
        <v>-3.0145919518466895E-4</v>
      </c>
      <c r="M175" s="180">
        <v>1.371253710214986E-3</v>
      </c>
      <c r="N175" s="180">
        <v>1.1713887062549742E-3</v>
      </c>
      <c r="O175" s="180">
        <v>6.8149888740689005E-4</v>
      </c>
      <c r="P175" s="180">
        <v>9.2810945195530823E-4</v>
      </c>
      <c r="Q175" s="180">
        <v>7.3578315539153108E-4</v>
      </c>
      <c r="R175" s="180">
        <v>1.3757321359017424E-4</v>
      </c>
      <c r="S175" s="180">
        <v>5.7515792739731505E-4</v>
      </c>
      <c r="T175" s="180">
        <v>2.4076387457302071E-4</v>
      </c>
      <c r="U175" s="180">
        <v>6.7839144071882979E-4</v>
      </c>
      <c r="V175" s="180">
        <v>4.3589033448327737E-4</v>
      </c>
      <c r="W175" s="180">
        <v>4.3355644868225306E-4</v>
      </c>
      <c r="X175" s="180">
        <v>7.5220949128439868E-4</v>
      </c>
      <c r="Y175" s="180">
        <v>3.4083858597475385E-4</v>
      </c>
      <c r="Z175" s="180">
        <v>9.1111393401995618E-4</v>
      </c>
      <c r="AA175" s="180">
        <v>2.7193308407813446E-3</v>
      </c>
      <c r="AB175" s="180">
        <v>5.6615292191577104E-4</v>
      </c>
      <c r="AC175" s="180">
        <v>3.6538493696828688E-4</v>
      </c>
      <c r="AD175" s="180">
        <v>8.9669180264711685E-5</v>
      </c>
      <c r="AE175" s="180">
        <v>4.9140530374502923E-4</v>
      </c>
      <c r="AF175" s="180">
        <v>1.0278859564771125E-5</v>
      </c>
      <c r="AG175" s="180">
        <v>1.2162400994020978E-3</v>
      </c>
      <c r="AH175" s="180">
        <v>1.3266739677968515E-5</v>
      </c>
      <c r="AI175" s="181">
        <v>-1.9722713194093662E-4</v>
      </c>
    </row>
    <row r="176" spans="2:35" x14ac:dyDescent="0.25">
      <c r="B176" s="163" t="str">
        <f>'Market Data'!$B$38</f>
        <v>PFE</v>
      </c>
      <c r="C176" s="160">
        <f>Statistics!$G$40</f>
        <v>7.6042605716081235E-3</v>
      </c>
      <c r="E176" s="168">
        <v>0</v>
      </c>
      <c r="F176" s="85" t="str">
        <v>PFE</v>
      </c>
      <c r="G176" s="179">
        <v>1.105136574328315E-3</v>
      </c>
      <c r="H176" s="180">
        <v>1.0081234358528435E-3</v>
      </c>
      <c r="I176" s="180">
        <v>1.2950969606515986E-3</v>
      </c>
      <c r="J176" s="180">
        <v>7.9610645869862182E-4</v>
      </c>
      <c r="K176" s="180">
        <v>1.5185012123350332E-3</v>
      </c>
      <c r="L176" s="180">
        <v>1.0966581694716135E-3</v>
      </c>
      <c r="M176" s="180">
        <v>2.2541080192876768E-3</v>
      </c>
      <c r="N176" s="180">
        <v>1.4909638464124207E-3</v>
      </c>
      <c r="O176" s="180">
        <v>1.1596920910434683E-3</v>
      </c>
      <c r="P176" s="180">
        <v>1.2974763649140325E-3</v>
      </c>
      <c r="Q176" s="180">
        <v>8.5234066580948517E-4</v>
      </c>
      <c r="R176" s="180">
        <v>7.9545047293496068E-4</v>
      </c>
      <c r="S176" s="180">
        <v>9.9184976149502301E-4</v>
      </c>
      <c r="T176" s="180">
        <v>1.174922395291398E-3</v>
      </c>
      <c r="U176" s="180">
        <v>1.3592270505613203E-3</v>
      </c>
      <c r="V176" s="180">
        <v>6.3614560547018231E-4</v>
      </c>
      <c r="W176" s="180">
        <v>9.4939047744066322E-4</v>
      </c>
      <c r="X176" s="180">
        <v>1.1108584905280188E-3</v>
      </c>
      <c r="Y176" s="180">
        <v>1.3412346285691251E-3</v>
      </c>
      <c r="Z176" s="180">
        <v>1.1007292150403058E-3</v>
      </c>
      <c r="AA176" s="180">
        <v>5.6615292191577104E-4</v>
      </c>
      <c r="AB176" s="180">
        <v>2.4354805215546461E-3</v>
      </c>
      <c r="AC176" s="180">
        <v>7.7698221980775051E-4</v>
      </c>
      <c r="AD176" s="180">
        <v>7.5423895885674786E-4</v>
      </c>
      <c r="AE176" s="180">
        <v>1.3524566727664237E-3</v>
      </c>
      <c r="AF176" s="180">
        <v>6.9733723903610885E-4</v>
      </c>
      <c r="AG176" s="180">
        <v>1.6142857385330945E-3</v>
      </c>
      <c r="AH176" s="180">
        <v>6.1756439897017149E-4</v>
      </c>
      <c r="AI176" s="181">
        <v>8.1835922434987771E-4</v>
      </c>
    </row>
    <row r="177" spans="2:35" x14ac:dyDescent="0.25">
      <c r="B177" s="163" t="str">
        <f>'Market Data'!$B$39</f>
        <v>PG</v>
      </c>
      <c r="C177" s="160">
        <f>Statistics!$G$41</f>
        <v>6.7668222923833359E-3</v>
      </c>
      <c r="E177" s="168">
        <v>0</v>
      </c>
      <c r="F177" s="85" t="str">
        <v>PG</v>
      </c>
      <c r="G177" s="179">
        <v>1.0336127768185608E-3</v>
      </c>
      <c r="H177" s="180">
        <v>4.150551569421239E-4</v>
      </c>
      <c r="I177" s="180">
        <v>5.997217417536032E-4</v>
      </c>
      <c r="J177" s="180">
        <v>4.9254664842985144E-4</v>
      </c>
      <c r="K177" s="180">
        <v>1.0690588122897406E-3</v>
      </c>
      <c r="L177" s="180">
        <v>8.4385070363078498E-4</v>
      </c>
      <c r="M177" s="180">
        <v>1.1783213677355128E-3</v>
      </c>
      <c r="N177" s="180">
        <v>6.6920552953337459E-4</v>
      </c>
      <c r="O177" s="180">
        <v>8.669689440805547E-4</v>
      </c>
      <c r="P177" s="180">
        <v>6.8796273406052837E-4</v>
      </c>
      <c r="Q177" s="180">
        <v>4.7474349038820928E-4</v>
      </c>
      <c r="R177" s="180">
        <v>5.5361049131124631E-4</v>
      </c>
      <c r="S177" s="180">
        <v>7.9168442412031782E-4</v>
      </c>
      <c r="T177" s="180">
        <v>7.8676359672877393E-4</v>
      </c>
      <c r="U177" s="180">
        <v>7.2953612857905574E-4</v>
      </c>
      <c r="V177" s="180">
        <v>6.5740070509151668E-4</v>
      </c>
      <c r="W177" s="180">
        <v>4.0611550084338323E-4</v>
      </c>
      <c r="X177" s="180">
        <v>7.8023777188204919E-4</v>
      </c>
      <c r="Y177" s="180">
        <v>3.7529952314904947E-4</v>
      </c>
      <c r="Z177" s="180">
        <v>1.0300601718935634E-3</v>
      </c>
      <c r="AA177" s="180">
        <v>3.6538493696828688E-4</v>
      </c>
      <c r="AB177" s="180">
        <v>7.7698221980775051E-4</v>
      </c>
      <c r="AC177" s="180">
        <v>1.4111752678343567E-3</v>
      </c>
      <c r="AD177" s="180">
        <v>1.723275330802805E-4</v>
      </c>
      <c r="AE177" s="180">
        <v>6.4008748533685535E-4</v>
      </c>
      <c r="AF177" s="180">
        <v>2.3535220881827705E-4</v>
      </c>
      <c r="AG177" s="180">
        <v>9.2172519542926422E-4</v>
      </c>
      <c r="AH177" s="180">
        <v>7.2490049760504278E-4</v>
      </c>
      <c r="AI177" s="181">
        <v>6.1092932367000222E-4</v>
      </c>
    </row>
    <row r="178" spans="2:35" x14ac:dyDescent="0.25">
      <c r="B178" s="163" t="str">
        <f>'Market Data'!$B$40</f>
        <v>UNH</v>
      </c>
      <c r="C178" s="160">
        <f>Statistics!$G$42</f>
        <v>2.4695057092687361E-2</v>
      </c>
      <c r="E178" s="168">
        <v>0</v>
      </c>
      <c r="F178" s="85" t="str">
        <v>UNH</v>
      </c>
      <c r="G178" s="179">
        <v>5.5673881663560775E-4</v>
      </c>
      <c r="H178" s="180">
        <v>9.035040942327959E-4</v>
      </c>
      <c r="I178" s="180">
        <v>6.5863568330466196E-4</v>
      </c>
      <c r="J178" s="180">
        <v>7.8373416165496384E-4</v>
      </c>
      <c r="K178" s="180">
        <v>1.0321561899434074E-3</v>
      </c>
      <c r="L178" s="180">
        <v>8.9699068571536217E-4</v>
      </c>
      <c r="M178" s="180">
        <v>1.3915459916452729E-3</v>
      </c>
      <c r="N178" s="180">
        <v>9.9320622386439117E-4</v>
      </c>
      <c r="O178" s="180">
        <v>6.9406421327386882E-4</v>
      </c>
      <c r="P178" s="180">
        <v>1.248419321363809E-3</v>
      </c>
      <c r="Q178" s="180">
        <v>6.4915062582396636E-4</v>
      </c>
      <c r="R178" s="180">
        <v>8.8298395118505178E-4</v>
      </c>
      <c r="S178" s="180">
        <v>5.6633014876153942E-4</v>
      </c>
      <c r="T178" s="180">
        <v>4.4624886795118808E-4</v>
      </c>
      <c r="U178" s="180">
        <v>1.2617149248905092E-3</v>
      </c>
      <c r="V178" s="180">
        <v>1.2737483924284157E-4</v>
      </c>
      <c r="W178" s="180">
        <v>3.5874031329227935E-4</v>
      </c>
      <c r="X178" s="180">
        <v>9.8369986573183495E-4</v>
      </c>
      <c r="Y178" s="180">
        <v>8.5985137540516086E-4</v>
      </c>
      <c r="Z178" s="180">
        <v>2.4058610256342332E-4</v>
      </c>
      <c r="AA178" s="180">
        <v>8.9669180264711685E-5</v>
      </c>
      <c r="AB178" s="180">
        <v>7.5423895885674786E-4</v>
      </c>
      <c r="AC178" s="180">
        <v>1.723275330802805E-4</v>
      </c>
      <c r="AD178" s="180">
        <v>1.9588021355587989E-3</v>
      </c>
      <c r="AE178" s="180">
        <v>1.3013762269017E-3</v>
      </c>
      <c r="AF178" s="180">
        <v>4.3562344006968111E-4</v>
      </c>
      <c r="AG178" s="180">
        <v>6.7255745531353401E-4</v>
      </c>
      <c r="AH178" s="180">
        <v>2.5472583633253342E-4</v>
      </c>
      <c r="AI178" s="181">
        <v>7.6037739981613735E-4</v>
      </c>
    </row>
    <row r="179" spans="2:35" x14ac:dyDescent="0.25">
      <c r="B179" s="163" t="str">
        <f>'Market Data'!$B$41</f>
        <v>UTX</v>
      </c>
      <c r="C179" s="160">
        <f>Statistics!$G$43</f>
        <v>7.3861111519648165E-3</v>
      </c>
      <c r="E179" s="168">
        <v>0</v>
      </c>
      <c r="F179" s="85" t="str">
        <v>UTX</v>
      </c>
      <c r="G179" s="179">
        <v>1.2367738317379871E-3</v>
      </c>
      <c r="H179" s="180">
        <v>1.9679940702890687E-3</v>
      </c>
      <c r="I179" s="180">
        <v>1.846395156096473E-3</v>
      </c>
      <c r="J179" s="180">
        <v>2.1924453554447642E-3</v>
      </c>
      <c r="K179" s="180">
        <v>2.0848208418056797E-3</v>
      </c>
      <c r="L179" s="180">
        <v>1.7655731333339048E-3</v>
      </c>
      <c r="M179" s="180">
        <v>3.4844332298577191E-3</v>
      </c>
      <c r="N179" s="180">
        <v>1.6618009644053405E-3</v>
      </c>
      <c r="O179" s="180">
        <v>1.9210155408337607E-3</v>
      </c>
      <c r="P179" s="180">
        <v>2.1674424403236793E-3</v>
      </c>
      <c r="Q179" s="180">
        <v>1.2386809813748902E-3</v>
      </c>
      <c r="R179" s="180">
        <v>1.5169272523521361E-3</v>
      </c>
      <c r="S179" s="180">
        <v>1.2132957377483657E-3</v>
      </c>
      <c r="T179" s="180">
        <v>1.0117367356107026E-3</v>
      </c>
      <c r="U179" s="180">
        <v>1.8453743354725578E-3</v>
      </c>
      <c r="V179" s="180">
        <v>5.7087013169956707E-4</v>
      </c>
      <c r="W179" s="180">
        <v>8.7888532505727346E-4</v>
      </c>
      <c r="X179" s="180">
        <v>1.8471574472775569E-3</v>
      </c>
      <c r="Y179" s="180">
        <v>1.4646144344401168E-3</v>
      </c>
      <c r="Z179" s="180">
        <v>9.3007091875184366E-4</v>
      </c>
      <c r="AA179" s="180">
        <v>4.9140530374502923E-4</v>
      </c>
      <c r="AB179" s="180">
        <v>1.3524566727664237E-3</v>
      </c>
      <c r="AC179" s="180">
        <v>6.4008748533685535E-4</v>
      </c>
      <c r="AD179" s="180">
        <v>1.3013762269017E-3</v>
      </c>
      <c r="AE179" s="180">
        <v>3.1502830070701034E-3</v>
      </c>
      <c r="AF179" s="180">
        <v>3.2120511051046262E-4</v>
      </c>
      <c r="AG179" s="180">
        <v>1.6964262161404888E-3</v>
      </c>
      <c r="AH179" s="180">
        <v>2.8814451862251201E-4</v>
      </c>
      <c r="AI179" s="181">
        <v>1.3259012920786922E-3</v>
      </c>
    </row>
    <row r="180" spans="2:35" x14ac:dyDescent="0.25">
      <c r="B180" s="163" t="str">
        <f>'Market Data'!$B$42</f>
        <v>VZ</v>
      </c>
      <c r="C180" s="160">
        <f>Statistics!$G$44</f>
        <v>5.0086030759070753E-3</v>
      </c>
      <c r="E180" s="168">
        <v>7.0699819823669876E-3</v>
      </c>
      <c r="F180" s="85" t="str">
        <v>VZ</v>
      </c>
      <c r="G180" s="179">
        <v>1.8457278448214234E-4</v>
      </c>
      <c r="H180" s="180">
        <v>-7.7366109832012643E-5</v>
      </c>
      <c r="I180" s="180">
        <v>3.7914592931386057E-4</v>
      </c>
      <c r="J180" s="180">
        <v>6.8929109799853135E-4</v>
      </c>
      <c r="K180" s="180">
        <v>5.9888719676582812E-4</v>
      </c>
      <c r="L180" s="180">
        <v>7.5916190680994219E-4</v>
      </c>
      <c r="M180" s="180">
        <v>9.2727826439514978E-4</v>
      </c>
      <c r="N180" s="180">
        <v>5.8624704841600517E-4</v>
      </c>
      <c r="O180" s="180">
        <v>1.0256274934399997E-3</v>
      </c>
      <c r="P180" s="180">
        <v>3.7523862948950627E-4</v>
      </c>
      <c r="Q180" s="180">
        <v>1.1189073531181803E-4</v>
      </c>
      <c r="R180" s="180">
        <v>2.033685246020378E-4</v>
      </c>
      <c r="S180" s="180">
        <v>8.2166255763751334E-4</v>
      </c>
      <c r="T180" s="180">
        <v>7.3214708969514145E-4</v>
      </c>
      <c r="U180" s="180">
        <v>3.9836144643633019E-4</v>
      </c>
      <c r="V180" s="180">
        <v>4.9096142938173941E-4</v>
      </c>
      <c r="W180" s="180">
        <v>6.7734327840461236E-4</v>
      </c>
      <c r="X180" s="180">
        <v>5.9539589470078522E-4</v>
      </c>
      <c r="Y180" s="180">
        <v>3.3006228708408361E-4</v>
      </c>
      <c r="Z180" s="180">
        <v>7.4555370224549768E-4</v>
      </c>
      <c r="AA180" s="180">
        <v>1.0278859564771125E-5</v>
      </c>
      <c r="AB180" s="180">
        <v>6.9733723903610885E-4</v>
      </c>
      <c r="AC180" s="180">
        <v>2.3535220881827705E-4</v>
      </c>
      <c r="AD180" s="180">
        <v>4.3562344006968111E-4</v>
      </c>
      <c r="AE180" s="180">
        <v>3.2120511051046262E-4</v>
      </c>
      <c r="AF180" s="180">
        <v>2.0420562729853461E-3</v>
      </c>
      <c r="AG180" s="180">
        <v>3.5270826394507459E-4</v>
      </c>
      <c r="AH180" s="180">
        <v>4.5696587310639262E-4</v>
      </c>
      <c r="AI180" s="181">
        <v>6.4524949399266879E-4</v>
      </c>
    </row>
    <row r="181" spans="2:35" x14ac:dyDescent="0.25">
      <c r="B181" s="163" t="str">
        <f>'Market Data'!$B$43</f>
        <v>V</v>
      </c>
      <c r="C181" s="160">
        <f>Statistics!$G$45</f>
        <v>1.7947618128132319E-2</v>
      </c>
      <c r="E181" s="168">
        <v>0</v>
      </c>
      <c r="F181" s="85" t="str">
        <v>V</v>
      </c>
      <c r="G181" s="179">
        <v>1.5697677901095443E-3</v>
      </c>
      <c r="H181" s="180">
        <v>2.1563583115517065E-3</v>
      </c>
      <c r="I181" s="180">
        <v>2.2475777063178958E-3</v>
      </c>
      <c r="J181" s="180">
        <v>1.4624027030174886E-3</v>
      </c>
      <c r="K181" s="180">
        <v>2.8598074505702059E-3</v>
      </c>
      <c r="L181" s="180">
        <v>9.2897312946466114E-4</v>
      </c>
      <c r="M181" s="180">
        <v>3.0677861856869904E-3</v>
      </c>
      <c r="N181" s="180">
        <v>2.2204011828610088E-3</v>
      </c>
      <c r="O181" s="180">
        <v>1.7646874198991678E-3</v>
      </c>
      <c r="P181" s="180">
        <v>2.0541307067505868E-3</v>
      </c>
      <c r="Q181" s="180">
        <v>1.2055891827737501E-3</v>
      </c>
      <c r="R181" s="180">
        <v>1.2306885914741903E-3</v>
      </c>
      <c r="S181" s="180">
        <v>1.8678530672680304E-3</v>
      </c>
      <c r="T181" s="180">
        <v>8.2747273857601913E-4</v>
      </c>
      <c r="U181" s="180">
        <v>1.9463933682734615E-3</v>
      </c>
      <c r="V181" s="180">
        <v>9.4999344105865064E-4</v>
      </c>
      <c r="W181" s="180">
        <v>1.0020182531469391E-3</v>
      </c>
      <c r="X181" s="180">
        <v>1.59984129324471E-3</v>
      </c>
      <c r="Y181" s="180">
        <v>1.1984054366898813E-3</v>
      </c>
      <c r="Z181" s="180">
        <v>1.5294825998788863E-3</v>
      </c>
      <c r="AA181" s="180">
        <v>1.2162400994020978E-3</v>
      </c>
      <c r="AB181" s="180">
        <v>1.6142857385330945E-3</v>
      </c>
      <c r="AC181" s="180">
        <v>9.2172519542926422E-4</v>
      </c>
      <c r="AD181" s="180">
        <v>6.7255745531353401E-4</v>
      </c>
      <c r="AE181" s="180">
        <v>1.6964262161404888E-3</v>
      </c>
      <c r="AF181" s="180">
        <v>3.5270826394507459E-4</v>
      </c>
      <c r="AG181" s="180">
        <v>3.6944718915923875E-3</v>
      </c>
      <c r="AH181" s="180">
        <v>2.1280259291490004E-4</v>
      </c>
      <c r="AI181" s="181">
        <v>9.4116112769672574E-4</v>
      </c>
    </row>
    <row r="182" spans="2:35" x14ac:dyDescent="0.25">
      <c r="B182" s="163" t="str">
        <f>'Market Data'!$B$44</f>
        <v>WMT</v>
      </c>
      <c r="C182" s="160">
        <f>Statistics!$G$46</f>
        <v>1.8437214178450567E-3</v>
      </c>
      <c r="E182" s="168">
        <v>0.41071895496204464</v>
      </c>
      <c r="F182" s="85" t="str">
        <v>WMT</v>
      </c>
      <c r="G182" s="179">
        <v>5.7975796375205426E-4</v>
      </c>
      <c r="H182" s="180">
        <v>2.6973274792062105E-5</v>
      </c>
      <c r="I182" s="180">
        <v>1.7979190170774528E-4</v>
      </c>
      <c r="J182" s="180">
        <v>-2.1581932882750213E-4</v>
      </c>
      <c r="K182" s="180">
        <v>3.2563207166723412E-4</v>
      </c>
      <c r="L182" s="180">
        <v>1.437380584121094E-4</v>
      </c>
      <c r="M182" s="180">
        <v>-2.3301122426120984E-5</v>
      </c>
      <c r="N182" s="180">
        <v>-1.1672694641114529E-4</v>
      </c>
      <c r="O182" s="180">
        <v>3.1986346053900631E-5</v>
      </c>
      <c r="P182" s="180">
        <v>-5.4295264980806504E-5</v>
      </c>
      <c r="Q182" s="180">
        <v>1.9815526434870993E-4</v>
      </c>
      <c r="R182" s="180">
        <v>3.7610030291999273E-4</v>
      </c>
      <c r="S182" s="180">
        <v>-1.8556188989019865E-5</v>
      </c>
      <c r="T182" s="180">
        <v>7.1470891411086447E-4</v>
      </c>
      <c r="U182" s="180">
        <v>7.503242005510376E-5</v>
      </c>
      <c r="V182" s="180">
        <v>6.4703627119224946E-4</v>
      </c>
      <c r="W182" s="180">
        <v>4.237060092283065E-5</v>
      </c>
      <c r="X182" s="180">
        <v>4.5051539698961655E-4</v>
      </c>
      <c r="Y182" s="180">
        <v>4.389896882024129E-4</v>
      </c>
      <c r="Z182" s="180">
        <v>-3.4970831020819231E-4</v>
      </c>
      <c r="AA182" s="180">
        <v>1.3266739677968515E-5</v>
      </c>
      <c r="AB182" s="180">
        <v>6.1756439897017149E-4</v>
      </c>
      <c r="AC182" s="180">
        <v>7.2490049760504278E-4</v>
      </c>
      <c r="AD182" s="180">
        <v>2.5472583633253342E-4</v>
      </c>
      <c r="AE182" s="180">
        <v>2.8814451862251201E-4</v>
      </c>
      <c r="AF182" s="180">
        <v>4.5696587310639262E-4</v>
      </c>
      <c r="AG182" s="180">
        <v>2.1280259291490004E-4</v>
      </c>
      <c r="AH182" s="180">
        <v>1.9253008332035728E-3</v>
      </c>
      <c r="AI182" s="181">
        <v>9.9417778748729687E-5</v>
      </c>
    </row>
    <row r="183" spans="2:35" x14ac:dyDescent="0.25">
      <c r="B183" s="164" t="str">
        <f>'Market Data'!$B$45</f>
        <v>XOM</v>
      </c>
      <c r="C183" s="165">
        <f>Statistics!$G$47</f>
        <v>1.7101166353118678E-3</v>
      </c>
      <c r="E183" s="169">
        <v>0.36712677531390897</v>
      </c>
      <c r="F183" s="86" t="str">
        <v>XOM</v>
      </c>
      <c r="G183" s="179">
        <v>8.3126780280069973E-4</v>
      </c>
      <c r="H183" s="180">
        <v>9.0240454872836753E-4</v>
      </c>
      <c r="I183" s="180">
        <v>5.5785917505375118E-4</v>
      </c>
      <c r="J183" s="180">
        <v>1.368945659107327E-3</v>
      </c>
      <c r="K183" s="180">
        <v>1.3701802479257339E-3</v>
      </c>
      <c r="L183" s="180">
        <v>1.9286286807754067E-3</v>
      </c>
      <c r="M183" s="180">
        <v>2.1182301102402332E-3</v>
      </c>
      <c r="N183" s="180">
        <v>1.3292278052638991E-3</v>
      </c>
      <c r="O183" s="180">
        <v>1.6264073394302158E-3</v>
      </c>
      <c r="P183" s="180">
        <v>1.4387650786059658E-3</v>
      </c>
      <c r="Q183" s="180">
        <v>5.7016164369997474E-4</v>
      </c>
      <c r="R183" s="180">
        <v>1.0970123689928199E-3</v>
      </c>
      <c r="S183" s="180">
        <v>1.0791409093812321E-3</v>
      </c>
      <c r="T183" s="180">
        <v>7.4627799983375924E-4</v>
      </c>
      <c r="U183" s="180">
        <v>1.3958094738143344E-3</v>
      </c>
      <c r="V183" s="180">
        <v>5.1805651820066112E-4</v>
      </c>
      <c r="W183" s="180">
        <v>6.6389606634421081E-4</v>
      </c>
      <c r="X183" s="180">
        <v>1.2697174541958882E-3</v>
      </c>
      <c r="Y183" s="180">
        <v>5.8214330295854532E-4</v>
      </c>
      <c r="Z183" s="180">
        <v>1.2219742467918569E-3</v>
      </c>
      <c r="AA183" s="180">
        <v>-1.9722713194093662E-4</v>
      </c>
      <c r="AB183" s="180">
        <v>8.1835922434987771E-4</v>
      </c>
      <c r="AC183" s="180">
        <v>6.1092932367000222E-4</v>
      </c>
      <c r="AD183" s="180">
        <v>7.6037739981613735E-4</v>
      </c>
      <c r="AE183" s="180">
        <v>1.3259012920786922E-3</v>
      </c>
      <c r="AF183" s="180">
        <v>6.4524949399266879E-4</v>
      </c>
      <c r="AG183" s="180">
        <v>9.4116112769672574E-4</v>
      </c>
      <c r="AH183" s="180">
        <v>9.9417778748729687E-5</v>
      </c>
      <c r="AI183" s="181">
        <v>1.845802781732033E-3</v>
      </c>
    </row>
    <row r="184" spans="2:35" x14ac:dyDescent="0.25">
      <c r="B184" s="3"/>
      <c r="C184" s="3"/>
      <c r="D184" s="3"/>
      <c r="E184" s="182">
        <f>SUM(E155:E183)</f>
        <v>0.99999999999999978</v>
      </c>
      <c r="F184" s="3"/>
      <c r="G184" s="184">
        <f>_xll.SumProduct2(TR1_PORTFOLIO_WEIGHTS,G155:G183)*G153</f>
        <v>0</v>
      </c>
      <c r="H184" s="185">
        <f>_xll.SumProduct2(TR1_PORTFOLIO_WEIGHTS,H155:H183)*H153</f>
        <v>0</v>
      </c>
      <c r="I184" s="185">
        <f>_xll.SumProduct2(TR1_PORTFOLIO_WEIGHTS,I155:I183)*I153</f>
        <v>0</v>
      </c>
      <c r="J184" s="185">
        <f>_xll.SumProduct2(TR1_PORTFOLIO_WEIGHTS,J155:J183)*J153</f>
        <v>0</v>
      </c>
      <c r="K184" s="185">
        <f>_xll.SumProduct2(TR1_PORTFOLIO_WEIGHTS,K155:K183)*K153</f>
        <v>0</v>
      </c>
      <c r="L184" s="185">
        <f>_xll.SumProduct2(TR1_PORTFOLIO_WEIGHTS,L155:L183)*L153</f>
        <v>0</v>
      </c>
      <c r="M184" s="185">
        <f>_xll.SumProduct2(TR1_PORTFOLIO_WEIGHTS,M155:M183)*M153</f>
        <v>0</v>
      </c>
      <c r="N184" s="185">
        <f>_xll.SumProduct2(TR1_PORTFOLIO_WEIGHTS,N155:N183)*N153</f>
        <v>0</v>
      </c>
      <c r="O184" s="185">
        <f>_xll.SumProduct2(TR1_PORTFOLIO_WEIGHTS,O155:O183)*O153</f>
        <v>0</v>
      </c>
      <c r="P184" s="185">
        <f>_xll.SumProduct2(TR1_PORTFOLIO_WEIGHTS,P155:P183)*P153</f>
        <v>0</v>
      </c>
      <c r="Q184" s="185">
        <f>_xll.SumProduct2(TR1_PORTFOLIO_WEIGHTS,Q155:Q183)*Q153</f>
        <v>0</v>
      </c>
      <c r="R184" s="185">
        <f>_xll.SumProduct2(TR1_PORTFOLIO_WEIGHTS,R155:R183)*R153</f>
        <v>2.1364973161254165E-4</v>
      </c>
      <c r="S184" s="185">
        <f>_xll.SumProduct2(TR1_PORTFOLIO_WEIGHTS,S155:S183)*S153</f>
        <v>0</v>
      </c>
      <c r="T184" s="185">
        <f>_xll.SumProduct2(TR1_PORTFOLIO_WEIGHTS,T155:T183)*T153</f>
        <v>0</v>
      </c>
      <c r="U184" s="185">
        <f>_xll.SumProduct2(TR1_PORTFOLIO_WEIGHTS,U155:U183)*U153</f>
        <v>0</v>
      </c>
      <c r="V184" s="185">
        <f>_xll.SumProduct2(TR1_PORTFOLIO_WEIGHTS,V155:V183)*V153</f>
        <v>2.1015329530928127E-5</v>
      </c>
      <c r="W184" s="185">
        <f>_xll.SumProduct2(TR1_PORTFOLIO_WEIGHTS,W155:W183)*W153</f>
        <v>0</v>
      </c>
      <c r="X184" s="185">
        <f>_xll.SumProduct2(TR1_PORTFOLIO_WEIGHTS,X155:X183)*X153</f>
        <v>0</v>
      </c>
      <c r="Y184" s="185">
        <f>_xll.SumProduct2(TR1_PORTFOLIO_WEIGHTS,Y155:Y183)*Y153</f>
        <v>0</v>
      </c>
      <c r="Z184" s="185">
        <f>_xll.SumProduct2(TR1_PORTFOLIO_WEIGHTS,Z155:Z183)*Z153</f>
        <v>0</v>
      </c>
      <c r="AA184" s="185">
        <f>_xll.SumProduct2(TR1_PORTFOLIO_WEIGHTS,AA155:AA183)*AA153</f>
        <v>0</v>
      </c>
      <c r="AB184" s="185">
        <f>_xll.SumProduct2(TR1_PORTFOLIO_WEIGHTS,AB155:AB183)*AB153</f>
        <v>0</v>
      </c>
      <c r="AC184" s="185">
        <f>_xll.SumProduct2(TR1_PORTFOLIO_WEIGHTS,AC155:AC183)*AC153</f>
        <v>0</v>
      </c>
      <c r="AD184" s="185">
        <f>_xll.SumProduct2(TR1_PORTFOLIO_WEIGHTS,AD155:AD183)*AD153</f>
        <v>0</v>
      </c>
      <c r="AE184" s="185">
        <f>_xll.SumProduct2(TR1_PORTFOLIO_WEIGHTS,AE155:AE183)*AE153</f>
        <v>0</v>
      </c>
      <c r="AF184" s="185">
        <f>_xll.SumProduct2(TR1_PORTFOLIO_WEIGHTS,AF155:AF183)*AF153</f>
        <v>3.4837113071869231E-6</v>
      </c>
      <c r="AG184" s="185">
        <f>_xll.SumProduct2(TR1_PORTFOLIO_WEIGHTS,AG155:AG183)*AG153</f>
        <v>0</v>
      </c>
      <c r="AH184" s="185">
        <f>_xll.SumProduct2(TR1_PORTFOLIO_WEIGHTS,AH155:AH183)*AH153</f>
        <v>3.7818871082425043E-4</v>
      </c>
      <c r="AI184" s="189">
        <f>_xll.SumProduct2(TR1_PORTFOLIO_WEIGHTS,AI155:AI183)*AI153</f>
        <v>3.4468316832962648E-4</v>
      </c>
    </row>
    <row r="185" spans="2:35" x14ac:dyDescent="0.25">
      <c r="B185" s="3"/>
      <c r="C185" s="3"/>
      <c r="D185" s="3"/>
      <c r="E185" s="3"/>
      <c r="F185" s="3"/>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2:35" ht="20.25" thickBot="1" x14ac:dyDescent="0.35">
      <c r="B186" s="153" t="str">
        <f>ROUND(TR2_PORTFOLIO_TARGET_RETURN*100, LABEL_ROUNDING) &amp; "% Target Return Portfolio (TR2)"</f>
        <v>0.316% Target Return Portfolio (TR2)</v>
      </c>
      <c r="C186" s="153"/>
      <c r="D186" s="153"/>
      <c r="E186" s="154"/>
      <c r="F186" s="153"/>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row>
    <row r="187" spans="2:35" ht="15.75" thickTop="1" x14ac:dyDescent="0.25">
      <c r="B187" s="156" t="s">
        <v>70</v>
      </c>
      <c r="C187" s="159">
        <f>TR2_PORTFOLIO_TARGET_RETURN</f>
        <v>3.1643092274359825E-3</v>
      </c>
    </row>
    <row r="188" spans="2:35" x14ac:dyDescent="0.25">
      <c r="B188" s="157" t="s">
        <v>60</v>
      </c>
      <c r="C188" s="160">
        <f>_xll.SumProduct2(C193:C221,E193:E221)-RISK_FREE_RATE</f>
        <v>3.1642962498188427E-3</v>
      </c>
    </row>
    <row r="189" spans="2:35" x14ac:dyDescent="0.25">
      <c r="B189" s="157" t="s">
        <v>62</v>
      </c>
      <c r="C189" s="160">
        <f>SQRT(SUM(G222:AI222))</f>
        <v>2.6879543108941622E-2</v>
      </c>
    </row>
    <row r="190" spans="2:35" x14ac:dyDescent="0.25">
      <c r="B190" s="158" t="s">
        <v>103</v>
      </c>
      <c r="C190" s="161" t="str">
        <f>_xll.TimeSeries.CovarianceMatrixCalculator.apply(COVARIANCE_MATRIX_CALCULATOR,'Efficient Frontier'!B193:B221,Statistics!$F$19:$F$47)</f>
        <v>»LabelledMatrix-16705291694770987812</v>
      </c>
      <c r="D190" t="s">
        <v>77</v>
      </c>
    </row>
    <row r="191" spans="2:35" x14ac:dyDescent="0.25">
      <c r="F191" s="111" t="s">
        <v>69</v>
      </c>
      <c r="G191" s="170">
        <f t="array" ref="G191:AI191">TRANSPOSE(E193:E221)</f>
        <v>0</v>
      </c>
      <c r="H191" s="171">
        <v>1.5890203525050902E-3</v>
      </c>
      <c r="I191" s="171">
        <v>0</v>
      </c>
      <c r="J191" s="171">
        <v>0</v>
      </c>
      <c r="K191" s="171">
        <v>0</v>
      </c>
      <c r="L191" s="171">
        <v>0</v>
      </c>
      <c r="M191" s="171">
        <v>0</v>
      </c>
      <c r="N191" s="171">
        <v>0</v>
      </c>
      <c r="O191" s="171">
        <v>0</v>
      </c>
      <c r="P191" s="171">
        <v>0</v>
      </c>
      <c r="Q191" s="171">
        <v>0</v>
      </c>
      <c r="R191" s="171">
        <v>9.5775520743399539E-2</v>
      </c>
      <c r="S191" s="171">
        <v>0</v>
      </c>
      <c r="T191" s="171">
        <v>0</v>
      </c>
      <c r="U191" s="171">
        <v>0</v>
      </c>
      <c r="V191" s="171">
        <v>0.18509549731773373</v>
      </c>
      <c r="W191" s="171">
        <v>0</v>
      </c>
      <c r="X191" s="171">
        <v>0</v>
      </c>
      <c r="Y191" s="171">
        <v>0</v>
      </c>
      <c r="Z191" s="171">
        <v>0</v>
      </c>
      <c r="AA191" s="171">
        <v>5.450347227731215E-2</v>
      </c>
      <c r="AB191" s="171">
        <v>0</v>
      </c>
      <c r="AC191" s="171">
        <v>0</v>
      </c>
      <c r="AD191" s="171">
        <v>0</v>
      </c>
      <c r="AE191" s="171">
        <v>0</v>
      </c>
      <c r="AF191" s="171">
        <v>0.11617530899385012</v>
      </c>
      <c r="AG191" s="171">
        <v>8.1560749316781527E-7</v>
      </c>
      <c r="AH191" s="171">
        <v>0.28166296581297307</v>
      </c>
      <c r="AI191" s="172">
        <v>0.26519739889473293</v>
      </c>
    </row>
    <row r="192" spans="2:35" x14ac:dyDescent="0.25">
      <c r="C192" s="111" t="s">
        <v>63</v>
      </c>
      <c r="E192" s="89" t="s">
        <v>69</v>
      </c>
      <c r="F192" s="166" t="str">
        <f t="array" ref="F192:AI221">_xll.Matrix.ExpandAsArray(C190)</f>
        <v/>
      </c>
      <c r="G192" s="173" t="str">
        <v>AAPL</v>
      </c>
      <c r="H192" s="174" t="str">
        <v>AXP</v>
      </c>
      <c r="I192" s="174" t="str">
        <v>BA</v>
      </c>
      <c r="J192" s="174" t="str">
        <v>CAT</v>
      </c>
      <c r="K192" s="174" t="str">
        <v>CSCO</v>
      </c>
      <c r="L192" s="174" t="str">
        <v>CVX</v>
      </c>
      <c r="M192" s="174" t="str">
        <v>DD</v>
      </c>
      <c r="N192" s="174" t="str">
        <v>DIS</v>
      </c>
      <c r="O192" s="174" t="str">
        <v>GE</v>
      </c>
      <c r="P192" s="174" t="str">
        <v>GS</v>
      </c>
      <c r="Q192" s="174" t="str">
        <v>HD</v>
      </c>
      <c r="R192" s="174" t="str">
        <v>IBM</v>
      </c>
      <c r="S192" s="174" t="str">
        <v>INTC</v>
      </c>
      <c r="T192" s="174" t="str">
        <v>JNJ</v>
      </c>
      <c r="U192" s="174" t="str">
        <v>JPM</v>
      </c>
      <c r="V192" s="174" t="str">
        <v>KO</v>
      </c>
      <c r="W192" s="174" t="str">
        <v>MCD</v>
      </c>
      <c r="X192" s="174" t="str">
        <v>MMM</v>
      </c>
      <c r="Y192" s="174" t="str">
        <v>MRK</v>
      </c>
      <c r="Z192" s="174" t="str">
        <v>MSFT</v>
      </c>
      <c r="AA192" s="174" t="str">
        <v>NKE</v>
      </c>
      <c r="AB192" s="174" t="str">
        <v>PFE</v>
      </c>
      <c r="AC192" s="174" t="str">
        <v>PG</v>
      </c>
      <c r="AD192" s="174" t="str">
        <v>UNH</v>
      </c>
      <c r="AE192" s="174" t="str">
        <v>UTX</v>
      </c>
      <c r="AF192" s="174" t="str">
        <v>VZ</v>
      </c>
      <c r="AG192" s="174" t="str">
        <v>V</v>
      </c>
      <c r="AH192" s="174" t="str">
        <v>WMT</v>
      </c>
      <c r="AI192" s="175" t="str">
        <v>XOM</v>
      </c>
    </row>
    <row r="193" spans="2:35" x14ac:dyDescent="0.25">
      <c r="B193" s="162" t="str">
        <f>'Market Data'!$B$17</f>
        <v>AAPL</v>
      </c>
      <c r="C193" s="159">
        <f>Statistics!$G$19</f>
        <v>2.1230184800142136E-2</v>
      </c>
      <c r="E193" s="167">
        <v>0</v>
      </c>
      <c r="F193" s="84" t="str">
        <v>AAPL</v>
      </c>
      <c r="G193" s="176">
        <v>4.5162973293162668E-3</v>
      </c>
      <c r="H193" s="177">
        <v>1.6284380645241216E-3</v>
      </c>
      <c r="I193" s="177">
        <v>1.6201491796022521E-3</v>
      </c>
      <c r="J193" s="177">
        <v>1.5690359790962263E-3</v>
      </c>
      <c r="K193" s="177">
        <v>2.3505409053430782E-3</v>
      </c>
      <c r="L193" s="177">
        <v>1.1773098260505132E-3</v>
      </c>
      <c r="M193" s="177">
        <v>2.5889638042653502E-3</v>
      </c>
      <c r="N193" s="177">
        <v>1.366655807124157E-3</v>
      </c>
      <c r="O193" s="177">
        <v>1.5698375611055285E-3</v>
      </c>
      <c r="P193" s="177">
        <v>1.8109156333145874E-3</v>
      </c>
      <c r="Q193" s="177">
        <v>9.8639311096076088E-4</v>
      </c>
      <c r="R193" s="177">
        <v>1.7737023799007877E-3</v>
      </c>
      <c r="S193" s="177">
        <v>1.6293191413582805E-3</v>
      </c>
      <c r="T193" s="177">
        <v>8.2631268301744008E-4</v>
      </c>
      <c r="U193" s="177">
        <v>1.2529926248616137E-3</v>
      </c>
      <c r="V193" s="177">
        <v>9.6129190129553134E-4</v>
      </c>
      <c r="W193" s="177">
        <v>4.3723596630614248E-4</v>
      </c>
      <c r="X193" s="177">
        <v>1.6042263123932821E-3</v>
      </c>
      <c r="Y193" s="177">
        <v>6.6280896407091964E-4</v>
      </c>
      <c r="Z193" s="177">
        <v>1.7656054736670385E-3</v>
      </c>
      <c r="AA193" s="177">
        <v>7.4054258425286133E-4</v>
      </c>
      <c r="AB193" s="177">
        <v>1.105136574328315E-3</v>
      </c>
      <c r="AC193" s="177">
        <v>1.0336127768185608E-3</v>
      </c>
      <c r="AD193" s="177">
        <v>5.5673881663560775E-4</v>
      </c>
      <c r="AE193" s="177">
        <v>1.2367738317379871E-3</v>
      </c>
      <c r="AF193" s="177">
        <v>1.8457278448214234E-4</v>
      </c>
      <c r="AG193" s="177">
        <v>1.5697677901095443E-3</v>
      </c>
      <c r="AH193" s="177">
        <v>5.7975796375205426E-4</v>
      </c>
      <c r="AI193" s="178">
        <v>8.3126780280069973E-4</v>
      </c>
    </row>
    <row r="194" spans="2:35" x14ac:dyDescent="0.25">
      <c r="B194" s="163" t="str">
        <f>'Market Data'!$B$18</f>
        <v>AXP</v>
      </c>
      <c r="C194" s="160">
        <f>Statistics!$G$20</f>
        <v>6.4918343965214677E-3</v>
      </c>
      <c r="E194" s="168">
        <v>1.5890203525050902E-3</v>
      </c>
      <c r="F194" s="85" t="str">
        <v>AXP</v>
      </c>
      <c r="G194" s="179">
        <v>1.6284380645241216E-3</v>
      </c>
      <c r="H194" s="180">
        <v>4.0660324753009668E-3</v>
      </c>
      <c r="I194" s="180">
        <v>2.3214948032735548E-3</v>
      </c>
      <c r="J194" s="180">
        <v>2.4672804057197504E-3</v>
      </c>
      <c r="K194" s="180">
        <v>2.2861035048804129E-3</v>
      </c>
      <c r="L194" s="180">
        <v>1.4106472819975181E-3</v>
      </c>
      <c r="M194" s="180">
        <v>3.0070268955997704E-3</v>
      </c>
      <c r="N194" s="180">
        <v>1.9718583562846406E-3</v>
      </c>
      <c r="O194" s="180">
        <v>1.6460552176854309E-3</v>
      </c>
      <c r="P194" s="180">
        <v>3.1197862990926528E-3</v>
      </c>
      <c r="Q194" s="180">
        <v>1.285962047454306E-3</v>
      </c>
      <c r="R194" s="180">
        <v>1.960684724858895E-3</v>
      </c>
      <c r="S194" s="180">
        <v>2.0715314739138896E-3</v>
      </c>
      <c r="T194" s="180">
        <v>7.3945969222275051E-4</v>
      </c>
      <c r="U194" s="180">
        <v>2.7840355446374721E-3</v>
      </c>
      <c r="V194" s="180">
        <v>5.6369017954212687E-4</v>
      </c>
      <c r="W194" s="180">
        <v>5.9016175595858627E-4</v>
      </c>
      <c r="X194" s="180">
        <v>1.3680882736390085E-3</v>
      </c>
      <c r="Y194" s="180">
        <v>9.5675499919051471E-4</v>
      </c>
      <c r="Z194" s="180">
        <v>1.7453927826798744E-3</v>
      </c>
      <c r="AA194" s="180">
        <v>9.1418204127611028E-4</v>
      </c>
      <c r="AB194" s="180">
        <v>1.0081234358528435E-3</v>
      </c>
      <c r="AC194" s="180">
        <v>4.150551569421239E-4</v>
      </c>
      <c r="AD194" s="180">
        <v>9.035040942327959E-4</v>
      </c>
      <c r="AE194" s="180">
        <v>1.9679940702890687E-3</v>
      </c>
      <c r="AF194" s="180">
        <v>-7.7366109832012643E-5</v>
      </c>
      <c r="AG194" s="180">
        <v>2.1563583115517065E-3</v>
      </c>
      <c r="AH194" s="180">
        <v>2.6973274792062105E-5</v>
      </c>
      <c r="AI194" s="181">
        <v>9.0240454872836753E-4</v>
      </c>
    </row>
    <row r="195" spans="2:35" x14ac:dyDescent="0.25">
      <c r="B195" s="163" t="str">
        <f>'Market Data'!$B$19</f>
        <v>BA</v>
      </c>
      <c r="C195" s="160">
        <f>Statistics!$G$21</f>
        <v>1.9250861766613322E-2</v>
      </c>
      <c r="E195" s="168">
        <v>0</v>
      </c>
      <c r="F195" s="85" t="str">
        <v>BA</v>
      </c>
      <c r="G195" s="179">
        <v>1.6201491796022521E-3</v>
      </c>
      <c r="H195" s="180">
        <v>2.3214948032735548E-3</v>
      </c>
      <c r="I195" s="180">
        <v>3.7402935775721971E-3</v>
      </c>
      <c r="J195" s="180">
        <v>1.6046317611050844E-3</v>
      </c>
      <c r="K195" s="180">
        <v>2.1240240973260023E-3</v>
      </c>
      <c r="L195" s="180">
        <v>1.3419066335272889E-3</v>
      </c>
      <c r="M195" s="180">
        <v>3.1629198402818382E-3</v>
      </c>
      <c r="N195" s="180">
        <v>2.193611301570318E-3</v>
      </c>
      <c r="O195" s="180">
        <v>1.7334051959416068E-3</v>
      </c>
      <c r="P195" s="180">
        <v>2.2391121271409182E-3</v>
      </c>
      <c r="Q195" s="180">
        <v>1.2911501083222776E-3</v>
      </c>
      <c r="R195" s="180">
        <v>1.1336433634722555E-3</v>
      </c>
      <c r="S195" s="180">
        <v>1.485647562986758E-3</v>
      </c>
      <c r="T195" s="180">
        <v>7.7470388279684329E-4</v>
      </c>
      <c r="U195" s="180">
        <v>1.8054441283061249E-3</v>
      </c>
      <c r="V195" s="180">
        <v>9.7196182882881919E-4</v>
      </c>
      <c r="W195" s="180">
        <v>1.004575731683145E-3</v>
      </c>
      <c r="X195" s="180">
        <v>1.220072170107771E-3</v>
      </c>
      <c r="Y195" s="180">
        <v>1.3506721993334096E-3</v>
      </c>
      <c r="Z195" s="180">
        <v>1.4618979219237266E-3</v>
      </c>
      <c r="AA195" s="180">
        <v>1.1825978430535619E-3</v>
      </c>
      <c r="AB195" s="180">
        <v>1.2950969606515986E-3</v>
      </c>
      <c r="AC195" s="180">
        <v>5.997217417536032E-4</v>
      </c>
      <c r="AD195" s="180">
        <v>6.5863568330466196E-4</v>
      </c>
      <c r="AE195" s="180">
        <v>1.846395156096473E-3</v>
      </c>
      <c r="AF195" s="180">
        <v>3.7914592931386057E-4</v>
      </c>
      <c r="AG195" s="180">
        <v>2.2475777063178958E-3</v>
      </c>
      <c r="AH195" s="180">
        <v>1.7979190170774528E-4</v>
      </c>
      <c r="AI195" s="181">
        <v>5.5785917505375118E-4</v>
      </c>
    </row>
    <row r="196" spans="2:35" x14ac:dyDescent="0.25">
      <c r="B196" s="163" t="str">
        <f>'Market Data'!$B$20</f>
        <v>CAT</v>
      </c>
      <c r="C196" s="160">
        <f>Statistics!$G$22</f>
        <v>6.3545919720494892E-3</v>
      </c>
      <c r="E196" s="168">
        <v>0</v>
      </c>
      <c r="F196" s="85" t="str">
        <v>CAT</v>
      </c>
      <c r="G196" s="179">
        <v>1.5690359790962263E-3</v>
      </c>
      <c r="H196" s="180">
        <v>2.4672804057197504E-3</v>
      </c>
      <c r="I196" s="180">
        <v>1.6046317611050844E-3</v>
      </c>
      <c r="J196" s="180">
        <v>4.5013491323716076E-3</v>
      </c>
      <c r="K196" s="180">
        <v>1.8532157140411887E-3</v>
      </c>
      <c r="L196" s="180">
        <v>2.2352946064681648E-3</v>
      </c>
      <c r="M196" s="180">
        <v>3.0429489894058951E-3</v>
      </c>
      <c r="N196" s="180">
        <v>1.6981712196612736E-3</v>
      </c>
      <c r="O196" s="180">
        <v>2.2046623152336968E-3</v>
      </c>
      <c r="P196" s="180">
        <v>2.3825247137119567E-3</v>
      </c>
      <c r="Q196" s="180">
        <v>1.0587514228509517E-3</v>
      </c>
      <c r="R196" s="180">
        <v>2.1554825858441308E-3</v>
      </c>
      <c r="S196" s="180">
        <v>2.3005603160952529E-3</v>
      </c>
      <c r="T196" s="180">
        <v>9.0633949973445221E-4</v>
      </c>
      <c r="U196" s="180">
        <v>2.011937601179676E-3</v>
      </c>
      <c r="V196" s="180">
        <v>6.586205973694774E-4</v>
      </c>
      <c r="W196" s="180">
        <v>1.2118483675212872E-3</v>
      </c>
      <c r="X196" s="180">
        <v>1.3778500117759705E-3</v>
      </c>
      <c r="Y196" s="180">
        <v>1.6454661341138513E-3</v>
      </c>
      <c r="Z196" s="180">
        <v>2.2842322526096018E-3</v>
      </c>
      <c r="AA196" s="180">
        <v>-1.1104731462091626E-4</v>
      </c>
      <c r="AB196" s="180">
        <v>7.9610645869862182E-4</v>
      </c>
      <c r="AC196" s="180">
        <v>4.9254664842985144E-4</v>
      </c>
      <c r="AD196" s="180">
        <v>7.8373416165496384E-4</v>
      </c>
      <c r="AE196" s="180">
        <v>2.1924453554447642E-3</v>
      </c>
      <c r="AF196" s="180">
        <v>6.8929109799853135E-4</v>
      </c>
      <c r="AG196" s="180">
        <v>1.4624027030174886E-3</v>
      </c>
      <c r="AH196" s="180">
        <v>-2.1581932882750213E-4</v>
      </c>
      <c r="AI196" s="181">
        <v>1.368945659107327E-3</v>
      </c>
    </row>
    <row r="197" spans="2:35" x14ac:dyDescent="0.25">
      <c r="B197" s="163" t="str">
        <f>'Market Data'!$B$21</f>
        <v>CSCO</v>
      </c>
      <c r="C197" s="160">
        <f>Statistics!$G$23</f>
        <v>1.4928779568119917E-2</v>
      </c>
      <c r="E197" s="168">
        <v>0</v>
      </c>
      <c r="F197" s="85" t="str">
        <v>CSCO</v>
      </c>
      <c r="G197" s="179">
        <v>2.3505409053430782E-3</v>
      </c>
      <c r="H197" s="180">
        <v>2.2861035048804129E-3</v>
      </c>
      <c r="I197" s="180">
        <v>2.1240240973260023E-3</v>
      </c>
      <c r="J197" s="180">
        <v>1.8532157140411887E-3</v>
      </c>
      <c r="K197" s="180">
        <v>4.2943797540477393E-3</v>
      </c>
      <c r="L197" s="180">
        <v>1.6495950515362169E-3</v>
      </c>
      <c r="M197" s="180">
        <v>3.7036865533827041E-3</v>
      </c>
      <c r="N197" s="180">
        <v>1.9090150380186609E-3</v>
      </c>
      <c r="O197" s="180">
        <v>2.0168425927536027E-3</v>
      </c>
      <c r="P197" s="180">
        <v>2.2177683830845976E-3</v>
      </c>
      <c r="Q197" s="180">
        <v>9.8504335267051509E-4</v>
      </c>
      <c r="R197" s="180">
        <v>2.2508292865696072E-3</v>
      </c>
      <c r="S197" s="180">
        <v>2.2625583672846289E-3</v>
      </c>
      <c r="T197" s="180">
        <v>1.1094225673998865E-3</v>
      </c>
      <c r="U197" s="180">
        <v>2.0831844183308271E-3</v>
      </c>
      <c r="V197" s="180">
        <v>1.0904984859812852E-3</v>
      </c>
      <c r="W197" s="180">
        <v>8.8656407550750189E-4</v>
      </c>
      <c r="X197" s="180">
        <v>1.6594658489014636E-3</v>
      </c>
      <c r="Y197" s="180">
        <v>1.2877752599161352E-3</v>
      </c>
      <c r="Z197" s="180">
        <v>2.1511833371391734E-3</v>
      </c>
      <c r="AA197" s="180">
        <v>7.2136303147440504E-4</v>
      </c>
      <c r="AB197" s="180">
        <v>1.5185012123350332E-3</v>
      </c>
      <c r="AC197" s="180">
        <v>1.0690588122897406E-3</v>
      </c>
      <c r="AD197" s="180">
        <v>1.0321561899434074E-3</v>
      </c>
      <c r="AE197" s="180">
        <v>2.0848208418056797E-3</v>
      </c>
      <c r="AF197" s="180">
        <v>5.9888719676582812E-4</v>
      </c>
      <c r="AG197" s="180">
        <v>2.8598074505702059E-3</v>
      </c>
      <c r="AH197" s="180">
        <v>3.2563207166723412E-4</v>
      </c>
      <c r="AI197" s="181">
        <v>1.3701802479257339E-3</v>
      </c>
    </row>
    <row r="198" spans="2:35" x14ac:dyDescent="0.25">
      <c r="B198" s="163" t="str">
        <f>'Market Data'!$B$22</f>
        <v>CVX</v>
      </c>
      <c r="C198" s="160">
        <f>Statistics!$G$24</f>
        <v>2.6845541907593424E-3</v>
      </c>
      <c r="E198" s="168">
        <v>0</v>
      </c>
      <c r="F198" s="85" t="str">
        <v>CVX</v>
      </c>
      <c r="G198" s="179">
        <v>1.1773098260505132E-3</v>
      </c>
      <c r="H198" s="180">
        <v>1.4106472819975181E-3</v>
      </c>
      <c r="I198" s="180">
        <v>1.3419066335272889E-3</v>
      </c>
      <c r="J198" s="180">
        <v>2.2352946064681648E-3</v>
      </c>
      <c r="K198" s="180">
        <v>1.6495950515362169E-3</v>
      </c>
      <c r="L198" s="180">
        <v>3.2764948408559465E-3</v>
      </c>
      <c r="M198" s="180">
        <v>2.8277959806832817E-3</v>
      </c>
      <c r="N198" s="180">
        <v>1.8200348202442435E-3</v>
      </c>
      <c r="O198" s="180">
        <v>2.0997855192430963E-3</v>
      </c>
      <c r="P198" s="180">
        <v>2.495859527554455E-3</v>
      </c>
      <c r="Q198" s="180">
        <v>7.9860489883547216E-4</v>
      </c>
      <c r="R198" s="180">
        <v>1.7099575851328929E-3</v>
      </c>
      <c r="S198" s="180">
        <v>1.762362573764028E-3</v>
      </c>
      <c r="T198" s="180">
        <v>1.0006982850928254E-3</v>
      </c>
      <c r="U198" s="180">
        <v>2.159640132817216E-3</v>
      </c>
      <c r="V198" s="180">
        <v>7.7350953916938299E-4</v>
      </c>
      <c r="W198" s="180">
        <v>1.2445101608031307E-3</v>
      </c>
      <c r="X198" s="180">
        <v>1.3396872809028706E-3</v>
      </c>
      <c r="Y198" s="180">
        <v>1.0548817345930506E-3</v>
      </c>
      <c r="Z198" s="180">
        <v>1.921523261676006E-3</v>
      </c>
      <c r="AA198" s="180">
        <v>-3.0145919518466895E-4</v>
      </c>
      <c r="AB198" s="180">
        <v>1.0966581694716135E-3</v>
      </c>
      <c r="AC198" s="180">
        <v>8.4385070363078498E-4</v>
      </c>
      <c r="AD198" s="180">
        <v>8.9699068571536217E-4</v>
      </c>
      <c r="AE198" s="180">
        <v>1.7655731333339048E-3</v>
      </c>
      <c r="AF198" s="180">
        <v>7.5916190680994219E-4</v>
      </c>
      <c r="AG198" s="180">
        <v>9.2897312946466114E-4</v>
      </c>
      <c r="AH198" s="180">
        <v>1.437380584121094E-4</v>
      </c>
      <c r="AI198" s="181">
        <v>1.9286286807754067E-3</v>
      </c>
    </row>
    <row r="199" spans="2:35" x14ac:dyDescent="0.25">
      <c r="B199" s="163" t="str">
        <f>'Market Data'!$B$23</f>
        <v>DD</v>
      </c>
      <c r="C199" s="160">
        <f>Statistics!$G$25</f>
        <v>1.7349865519574785E-2</v>
      </c>
      <c r="E199" s="168">
        <v>0</v>
      </c>
      <c r="F199" s="85" t="str">
        <v>DD</v>
      </c>
      <c r="G199" s="179">
        <v>2.5889638042653502E-3</v>
      </c>
      <c r="H199" s="180">
        <v>3.0070268955997704E-3</v>
      </c>
      <c r="I199" s="180">
        <v>3.1629198402818382E-3</v>
      </c>
      <c r="J199" s="180">
        <v>3.0429489894058951E-3</v>
      </c>
      <c r="K199" s="180">
        <v>3.7036865533827041E-3</v>
      </c>
      <c r="L199" s="180">
        <v>2.8277959806832817E-3</v>
      </c>
      <c r="M199" s="180">
        <v>7.2090294001774871E-3</v>
      </c>
      <c r="N199" s="180">
        <v>3.2246456006375726E-3</v>
      </c>
      <c r="O199" s="180">
        <v>3.2408092269649337E-3</v>
      </c>
      <c r="P199" s="180">
        <v>3.1194558916632768E-3</v>
      </c>
      <c r="Q199" s="180">
        <v>2.0138415935295195E-3</v>
      </c>
      <c r="R199" s="180">
        <v>2.4056181433013803E-3</v>
      </c>
      <c r="S199" s="180">
        <v>2.9333641814070907E-3</v>
      </c>
      <c r="T199" s="180">
        <v>1.7073269232421356E-3</v>
      </c>
      <c r="U199" s="180">
        <v>2.9403656750226037E-3</v>
      </c>
      <c r="V199" s="180">
        <v>1.3828838928124146E-3</v>
      </c>
      <c r="W199" s="180">
        <v>1.5566945864839937E-3</v>
      </c>
      <c r="X199" s="180">
        <v>2.4333011024343194E-3</v>
      </c>
      <c r="Y199" s="180">
        <v>2.1034755337789339E-3</v>
      </c>
      <c r="Z199" s="180">
        <v>3.4647817866697963E-3</v>
      </c>
      <c r="AA199" s="180">
        <v>1.371253710214986E-3</v>
      </c>
      <c r="AB199" s="180">
        <v>2.2541080192876768E-3</v>
      </c>
      <c r="AC199" s="180">
        <v>1.1783213677355128E-3</v>
      </c>
      <c r="AD199" s="180">
        <v>1.3915459916452729E-3</v>
      </c>
      <c r="AE199" s="180">
        <v>3.4844332298577191E-3</v>
      </c>
      <c r="AF199" s="180">
        <v>9.2727826439514978E-4</v>
      </c>
      <c r="AG199" s="180">
        <v>3.0677861856869904E-3</v>
      </c>
      <c r="AH199" s="180">
        <v>-2.3301122426120984E-5</v>
      </c>
      <c r="AI199" s="181">
        <v>2.1182301102402332E-3</v>
      </c>
    </row>
    <row r="200" spans="2:35" x14ac:dyDescent="0.25">
      <c r="B200" s="163" t="str">
        <f>'Market Data'!$B$24</f>
        <v>DIS</v>
      </c>
      <c r="C200" s="160">
        <f>Statistics!$G$26</f>
        <v>1.7109009470709015E-2</v>
      </c>
      <c r="E200" s="168">
        <v>0</v>
      </c>
      <c r="F200" s="85" t="str">
        <v>DIS</v>
      </c>
      <c r="G200" s="179">
        <v>1.366655807124157E-3</v>
      </c>
      <c r="H200" s="180">
        <v>1.9718583562846406E-3</v>
      </c>
      <c r="I200" s="180">
        <v>2.193611301570318E-3</v>
      </c>
      <c r="J200" s="180">
        <v>1.6981712196612736E-3</v>
      </c>
      <c r="K200" s="180">
        <v>1.9090150380186609E-3</v>
      </c>
      <c r="L200" s="180">
        <v>1.8200348202442435E-3</v>
      </c>
      <c r="M200" s="180">
        <v>3.2246456006375726E-3</v>
      </c>
      <c r="N200" s="180">
        <v>3.2225637954133132E-3</v>
      </c>
      <c r="O200" s="180">
        <v>1.7980110839806059E-3</v>
      </c>
      <c r="P200" s="180">
        <v>2.5910429203650125E-3</v>
      </c>
      <c r="Q200" s="180">
        <v>1.4438567521116873E-3</v>
      </c>
      <c r="R200" s="180">
        <v>1.2533920720746924E-3</v>
      </c>
      <c r="S200" s="180">
        <v>1.4872846501875279E-3</v>
      </c>
      <c r="T200" s="180">
        <v>7.6090581351824873E-4</v>
      </c>
      <c r="U200" s="180">
        <v>2.3150492241015347E-3</v>
      </c>
      <c r="V200" s="180">
        <v>7.3157249166013263E-4</v>
      </c>
      <c r="W200" s="180">
        <v>1.0434476997331528E-3</v>
      </c>
      <c r="X200" s="180">
        <v>1.3935802423237448E-3</v>
      </c>
      <c r="Y200" s="180">
        <v>1.1180874248259017E-3</v>
      </c>
      <c r="Z200" s="180">
        <v>1.7514488094562146E-3</v>
      </c>
      <c r="AA200" s="180">
        <v>1.1713887062549742E-3</v>
      </c>
      <c r="AB200" s="180">
        <v>1.4909638464124207E-3</v>
      </c>
      <c r="AC200" s="180">
        <v>6.6920552953337459E-4</v>
      </c>
      <c r="AD200" s="180">
        <v>9.9320622386439117E-4</v>
      </c>
      <c r="AE200" s="180">
        <v>1.6618009644053405E-3</v>
      </c>
      <c r="AF200" s="180">
        <v>5.8624704841600517E-4</v>
      </c>
      <c r="AG200" s="180">
        <v>2.2204011828610088E-3</v>
      </c>
      <c r="AH200" s="180">
        <v>-1.1672694641114529E-4</v>
      </c>
      <c r="AI200" s="181">
        <v>1.3292278052638991E-3</v>
      </c>
    </row>
    <row r="201" spans="2:35" x14ac:dyDescent="0.25">
      <c r="B201" s="163" t="str">
        <f>'Market Data'!$B$25</f>
        <v>GE</v>
      </c>
      <c r="C201" s="160">
        <f>Statistics!$G$27</f>
        <v>9.2719197536449416E-3</v>
      </c>
      <c r="E201" s="168">
        <v>0</v>
      </c>
      <c r="F201" s="85" t="str">
        <v>GE</v>
      </c>
      <c r="G201" s="179">
        <v>1.5698375611055285E-3</v>
      </c>
      <c r="H201" s="180">
        <v>1.6460552176854309E-3</v>
      </c>
      <c r="I201" s="180">
        <v>1.7334051959416068E-3</v>
      </c>
      <c r="J201" s="180">
        <v>2.2046623152336968E-3</v>
      </c>
      <c r="K201" s="180">
        <v>2.0168425927536027E-3</v>
      </c>
      <c r="L201" s="180">
        <v>2.0997855192430963E-3</v>
      </c>
      <c r="M201" s="180">
        <v>3.2408092269649337E-3</v>
      </c>
      <c r="N201" s="180">
        <v>1.7980110839806059E-3</v>
      </c>
      <c r="O201" s="180">
        <v>2.8739818723832944E-3</v>
      </c>
      <c r="P201" s="180">
        <v>2.2255962061739098E-3</v>
      </c>
      <c r="Q201" s="180">
        <v>1.1779071347684854E-3</v>
      </c>
      <c r="R201" s="180">
        <v>1.4606469135339543E-3</v>
      </c>
      <c r="S201" s="180">
        <v>1.8413857882482649E-3</v>
      </c>
      <c r="T201" s="180">
        <v>1.1338883047798758E-3</v>
      </c>
      <c r="U201" s="180">
        <v>1.9825602222543746E-3</v>
      </c>
      <c r="V201" s="180">
        <v>1.0900315820250495E-3</v>
      </c>
      <c r="W201" s="180">
        <v>1.4080437366372094E-3</v>
      </c>
      <c r="X201" s="180">
        <v>1.6476299492810176E-3</v>
      </c>
      <c r="Y201" s="180">
        <v>7.4080885300837902E-4</v>
      </c>
      <c r="Z201" s="180">
        <v>2.1782812682115105E-3</v>
      </c>
      <c r="AA201" s="180">
        <v>6.8149888740689005E-4</v>
      </c>
      <c r="AB201" s="180">
        <v>1.1596920910434683E-3</v>
      </c>
      <c r="AC201" s="180">
        <v>8.669689440805547E-4</v>
      </c>
      <c r="AD201" s="180">
        <v>6.9406421327386882E-4</v>
      </c>
      <c r="AE201" s="180">
        <v>1.9210155408337607E-3</v>
      </c>
      <c r="AF201" s="180">
        <v>1.0256274934399997E-3</v>
      </c>
      <c r="AG201" s="180">
        <v>1.7646874198991678E-3</v>
      </c>
      <c r="AH201" s="180">
        <v>3.1986346053900631E-5</v>
      </c>
      <c r="AI201" s="181">
        <v>1.6264073394302158E-3</v>
      </c>
    </row>
    <row r="202" spans="2:35" x14ac:dyDescent="0.25">
      <c r="B202" s="163" t="str">
        <f>'Market Data'!$B$26</f>
        <v>GS</v>
      </c>
      <c r="C202" s="160">
        <f>Statistics!$G$28</f>
        <v>1.2775975133106521E-2</v>
      </c>
      <c r="E202" s="168">
        <v>0</v>
      </c>
      <c r="F202" s="85" t="str">
        <v>GS</v>
      </c>
      <c r="G202" s="179">
        <v>1.8109156333145874E-3</v>
      </c>
      <c r="H202" s="180">
        <v>3.1197862990926528E-3</v>
      </c>
      <c r="I202" s="180">
        <v>2.2391121271409182E-3</v>
      </c>
      <c r="J202" s="180">
        <v>2.3825247137119567E-3</v>
      </c>
      <c r="K202" s="180">
        <v>2.2177683830845976E-3</v>
      </c>
      <c r="L202" s="180">
        <v>2.495859527554455E-3</v>
      </c>
      <c r="M202" s="180">
        <v>3.1194558916632768E-3</v>
      </c>
      <c r="N202" s="180">
        <v>2.5910429203650125E-3</v>
      </c>
      <c r="O202" s="180">
        <v>2.2255962061739098E-3</v>
      </c>
      <c r="P202" s="180">
        <v>4.8815099105356504E-3</v>
      </c>
      <c r="Q202" s="180">
        <v>1.5442152510598698E-3</v>
      </c>
      <c r="R202" s="180">
        <v>2.2308798805711167E-3</v>
      </c>
      <c r="S202" s="180">
        <v>1.7997270101458302E-3</v>
      </c>
      <c r="T202" s="180">
        <v>7.4857834611503948E-4</v>
      </c>
      <c r="U202" s="180">
        <v>3.8267678235899111E-3</v>
      </c>
      <c r="V202" s="180">
        <v>5.0884399749192373E-4</v>
      </c>
      <c r="W202" s="180">
        <v>1.1844149472533348E-3</v>
      </c>
      <c r="X202" s="180">
        <v>1.5580261625844892E-3</v>
      </c>
      <c r="Y202" s="180">
        <v>9.5059394038900442E-4</v>
      </c>
      <c r="Z202" s="180">
        <v>1.9881521509949444E-3</v>
      </c>
      <c r="AA202" s="180">
        <v>9.2810945195530823E-4</v>
      </c>
      <c r="AB202" s="180">
        <v>1.2974763649140325E-3</v>
      </c>
      <c r="AC202" s="180">
        <v>6.8796273406052837E-4</v>
      </c>
      <c r="AD202" s="180">
        <v>1.248419321363809E-3</v>
      </c>
      <c r="AE202" s="180">
        <v>2.1674424403236793E-3</v>
      </c>
      <c r="AF202" s="180">
        <v>3.7523862948950627E-4</v>
      </c>
      <c r="AG202" s="180">
        <v>2.0541307067505868E-3</v>
      </c>
      <c r="AH202" s="180">
        <v>-5.4295264980806504E-5</v>
      </c>
      <c r="AI202" s="181">
        <v>1.4387650786059658E-3</v>
      </c>
    </row>
    <row r="203" spans="2:35" x14ac:dyDescent="0.25">
      <c r="B203" s="163" t="str">
        <f>'Market Data'!$B$27</f>
        <v>HD</v>
      </c>
      <c r="C203" s="160">
        <f>Statistics!$G$29</f>
        <v>1.8352985528230569E-2</v>
      </c>
      <c r="E203" s="168">
        <v>0</v>
      </c>
      <c r="F203" s="85" t="str">
        <v>HD</v>
      </c>
      <c r="G203" s="179">
        <v>9.8639311096076088E-4</v>
      </c>
      <c r="H203" s="180">
        <v>1.285962047454306E-3</v>
      </c>
      <c r="I203" s="180">
        <v>1.2911501083222776E-3</v>
      </c>
      <c r="J203" s="180">
        <v>1.0587514228509517E-3</v>
      </c>
      <c r="K203" s="180">
        <v>9.8504335267051509E-4</v>
      </c>
      <c r="L203" s="180">
        <v>7.9860489883547216E-4</v>
      </c>
      <c r="M203" s="180">
        <v>2.0138415935295195E-3</v>
      </c>
      <c r="N203" s="180">
        <v>1.4438567521116873E-3</v>
      </c>
      <c r="O203" s="180">
        <v>1.1779071347684854E-3</v>
      </c>
      <c r="P203" s="180">
        <v>1.5442152510598698E-3</v>
      </c>
      <c r="Q203" s="180">
        <v>1.8880219117441428E-3</v>
      </c>
      <c r="R203" s="180">
        <v>9.3173966010624539E-4</v>
      </c>
      <c r="S203" s="180">
        <v>9.2701062278089308E-4</v>
      </c>
      <c r="T203" s="180">
        <v>6.2481040103688149E-4</v>
      </c>
      <c r="U203" s="180">
        <v>1.4284505514434026E-3</v>
      </c>
      <c r="V203" s="180">
        <v>5.5799413673053339E-4</v>
      </c>
      <c r="W203" s="180">
        <v>7.381374461617429E-4</v>
      </c>
      <c r="X203" s="180">
        <v>1.0633975936011025E-3</v>
      </c>
      <c r="Y203" s="180">
        <v>7.161428946835201E-4</v>
      </c>
      <c r="Z203" s="180">
        <v>1.0017697174583111E-3</v>
      </c>
      <c r="AA203" s="180">
        <v>7.3578315539153108E-4</v>
      </c>
      <c r="AB203" s="180">
        <v>8.5234066580948517E-4</v>
      </c>
      <c r="AC203" s="180">
        <v>4.7474349038820928E-4</v>
      </c>
      <c r="AD203" s="180">
        <v>6.4915062582396636E-4</v>
      </c>
      <c r="AE203" s="180">
        <v>1.2386809813748902E-3</v>
      </c>
      <c r="AF203" s="180">
        <v>1.1189073531181803E-4</v>
      </c>
      <c r="AG203" s="180">
        <v>1.2055891827737501E-3</v>
      </c>
      <c r="AH203" s="180">
        <v>1.9815526434870993E-4</v>
      </c>
      <c r="AI203" s="181">
        <v>5.7016164369997474E-4</v>
      </c>
    </row>
    <row r="204" spans="2:35" x14ac:dyDescent="0.25">
      <c r="B204" s="163" t="str">
        <f>'Market Data'!$B$28</f>
        <v>IBM</v>
      </c>
      <c r="C204" s="160">
        <f>Statistics!$G$30</f>
        <v>-1.0805706759468385E-4</v>
      </c>
      <c r="E204" s="168">
        <v>9.5775520743399539E-2</v>
      </c>
      <c r="F204" s="85" t="str">
        <v>IBM</v>
      </c>
      <c r="G204" s="179">
        <v>1.7737023799007877E-3</v>
      </c>
      <c r="H204" s="180">
        <v>1.960684724858895E-3</v>
      </c>
      <c r="I204" s="180">
        <v>1.1336433634722555E-3</v>
      </c>
      <c r="J204" s="180">
        <v>2.1554825858441308E-3</v>
      </c>
      <c r="K204" s="180">
        <v>2.2508292865696072E-3</v>
      </c>
      <c r="L204" s="180">
        <v>1.7099575851328929E-3</v>
      </c>
      <c r="M204" s="180">
        <v>2.4056181433013803E-3</v>
      </c>
      <c r="N204" s="180">
        <v>1.2533920720746924E-3</v>
      </c>
      <c r="O204" s="180">
        <v>1.4606469135339543E-3</v>
      </c>
      <c r="P204" s="180">
        <v>2.2308798805711167E-3</v>
      </c>
      <c r="Q204" s="180">
        <v>9.3173966010624539E-4</v>
      </c>
      <c r="R204" s="180">
        <v>3.3622126456479009E-3</v>
      </c>
      <c r="S204" s="180">
        <v>1.4043690490920693E-3</v>
      </c>
      <c r="T204" s="180">
        <v>5.9347717242683358E-4</v>
      </c>
      <c r="U204" s="180">
        <v>2.0888390371824788E-3</v>
      </c>
      <c r="V204" s="180">
        <v>5.7019303114958723E-4</v>
      </c>
      <c r="W204" s="180">
        <v>5.4513263389601688E-4</v>
      </c>
      <c r="X204" s="180">
        <v>1.0275296737018624E-3</v>
      </c>
      <c r="Y204" s="180">
        <v>1.0097860441379664E-3</v>
      </c>
      <c r="Z204" s="180">
        <v>1.4353906099659559E-3</v>
      </c>
      <c r="AA204" s="180">
        <v>1.3757321359017424E-4</v>
      </c>
      <c r="AB204" s="180">
        <v>7.9545047293496068E-4</v>
      </c>
      <c r="AC204" s="180">
        <v>5.5361049131124631E-4</v>
      </c>
      <c r="AD204" s="180">
        <v>8.8298395118505178E-4</v>
      </c>
      <c r="AE204" s="180">
        <v>1.5169272523521361E-3</v>
      </c>
      <c r="AF204" s="180">
        <v>2.033685246020378E-4</v>
      </c>
      <c r="AG204" s="180">
        <v>1.2306885914741903E-3</v>
      </c>
      <c r="AH204" s="180">
        <v>3.7610030291999273E-4</v>
      </c>
      <c r="AI204" s="181">
        <v>1.0970123689928199E-3</v>
      </c>
    </row>
    <row r="205" spans="2:35" x14ac:dyDescent="0.25">
      <c r="B205" s="163" t="str">
        <f>'Market Data'!$B$29</f>
        <v>INTC</v>
      </c>
      <c r="C205" s="160">
        <f>Statistics!$G$31</f>
        <v>1.4825313209679855E-2</v>
      </c>
      <c r="E205" s="168">
        <v>0</v>
      </c>
      <c r="F205" s="85" t="str">
        <v>INTC</v>
      </c>
      <c r="G205" s="179">
        <v>1.6293191413582805E-3</v>
      </c>
      <c r="H205" s="180">
        <v>2.0715314739138896E-3</v>
      </c>
      <c r="I205" s="180">
        <v>1.485647562986758E-3</v>
      </c>
      <c r="J205" s="180">
        <v>2.3005603160952529E-3</v>
      </c>
      <c r="K205" s="180">
        <v>2.2625583672846289E-3</v>
      </c>
      <c r="L205" s="180">
        <v>1.762362573764028E-3</v>
      </c>
      <c r="M205" s="180">
        <v>2.9333641814070907E-3</v>
      </c>
      <c r="N205" s="180">
        <v>1.4872846501875279E-3</v>
      </c>
      <c r="O205" s="180">
        <v>1.8413857882482649E-3</v>
      </c>
      <c r="P205" s="180">
        <v>1.7997270101458302E-3</v>
      </c>
      <c r="Q205" s="180">
        <v>9.2701062278089308E-4</v>
      </c>
      <c r="R205" s="180">
        <v>1.4043690490920693E-3</v>
      </c>
      <c r="S205" s="180">
        <v>3.8953291630483993E-3</v>
      </c>
      <c r="T205" s="180">
        <v>8.7155825849789608E-4</v>
      </c>
      <c r="U205" s="180">
        <v>1.6338310266769979E-3</v>
      </c>
      <c r="V205" s="180">
        <v>1.1107691361801554E-3</v>
      </c>
      <c r="W205" s="180">
        <v>9.1762089354393737E-4</v>
      </c>
      <c r="X205" s="180">
        <v>1.3291856750406272E-3</v>
      </c>
      <c r="Y205" s="180">
        <v>1.2481991200788169E-3</v>
      </c>
      <c r="Z205" s="180">
        <v>2.824290151917595E-3</v>
      </c>
      <c r="AA205" s="180">
        <v>5.7515792739731505E-4</v>
      </c>
      <c r="AB205" s="180">
        <v>9.9184976149502301E-4</v>
      </c>
      <c r="AC205" s="180">
        <v>7.9168442412031782E-4</v>
      </c>
      <c r="AD205" s="180">
        <v>5.6633014876153942E-4</v>
      </c>
      <c r="AE205" s="180">
        <v>1.2132957377483657E-3</v>
      </c>
      <c r="AF205" s="180">
        <v>8.2166255763751334E-4</v>
      </c>
      <c r="AG205" s="180">
        <v>1.8678530672680304E-3</v>
      </c>
      <c r="AH205" s="180">
        <v>-1.8556188989019865E-5</v>
      </c>
      <c r="AI205" s="181">
        <v>1.0791409093812321E-3</v>
      </c>
    </row>
    <row r="206" spans="2:35" x14ac:dyDescent="0.25">
      <c r="B206" s="163" t="str">
        <f>'Market Data'!$B$30</f>
        <v>JNJ</v>
      </c>
      <c r="C206" s="160">
        <f>Statistics!$G$32</f>
        <v>1.2075919577819831E-2</v>
      </c>
      <c r="E206" s="168">
        <v>0</v>
      </c>
      <c r="F206" s="85" t="str">
        <v>JNJ</v>
      </c>
      <c r="G206" s="179">
        <v>8.2631268301744008E-4</v>
      </c>
      <c r="H206" s="180">
        <v>7.3945969222275051E-4</v>
      </c>
      <c r="I206" s="180">
        <v>7.7470388279684329E-4</v>
      </c>
      <c r="J206" s="180">
        <v>9.0633949973445221E-4</v>
      </c>
      <c r="K206" s="180">
        <v>1.1094225673998865E-3</v>
      </c>
      <c r="L206" s="180">
        <v>1.0006982850928254E-3</v>
      </c>
      <c r="M206" s="180">
        <v>1.7073269232421356E-3</v>
      </c>
      <c r="N206" s="180">
        <v>7.6090581351824873E-4</v>
      </c>
      <c r="O206" s="180">
        <v>1.1338883047798758E-3</v>
      </c>
      <c r="P206" s="180">
        <v>7.4857834611503948E-4</v>
      </c>
      <c r="Q206" s="180">
        <v>6.2481040103688149E-4</v>
      </c>
      <c r="R206" s="180">
        <v>5.9347717242683358E-4</v>
      </c>
      <c r="S206" s="180">
        <v>8.7155825849789608E-4</v>
      </c>
      <c r="T206" s="180">
        <v>1.3437205064186324E-3</v>
      </c>
      <c r="U206" s="180">
        <v>9.2330996350035955E-4</v>
      </c>
      <c r="V206" s="180">
        <v>8.0248592661524116E-4</v>
      </c>
      <c r="W206" s="180">
        <v>7.2064842002941051E-4</v>
      </c>
      <c r="X206" s="180">
        <v>9.1647163555960687E-4</v>
      </c>
      <c r="Y206" s="180">
        <v>7.8932636294384688E-4</v>
      </c>
      <c r="Z206" s="180">
        <v>8.3950208317612799E-4</v>
      </c>
      <c r="AA206" s="180">
        <v>2.4076387457302071E-4</v>
      </c>
      <c r="AB206" s="180">
        <v>1.174922395291398E-3</v>
      </c>
      <c r="AC206" s="180">
        <v>7.8676359672877393E-4</v>
      </c>
      <c r="AD206" s="180">
        <v>4.4624886795118808E-4</v>
      </c>
      <c r="AE206" s="180">
        <v>1.0117367356107026E-3</v>
      </c>
      <c r="AF206" s="180">
        <v>7.3214708969514145E-4</v>
      </c>
      <c r="AG206" s="180">
        <v>8.2747273857601913E-4</v>
      </c>
      <c r="AH206" s="180">
        <v>7.1470891411086447E-4</v>
      </c>
      <c r="AI206" s="181">
        <v>7.4627799983375924E-4</v>
      </c>
    </row>
    <row r="207" spans="2:35" x14ac:dyDescent="0.25">
      <c r="B207" s="163" t="str">
        <f>'Market Data'!$B$31</f>
        <v>JPM</v>
      </c>
      <c r="C207" s="160">
        <f>Statistics!$G$33</f>
        <v>1.7183196749963128E-2</v>
      </c>
      <c r="E207" s="168">
        <v>0</v>
      </c>
      <c r="F207" s="85" t="str">
        <v>JPM</v>
      </c>
      <c r="G207" s="179">
        <v>1.2529926248616137E-3</v>
      </c>
      <c r="H207" s="180">
        <v>2.7840355446374721E-3</v>
      </c>
      <c r="I207" s="180">
        <v>1.8054441283061249E-3</v>
      </c>
      <c r="J207" s="180">
        <v>2.011937601179676E-3</v>
      </c>
      <c r="K207" s="180">
        <v>2.0831844183308271E-3</v>
      </c>
      <c r="L207" s="180">
        <v>2.159640132817216E-3</v>
      </c>
      <c r="M207" s="180">
        <v>2.9403656750226037E-3</v>
      </c>
      <c r="N207" s="180">
        <v>2.3150492241015347E-3</v>
      </c>
      <c r="O207" s="180">
        <v>1.9825602222543746E-3</v>
      </c>
      <c r="P207" s="180">
        <v>3.8267678235899111E-3</v>
      </c>
      <c r="Q207" s="180">
        <v>1.4284505514434026E-3</v>
      </c>
      <c r="R207" s="180">
        <v>2.0888390371824788E-3</v>
      </c>
      <c r="S207" s="180">
        <v>1.6338310266769979E-3</v>
      </c>
      <c r="T207" s="180">
        <v>9.2330996350035955E-4</v>
      </c>
      <c r="U207" s="180">
        <v>3.6504820104783621E-3</v>
      </c>
      <c r="V207" s="180">
        <v>6.292727988425526E-4</v>
      </c>
      <c r="W207" s="180">
        <v>1.135373183104091E-3</v>
      </c>
      <c r="X207" s="180">
        <v>1.3229022331511452E-3</v>
      </c>
      <c r="Y207" s="180">
        <v>9.9035410413519649E-4</v>
      </c>
      <c r="Z207" s="180">
        <v>2.1029083027690664E-3</v>
      </c>
      <c r="AA207" s="180">
        <v>6.7839144071882979E-4</v>
      </c>
      <c r="AB207" s="180">
        <v>1.3592270505613203E-3</v>
      </c>
      <c r="AC207" s="180">
        <v>7.2953612857905574E-4</v>
      </c>
      <c r="AD207" s="180">
        <v>1.2617149248905092E-3</v>
      </c>
      <c r="AE207" s="180">
        <v>1.8453743354725578E-3</v>
      </c>
      <c r="AF207" s="180">
        <v>3.9836144643633019E-4</v>
      </c>
      <c r="AG207" s="180">
        <v>1.9463933682734615E-3</v>
      </c>
      <c r="AH207" s="180">
        <v>7.503242005510376E-5</v>
      </c>
      <c r="AI207" s="181">
        <v>1.3958094738143344E-3</v>
      </c>
    </row>
    <row r="208" spans="2:35" x14ac:dyDescent="0.25">
      <c r="B208" s="163" t="str">
        <f>'Market Data'!$B$32</f>
        <v>KO</v>
      </c>
      <c r="C208" s="160">
        <f>Statistics!$G$34</f>
        <v>4.1810541872704362E-3</v>
      </c>
      <c r="E208" s="168">
        <v>0.18509549731773373</v>
      </c>
      <c r="F208" s="85" t="str">
        <v>KO</v>
      </c>
      <c r="G208" s="179">
        <v>9.6129190129553134E-4</v>
      </c>
      <c r="H208" s="180">
        <v>5.6369017954212687E-4</v>
      </c>
      <c r="I208" s="180">
        <v>9.7196182882881919E-4</v>
      </c>
      <c r="J208" s="180">
        <v>6.586205973694774E-4</v>
      </c>
      <c r="K208" s="180">
        <v>1.0904984859812852E-3</v>
      </c>
      <c r="L208" s="180">
        <v>7.7350953916938299E-4</v>
      </c>
      <c r="M208" s="180">
        <v>1.3828838928124146E-3</v>
      </c>
      <c r="N208" s="180">
        <v>7.3157249166013263E-4</v>
      </c>
      <c r="O208" s="180">
        <v>1.0900315820250495E-3</v>
      </c>
      <c r="P208" s="180">
        <v>5.0884399749192373E-4</v>
      </c>
      <c r="Q208" s="180">
        <v>5.5799413673053339E-4</v>
      </c>
      <c r="R208" s="180">
        <v>5.7019303114958723E-4</v>
      </c>
      <c r="S208" s="180">
        <v>1.1107691361801554E-3</v>
      </c>
      <c r="T208" s="180">
        <v>8.0248592661524116E-4</v>
      </c>
      <c r="U208" s="180">
        <v>6.292727988425526E-4</v>
      </c>
      <c r="V208" s="180">
        <v>1.2210270669043683E-3</v>
      </c>
      <c r="W208" s="180">
        <v>7.9000312454904529E-4</v>
      </c>
      <c r="X208" s="180">
        <v>6.5400026561614926E-4</v>
      </c>
      <c r="Y208" s="180">
        <v>5.6925923112739025E-4</v>
      </c>
      <c r="Z208" s="180">
        <v>1.0711085481253278E-3</v>
      </c>
      <c r="AA208" s="180">
        <v>4.3589033448327737E-4</v>
      </c>
      <c r="AB208" s="180">
        <v>6.3614560547018231E-4</v>
      </c>
      <c r="AC208" s="180">
        <v>6.5740070509151668E-4</v>
      </c>
      <c r="AD208" s="180">
        <v>1.2737483924284157E-4</v>
      </c>
      <c r="AE208" s="180">
        <v>5.7087013169956707E-4</v>
      </c>
      <c r="AF208" s="180">
        <v>4.9096142938173941E-4</v>
      </c>
      <c r="AG208" s="180">
        <v>9.4999344105865064E-4</v>
      </c>
      <c r="AH208" s="180">
        <v>6.4703627119224946E-4</v>
      </c>
      <c r="AI208" s="181">
        <v>5.1805651820066112E-4</v>
      </c>
    </row>
    <row r="209" spans="2:35" x14ac:dyDescent="0.25">
      <c r="B209" s="163" t="str">
        <f>'Market Data'!$B$33</f>
        <v>MCD</v>
      </c>
      <c r="C209" s="160">
        <f>Statistics!$G$35</f>
        <v>8.998422120903465E-3</v>
      </c>
      <c r="E209" s="168">
        <v>0</v>
      </c>
      <c r="F209" s="85" t="str">
        <v>MCD</v>
      </c>
      <c r="G209" s="179">
        <v>4.3723596630614248E-4</v>
      </c>
      <c r="H209" s="180">
        <v>5.9016175595858627E-4</v>
      </c>
      <c r="I209" s="180">
        <v>1.004575731683145E-3</v>
      </c>
      <c r="J209" s="180">
        <v>1.2118483675212872E-3</v>
      </c>
      <c r="K209" s="180">
        <v>8.8656407550750189E-4</v>
      </c>
      <c r="L209" s="180">
        <v>1.2445101608031307E-3</v>
      </c>
      <c r="M209" s="180">
        <v>1.5566945864839937E-3</v>
      </c>
      <c r="N209" s="180">
        <v>1.0434476997331528E-3</v>
      </c>
      <c r="O209" s="180">
        <v>1.4080437366372094E-3</v>
      </c>
      <c r="P209" s="180">
        <v>1.1844149472533348E-3</v>
      </c>
      <c r="Q209" s="180">
        <v>7.381374461617429E-4</v>
      </c>
      <c r="R209" s="180">
        <v>5.4513263389601688E-4</v>
      </c>
      <c r="S209" s="180">
        <v>9.1762089354393737E-4</v>
      </c>
      <c r="T209" s="180">
        <v>7.2064842002941051E-4</v>
      </c>
      <c r="U209" s="180">
        <v>1.135373183104091E-3</v>
      </c>
      <c r="V209" s="180">
        <v>7.9000312454904529E-4</v>
      </c>
      <c r="W209" s="180">
        <v>1.7650690545216805E-3</v>
      </c>
      <c r="X209" s="180">
        <v>7.9590651205676567E-4</v>
      </c>
      <c r="Y209" s="180">
        <v>5.886623345512683E-4</v>
      </c>
      <c r="Z209" s="180">
        <v>1.2284698745461862E-3</v>
      </c>
      <c r="AA209" s="180">
        <v>4.3355644868225306E-4</v>
      </c>
      <c r="AB209" s="180">
        <v>9.4939047744066322E-4</v>
      </c>
      <c r="AC209" s="180">
        <v>4.0611550084338323E-4</v>
      </c>
      <c r="AD209" s="180">
        <v>3.5874031329227935E-4</v>
      </c>
      <c r="AE209" s="180">
        <v>8.7888532505727346E-4</v>
      </c>
      <c r="AF209" s="180">
        <v>6.7734327840461236E-4</v>
      </c>
      <c r="AG209" s="180">
        <v>1.0020182531469391E-3</v>
      </c>
      <c r="AH209" s="180">
        <v>4.237060092283065E-5</v>
      </c>
      <c r="AI209" s="181">
        <v>6.6389606634421081E-4</v>
      </c>
    </row>
    <row r="210" spans="2:35" x14ac:dyDescent="0.25">
      <c r="B210" s="163" t="str">
        <f>'Market Data'!$B$34</f>
        <v>MMM</v>
      </c>
      <c r="C210" s="160">
        <f>Statistics!$G$36</f>
        <v>1.5280500930100561E-2</v>
      </c>
      <c r="E210" s="168">
        <v>0</v>
      </c>
      <c r="F210" s="85" t="str">
        <v>MMM</v>
      </c>
      <c r="G210" s="179">
        <v>1.6042263123932821E-3</v>
      </c>
      <c r="H210" s="180">
        <v>1.3680882736390085E-3</v>
      </c>
      <c r="I210" s="180">
        <v>1.220072170107771E-3</v>
      </c>
      <c r="J210" s="180">
        <v>1.3778500117759705E-3</v>
      </c>
      <c r="K210" s="180">
        <v>1.6594658489014636E-3</v>
      </c>
      <c r="L210" s="180">
        <v>1.3396872809028706E-3</v>
      </c>
      <c r="M210" s="180">
        <v>2.4333011024343194E-3</v>
      </c>
      <c r="N210" s="180">
        <v>1.3935802423237448E-3</v>
      </c>
      <c r="O210" s="180">
        <v>1.6476299492810176E-3</v>
      </c>
      <c r="P210" s="180">
        <v>1.5580261625844892E-3</v>
      </c>
      <c r="Q210" s="180">
        <v>1.0633975936011025E-3</v>
      </c>
      <c r="R210" s="180">
        <v>1.0275296737018624E-3</v>
      </c>
      <c r="S210" s="180">
        <v>1.3291856750406272E-3</v>
      </c>
      <c r="T210" s="180">
        <v>9.1647163555960687E-4</v>
      </c>
      <c r="U210" s="180">
        <v>1.3229022331511452E-3</v>
      </c>
      <c r="V210" s="180">
        <v>6.5400026561614926E-4</v>
      </c>
      <c r="W210" s="180">
        <v>7.9590651205676567E-4</v>
      </c>
      <c r="X210" s="180">
        <v>1.9007159701372343E-3</v>
      </c>
      <c r="Y210" s="180">
        <v>9.3087542856500223E-4</v>
      </c>
      <c r="Z210" s="180">
        <v>9.5021437706372129E-4</v>
      </c>
      <c r="AA210" s="180">
        <v>7.5220949128439868E-4</v>
      </c>
      <c r="AB210" s="180">
        <v>1.1108584905280188E-3</v>
      </c>
      <c r="AC210" s="180">
        <v>7.8023777188204919E-4</v>
      </c>
      <c r="AD210" s="180">
        <v>9.8369986573183495E-4</v>
      </c>
      <c r="AE210" s="180">
        <v>1.8471574472775569E-3</v>
      </c>
      <c r="AF210" s="180">
        <v>5.9539589470078522E-4</v>
      </c>
      <c r="AG210" s="180">
        <v>1.59984129324471E-3</v>
      </c>
      <c r="AH210" s="180">
        <v>4.5051539698961655E-4</v>
      </c>
      <c r="AI210" s="181">
        <v>1.2697174541958882E-3</v>
      </c>
    </row>
    <row r="211" spans="2:35" x14ac:dyDescent="0.25">
      <c r="B211" s="163" t="str">
        <f>'Market Data'!$B$35</f>
        <v>MRK</v>
      </c>
      <c r="C211" s="160">
        <f>Statistics!$G$37</f>
        <v>1.1473476041634185E-2</v>
      </c>
      <c r="E211" s="168">
        <v>0</v>
      </c>
      <c r="F211" s="85" t="str">
        <v>MRK</v>
      </c>
      <c r="G211" s="179">
        <v>6.6280896407091964E-4</v>
      </c>
      <c r="H211" s="180">
        <v>9.5675499919051471E-4</v>
      </c>
      <c r="I211" s="180">
        <v>1.3506721993334096E-3</v>
      </c>
      <c r="J211" s="180">
        <v>1.6454661341138513E-3</v>
      </c>
      <c r="K211" s="180">
        <v>1.2877752599161352E-3</v>
      </c>
      <c r="L211" s="180">
        <v>1.0548817345930506E-3</v>
      </c>
      <c r="M211" s="180">
        <v>2.1034755337789339E-3</v>
      </c>
      <c r="N211" s="180">
        <v>1.1180874248259017E-3</v>
      </c>
      <c r="O211" s="180">
        <v>7.4080885300837902E-4</v>
      </c>
      <c r="P211" s="180">
        <v>9.5059394038900442E-4</v>
      </c>
      <c r="Q211" s="180">
        <v>7.161428946835201E-4</v>
      </c>
      <c r="R211" s="180">
        <v>1.0097860441379664E-3</v>
      </c>
      <c r="S211" s="180">
        <v>1.2481991200788169E-3</v>
      </c>
      <c r="T211" s="180">
        <v>7.8932636294384688E-4</v>
      </c>
      <c r="U211" s="180">
        <v>9.9035410413519649E-4</v>
      </c>
      <c r="V211" s="180">
        <v>5.6925923112739025E-4</v>
      </c>
      <c r="W211" s="180">
        <v>5.886623345512683E-4</v>
      </c>
      <c r="X211" s="180">
        <v>9.3087542856500223E-4</v>
      </c>
      <c r="Y211" s="180">
        <v>2.5431403633519077E-3</v>
      </c>
      <c r="Z211" s="180">
        <v>1.0039618395335291E-3</v>
      </c>
      <c r="AA211" s="180">
        <v>3.4083858597475385E-4</v>
      </c>
      <c r="AB211" s="180">
        <v>1.3412346285691251E-3</v>
      </c>
      <c r="AC211" s="180">
        <v>3.7529952314904947E-4</v>
      </c>
      <c r="AD211" s="180">
        <v>8.5985137540516086E-4</v>
      </c>
      <c r="AE211" s="180">
        <v>1.4646144344401168E-3</v>
      </c>
      <c r="AF211" s="180">
        <v>3.3006228708408361E-4</v>
      </c>
      <c r="AG211" s="180">
        <v>1.1984054366898813E-3</v>
      </c>
      <c r="AH211" s="180">
        <v>4.389896882024129E-4</v>
      </c>
      <c r="AI211" s="181">
        <v>5.8214330295854532E-4</v>
      </c>
    </row>
    <row r="212" spans="2:35" x14ac:dyDescent="0.25">
      <c r="B212" s="163" t="str">
        <f>'Market Data'!$B$36</f>
        <v>MSFT</v>
      </c>
      <c r="C212" s="160">
        <f>Statistics!$G$38</f>
        <v>2.1777833497491961E-2</v>
      </c>
      <c r="E212" s="168">
        <v>0</v>
      </c>
      <c r="F212" s="85" t="str">
        <v>MSFT</v>
      </c>
      <c r="G212" s="179">
        <v>1.7656054736670385E-3</v>
      </c>
      <c r="H212" s="180">
        <v>1.7453927826798744E-3</v>
      </c>
      <c r="I212" s="180">
        <v>1.4618979219237266E-3</v>
      </c>
      <c r="J212" s="180">
        <v>2.2842322526096018E-3</v>
      </c>
      <c r="K212" s="180">
        <v>2.1511833371391734E-3</v>
      </c>
      <c r="L212" s="180">
        <v>1.921523261676006E-3</v>
      </c>
      <c r="M212" s="180">
        <v>3.4647817866697963E-3</v>
      </c>
      <c r="N212" s="180">
        <v>1.7514488094562146E-3</v>
      </c>
      <c r="O212" s="180">
        <v>2.1782812682115105E-3</v>
      </c>
      <c r="P212" s="180">
        <v>1.9881521509949444E-3</v>
      </c>
      <c r="Q212" s="180">
        <v>1.0017697174583111E-3</v>
      </c>
      <c r="R212" s="180">
        <v>1.4353906099659559E-3</v>
      </c>
      <c r="S212" s="180">
        <v>2.824290151917595E-3</v>
      </c>
      <c r="T212" s="180">
        <v>8.3950208317612799E-4</v>
      </c>
      <c r="U212" s="180">
        <v>2.1029083027690664E-3</v>
      </c>
      <c r="V212" s="180">
        <v>1.0711085481253278E-3</v>
      </c>
      <c r="W212" s="180">
        <v>1.2284698745461862E-3</v>
      </c>
      <c r="X212" s="180">
        <v>9.5021437706372129E-4</v>
      </c>
      <c r="Y212" s="180">
        <v>1.0039618395335291E-3</v>
      </c>
      <c r="Z212" s="180">
        <v>4.5817164894349687E-3</v>
      </c>
      <c r="AA212" s="180">
        <v>9.1111393401995618E-4</v>
      </c>
      <c r="AB212" s="180">
        <v>1.1007292150403058E-3</v>
      </c>
      <c r="AC212" s="180">
        <v>1.0300601718935634E-3</v>
      </c>
      <c r="AD212" s="180">
        <v>2.4058610256342332E-4</v>
      </c>
      <c r="AE212" s="180">
        <v>9.3007091875184366E-4</v>
      </c>
      <c r="AF212" s="180">
        <v>7.4555370224549768E-4</v>
      </c>
      <c r="AG212" s="180">
        <v>1.5294825998788863E-3</v>
      </c>
      <c r="AH212" s="180">
        <v>-3.4970831020819231E-4</v>
      </c>
      <c r="AI212" s="181">
        <v>1.2219742467918569E-3</v>
      </c>
    </row>
    <row r="213" spans="2:35" x14ac:dyDescent="0.25">
      <c r="B213" s="163" t="str">
        <f>'Market Data'!$B$37</f>
        <v>NKE</v>
      </c>
      <c r="C213" s="160">
        <f>Statistics!$G$39</f>
        <v>1.5970247269241938E-2</v>
      </c>
      <c r="E213" s="168">
        <v>5.450347227731215E-2</v>
      </c>
      <c r="F213" s="85" t="str">
        <v>NKE</v>
      </c>
      <c r="G213" s="179">
        <v>7.4054258425286133E-4</v>
      </c>
      <c r="H213" s="180">
        <v>9.1418204127611028E-4</v>
      </c>
      <c r="I213" s="180">
        <v>1.1825978430535619E-3</v>
      </c>
      <c r="J213" s="180">
        <v>-1.1104731462091626E-4</v>
      </c>
      <c r="K213" s="180">
        <v>7.2136303147440504E-4</v>
      </c>
      <c r="L213" s="180">
        <v>-3.0145919518466895E-4</v>
      </c>
      <c r="M213" s="180">
        <v>1.371253710214986E-3</v>
      </c>
      <c r="N213" s="180">
        <v>1.1713887062549742E-3</v>
      </c>
      <c r="O213" s="180">
        <v>6.8149888740689005E-4</v>
      </c>
      <c r="P213" s="180">
        <v>9.2810945195530823E-4</v>
      </c>
      <c r="Q213" s="180">
        <v>7.3578315539153108E-4</v>
      </c>
      <c r="R213" s="180">
        <v>1.3757321359017424E-4</v>
      </c>
      <c r="S213" s="180">
        <v>5.7515792739731505E-4</v>
      </c>
      <c r="T213" s="180">
        <v>2.4076387457302071E-4</v>
      </c>
      <c r="U213" s="180">
        <v>6.7839144071882979E-4</v>
      </c>
      <c r="V213" s="180">
        <v>4.3589033448327737E-4</v>
      </c>
      <c r="W213" s="180">
        <v>4.3355644868225306E-4</v>
      </c>
      <c r="X213" s="180">
        <v>7.5220949128439868E-4</v>
      </c>
      <c r="Y213" s="180">
        <v>3.4083858597475385E-4</v>
      </c>
      <c r="Z213" s="180">
        <v>9.1111393401995618E-4</v>
      </c>
      <c r="AA213" s="180">
        <v>2.7193308407813446E-3</v>
      </c>
      <c r="AB213" s="180">
        <v>5.6615292191577104E-4</v>
      </c>
      <c r="AC213" s="180">
        <v>3.6538493696828688E-4</v>
      </c>
      <c r="AD213" s="180">
        <v>8.9669180264711685E-5</v>
      </c>
      <c r="AE213" s="180">
        <v>4.9140530374502923E-4</v>
      </c>
      <c r="AF213" s="180">
        <v>1.0278859564771125E-5</v>
      </c>
      <c r="AG213" s="180">
        <v>1.2162400994020978E-3</v>
      </c>
      <c r="AH213" s="180">
        <v>1.3266739677968515E-5</v>
      </c>
      <c r="AI213" s="181">
        <v>-1.9722713194093662E-4</v>
      </c>
    </row>
    <row r="214" spans="2:35" x14ac:dyDescent="0.25">
      <c r="B214" s="163" t="str">
        <f>'Market Data'!$B$38</f>
        <v>PFE</v>
      </c>
      <c r="C214" s="160">
        <f>Statistics!$G$40</f>
        <v>7.6042605716081235E-3</v>
      </c>
      <c r="E214" s="168">
        <v>0</v>
      </c>
      <c r="F214" s="85" t="str">
        <v>PFE</v>
      </c>
      <c r="G214" s="179">
        <v>1.105136574328315E-3</v>
      </c>
      <c r="H214" s="180">
        <v>1.0081234358528435E-3</v>
      </c>
      <c r="I214" s="180">
        <v>1.2950969606515986E-3</v>
      </c>
      <c r="J214" s="180">
        <v>7.9610645869862182E-4</v>
      </c>
      <c r="K214" s="180">
        <v>1.5185012123350332E-3</v>
      </c>
      <c r="L214" s="180">
        <v>1.0966581694716135E-3</v>
      </c>
      <c r="M214" s="180">
        <v>2.2541080192876768E-3</v>
      </c>
      <c r="N214" s="180">
        <v>1.4909638464124207E-3</v>
      </c>
      <c r="O214" s="180">
        <v>1.1596920910434683E-3</v>
      </c>
      <c r="P214" s="180">
        <v>1.2974763649140325E-3</v>
      </c>
      <c r="Q214" s="180">
        <v>8.5234066580948517E-4</v>
      </c>
      <c r="R214" s="180">
        <v>7.9545047293496068E-4</v>
      </c>
      <c r="S214" s="180">
        <v>9.9184976149502301E-4</v>
      </c>
      <c r="T214" s="180">
        <v>1.174922395291398E-3</v>
      </c>
      <c r="U214" s="180">
        <v>1.3592270505613203E-3</v>
      </c>
      <c r="V214" s="180">
        <v>6.3614560547018231E-4</v>
      </c>
      <c r="W214" s="180">
        <v>9.4939047744066322E-4</v>
      </c>
      <c r="X214" s="180">
        <v>1.1108584905280188E-3</v>
      </c>
      <c r="Y214" s="180">
        <v>1.3412346285691251E-3</v>
      </c>
      <c r="Z214" s="180">
        <v>1.1007292150403058E-3</v>
      </c>
      <c r="AA214" s="180">
        <v>5.6615292191577104E-4</v>
      </c>
      <c r="AB214" s="180">
        <v>2.4354805215546461E-3</v>
      </c>
      <c r="AC214" s="180">
        <v>7.7698221980775051E-4</v>
      </c>
      <c r="AD214" s="180">
        <v>7.5423895885674786E-4</v>
      </c>
      <c r="AE214" s="180">
        <v>1.3524566727664237E-3</v>
      </c>
      <c r="AF214" s="180">
        <v>6.9733723903610885E-4</v>
      </c>
      <c r="AG214" s="180">
        <v>1.6142857385330945E-3</v>
      </c>
      <c r="AH214" s="180">
        <v>6.1756439897017149E-4</v>
      </c>
      <c r="AI214" s="181">
        <v>8.1835922434987771E-4</v>
      </c>
    </row>
    <row r="215" spans="2:35" x14ac:dyDescent="0.25">
      <c r="B215" s="163" t="str">
        <f>'Market Data'!$B$39</f>
        <v>PG</v>
      </c>
      <c r="C215" s="160">
        <f>Statistics!$G$41</f>
        <v>6.7668222923833359E-3</v>
      </c>
      <c r="E215" s="168">
        <v>0</v>
      </c>
      <c r="F215" s="85" t="str">
        <v>PG</v>
      </c>
      <c r="G215" s="179">
        <v>1.0336127768185608E-3</v>
      </c>
      <c r="H215" s="180">
        <v>4.150551569421239E-4</v>
      </c>
      <c r="I215" s="180">
        <v>5.997217417536032E-4</v>
      </c>
      <c r="J215" s="180">
        <v>4.9254664842985144E-4</v>
      </c>
      <c r="K215" s="180">
        <v>1.0690588122897406E-3</v>
      </c>
      <c r="L215" s="180">
        <v>8.4385070363078498E-4</v>
      </c>
      <c r="M215" s="180">
        <v>1.1783213677355128E-3</v>
      </c>
      <c r="N215" s="180">
        <v>6.6920552953337459E-4</v>
      </c>
      <c r="O215" s="180">
        <v>8.669689440805547E-4</v>
      </c>
      <c r="P215" s="180">
        <v>6.8796273406052837E-4</v>
      </c>
      <c r="Q215" s="180">
        <v>4.7474349038820928E-4</v>
      </c>
      <c r="R215" s="180">
        <v>5.5361049131124631E-4</v>
      </c>
      <c r="S215" s="180">
        <v>7.9168442412031782E-4</v>
      </c>
      <c r="T215" s="180">
        <v>7.8676359672877393E-4</v>
      </c>
      <c r="U215" s="180">
        <v>7.2953612857905574E-4</v>
      </c>
      <c r="V215" s="180">
        <v>6.5740070509151668E-4</v>
      </c>
      <c r="W215" s="180">
        <v>4.0611550084338323E-4</v>
      </c>
      <c r="X215" s="180">
        <v>7.8023777188204919E-4</v>
      </c>
      <c r="Y215" s="180">
        <v>3.7529952314904947E-4</v>
      </c>
      <c r="Z215" s="180">
        <v>1.0300601718935634E-3</v>
      </c>
      <c r="AA215" s="180">
        <v>3.6538493696828688E-4</v>
      </c>
      <c r="AB215" s="180">
        <v>7.7698221980775051E-4</v>
      </c>
      <c r="AC215" s="180">
        <v>1.4111752678343567E-3</v>
      </c>
      <c r="AD215" s="180">
        <v>1.723275330802805E-4</v>
      </c>
      <c r="AE215" s="180">
        <v>6.4008748533685535E-4</v>
      </c>
      <c r="AF215" s="180">
        <v>2.3535220881827705E-4</v>
      </c>
      <c r="AG215" s="180">
        <v>9.2172519542926422E-4</v>
      </c>
      <c r="AH215" s="180">
        <v>7.2490049760504278E-4</v>
      </c>
      <c r="AI215" s="181">
        <v>6.1092932367000222E-4</v>
      </c>
    </row>
    <row r="216" spans="2:35" x14ac:dyDescent="0.25">
      <c r="B216" s="163" t="str">
        <f>'Market Data'!$B$40</f>
        <v>UNH</v>
      </c>
      <c r="C216" s="160">
        <f>Statistics!$G$42</f>
        <v>2.4695057092687361E-2</v>
      </c>
      <c r="E216" s="168">
        <v>0</v>
      </c>
      <c r="F216" s="85" t="str">
        <v>UNH</v>
      </c>
      <c r="G216" s="179">
        <v>5.5673881663560775E-4</v>
      </c>
      <c r="H216" s="180">
        <v>9.035040942327959E-4</v>
      </c>
      <c r="I216" s="180">
        <v>6.5863568330466196E-4</v>
      </c>
      <c r="J216" s="180">
        <v>7.8373416165496384E-4</v>
      </c>
      <c r="K216" s="180">
        <v>1.0321561899434074E-3</v>
      </c>
      <c r="L216" s="180">
        <v>8.9699068571536217E-4</v>
      </c>
      <c r="M216" s="180">
        <v>1.3915459916452729E-3</v>
      </c>
      <c r="N216" s="180">
        <v>9.9320622386439117E-4</v>
      </c>
      <c r="O216" s="180">
        <v>6.9406421327386882E-4</v>
      </c>
      <c r="P216" s="180">
        <v>1.248419321363809E-3</v>
      </c>
      <c r="Q216" s="180">
        <v>6.4915062582396636E-4</v>
      </c>
      <c r="R216" s="180">
        <v>8.8298395118505178E-4</v>
      </c>
      <c r="S216" s="180">
        <v>5.6633014876153942E-4</v>
      </c>
      <c r="T216" s="180">
        <v>4.4624886795118808E-4</v>
      </c>
      <c r="U216" s="180">
        <v>1.2617149248905092E-3</v>
      </c>
      <c r="V216" s="180">
        <v>1.2737483924284157E-4</v>
      </c>
      <c r="W216" s="180">
        <v>3.5874031329227935E-4</v>
      </c>
      <c r="X216" s="180">
        <v>9.8369986573183495E-4</v>
      </c>
      <c r="Y216" s="180">
        <v>8.5985137540516086E-4</v>
      </c>
      <c r="Z216" s="180">
        <v>2.4058610256342332E-4</v>
      </c>
      <c r="AA216" s="180">
        <v>8.9669180264711685E-5</v>
      </c>
      <c r="AB216" s="180">
        <v>7.5423895885674786E-4</v>
      </c>
      <c r="AC216" s="180">
        <v>1.723275330802805E-4</v>
      </c>
      <c r="AD216" s="180">
        <v>1.9588021355587989E-3</v>
      </c>
      <c r="AE216" s="180">
        <v>1.3013762269017E-3</v>
      </c>
      <c r="AF216" s="180">
        <v>4.3562344006968111E-4</v>
      </c>
      <c r="AG216" s="180">
        <v>6.7255745531353401E-4</v>
      </c>
      <c r="AH216" s="180">
        <v>2.5472583633253342E-4</v>
      </c>
      <c r="AI216" s="181">
        <v>7.6037739981613735E-4</v>
      </c>
    </row>
    <row r="217" spans="2:35" x14ac:dyDescent="0.25">
      <c r="B217" s="163" t="str">
        <f>'Market Data'!$B$41</f>
        <v>UTX</v>
      </c>
      <c r="C217" s="160">
        <f>Statistics!$G$43</f>
        <v>7.3861111519648165E-3</v>
      </c>
      <c r="E217" s="168">
        <v>0</v>
      </c>
      <c r="F217" s="85" t="str">
        <v>UTX</v>
      </c>
      <c r="G217" s="179">
        <v>1.2367738317379871E-3</v>
      </c>
      <c r="H217" s="180">
        <v>1.9679940702890687E-3</v>
      </c>
      <c r="I217" s="180">
        <v>1.846395156096473E-3</v>
      </c>
      <c r="J217" s="180">
        <v>2.1924453554447642E-3</v>
      </c>
      <c r="K217" s="180">
        <v>2.0848208418056797E-3</v>
      </c>
      <c r="L217" s="180">
        <v>1.7655731333339048E-3</v>
      </c>
      <c r="M217" s="180">
        <v>3.4844332298577191E-3</v>
      </c>
      <c r="N217" s="180">
        <v>1.6618009644053405E-3</v>
      </c>
      <c r="O217" s="180">
        <v>1.9210155408337607E-3</v>
      </c>
      <c r="P217" s="180">
        <v>2.1674424403236793E-3</v>
      </c>
      <c r="Q217" s="180">
        <v>1.2386809813748902E-3</v>
      </c>
      <c r="R217" s="180">
        <v>1.5169272523521361E-3</v>
      </c>
      <c r="S217" s="180">
        <v>1.2132957377483657E-3</v>
      </c>
      <c r="T217" s="180">
        <v>1.0117367356107026E-3</v>
      </c>
      <c r="U217" s="180">
        <v>1.8453743354725578E-3</v>
      </c>
      <c r="V217" s="180">
        <v>5.7087013169956707E-4</v>
      </c>
      <c r="W217" s="180">
        <v>8.7888532505727346E-4</v>
      </c>
      <c r="X217" s="180">
        <v>1.8471574472775569E-3</v>
      </c>
      <c r="Y217" s="180">
        <v>1.4646144344401168E-3</v>
      </c>
      <c r="Z217" s="180">
        <v>9.3007091875184366E-4</v>
      </c>
      <c r="AA217" s="180">
        <v>4.9140530374502923E-4</v>
      </c>
      <c r="AB217" s="180">
        <v>1.3524566727664237E-3</v>
      </c>
      <c r="AC217" s="180">
        <v>6.4008748533685535E-4</v>
      </c>
      <c r="AD217" s="180">
        <v>1.3013762269017E-3</v>
      </c>
      <c r="AE217" s="180">
        <v>3.1502830070701034E-3</v>
      </c>
      <c r="AF217" s="180">
        <v>3.2120511051046262E-4</v>
      </c>
      <c r="AG217" s="180">
        <v>1.6964262161404888E-3</v>
      </c>
      <c r="AH217" s="180">
        <v>2.8814451862251201E-4</v>
      </c>
      <c r="AI217" s="181">
        <v>1.3259012920786922E-3</v>
      </c>
    </row>
    <row r="218" spans="2:35" x14ac:dyDescent="0.25">
      <c r="B218" s="163" t="str">
        <f>'Market Data'!$B$42</f>
        <v>VZ</v>
      </c>
      <c r="C218" s="160">
        <f>Statistics!$G$44</f>
        <v>5.0086030759070753E-3</v>
      </c>
      <c r="E218" s="168">
        <v>0.11617530899385012</v>
      </c>
      <c r="F218" s="85" t="str">
        <v>VZ</v>
      </c>
      <c r="G218" s="179">
        <v>1.8457278448214234E-4</v>
      </c>
      <c r="H218" s="180">
        <v>-7.7366109832012643E-5</v>
      </c>
      <c r="I218" s="180">
        <v>3.7914592931386057E-4</v>
      </c>
      <c r="J218" s="180">
        <v>6.8929109799853135E-4</v>
      </c>
      <c r="K218" s="180">
        <v>5.9888719676582812E-4</v>
      </c>
      <c r="L218" s="180">
        <v>7.5916190680994219E-4</v>
      </c>
      <c r="M218" s="180">
        <v>9.2727826439514978E-4</v>
      </c>
      <c r="N218" s="180">
        <v>5.8624704841600517E-4</v>
      </c>
      <c r="O218" s="180">
        <v>1.0256274934399997E-3</v>
      </c>
      <c r="P218" s="180">
        <v>3.7523862948950627E-4</v>
      </c>
      <c r="Q218" s="180">
        <v>1.1189073531181803E-4</v>
      </c>
      <c r="R218" s="180">
        <v>2.033685246020378E-4</v>
      </c>
      <c r="S218" s="180">
        <v>8.2166255763751334E-4</v>
      </c>
      <c r="T218" s="180">
        <v>7.3214708969514145E-4</v>
      </c>
      <c r="U218" s="180">
        <v>3.9836144643633019E-4</v>
      </c>
      <c r="V218" s="180">
        <v>4.9096142938173941E-4</v>
      </c>
      <c r="W218" s="180">
        <v>6.7734327840461236E-4</v>
      </c>
      <c r="X218" s="180">
        <v>5.9539589470078522E-4</v>
      </c>
      <c r="Y218" s="180">
        <v>3.3006228708408361E-4</v>
      </c>
      <c r="Z218" s="180">
        <v>7.4555370224549768E-4</v>
      </c>
      <c r="AA218" s="180">
        <v>1.0278859564771125E-5</v>
      </c>
      <c r="AB218" s="180">
        <v>6.9733723903610885E-4</v>
      </c>
      <c r="AC218" s="180">
        <v>2.3535220881827705E-4</v>
      </c>
      <c r="AD218" s="180">
        <v>4.3562344006968111E-4</v>
      </c>
      <c r="AE218" s="180">
        <v>3.2120511051046262E-4</v>
      </c>
      <c r="AF218" s="180">
        <v>2.0420562729853461E-3</v>
      </c>
      <c r="AG218" s="180">
        <v>3.5270826394507459E-4</v>
      </c>
      <c r="AH218" s="180">
        <v>4.5696587310639262E-4</v>
      </c>
      <c r="AI218" s="181">
        <v>6.4524949399266879E-4</v>
      </c>
    </row>
    <row r="219" spans="2:35" x14ac:dyDescent="0.25">
      <c r="B219" s="163" t="str">
        <f>'Market Data'!$B$43</f>
        <v>V</v>
      </c>
      <c r="C219" s="160">
        <f>Statistics!$G$45</f>
        <v>1.7947618128132319E-2</v>
      </c>
      <c r="E219" s="168">
        <v>8.1560749316781527E-7</v>
      </c>
      <c r="F219" s="85" t="str">
        <v>V</v>
      </c>
      <c r="G219" s="179">
        <v>1.5697677901095443E-3</v>
      </c>
      <c r="H219" s="180">
        <v>2.1563583115517065E-3</v>
      </c>
      <c r="I219" s="180">
        <v>2.2475777063178958E-3</v>
      </c>
      <c r="J219" s="180">
        <v>1.4624027030174886E-3</v>
      </c>
      <c r="K219" s="180">
        <v>2.8598074505702059E-3</v>
      </c>
      <c r="L219" s="180">
        <v>9.2897312946466114E-4</v>
      </c>
      <c r="M219" s="180">
        <v>3.0677861856869904E-3</v>
      </c>
      <c r="N219" s="180">
        <v>2.2204011828610088E-3</v>
      </c>
      <c r="O219" s="180">
        <v>1.7646874198991678E-3</v>
      </c>
      <c r="P219" s="180">
        <v>2.0541307067505868E-3</v>
      </c>
      <c r="Q219" s="180">
        <v>1.2055891827737501E-3</v>
      </c>
      <c r="R219" s="180">
        <v>1.2306885914741903E-3</v>
      </c>
      <c r="S219" s="180">
        <v>1.8678530672680304E-3</v>
      </c>
      <c r="T219" s="180">
        <v>8.2747273857601913E-4</v>
      </c>
      <c r="U219" s="180">
        <v>1.9463933682734615E-3</v>
      </c>
      <c r="V219" s="180">
        <v>9.4999344105865064E-4</v>
      </c>
      <c r="W219" s="180">
        <v>1.0020182531469391E-3</v>
      </c>
      <c r="X219" s="180">
        <v>1.59984129324471E-3</v>
      </c>
      <c r="Y219" s="180">
        <v>1.1984054366898813E-3</v>
      </c>
      <c r="Z219" s="180">
        <v>1.5294825998788863E-3</v>
      </c>
      <c r="AA219" s="180">
        <v>1.2162400994020978E-3</v>
      </c>
      <c r="AB219" s="180">
        <v>1.6142857385330945E-3</v>
      </c>
      <c r="AC219" s="180">
        <v>9.2172519542926422E-4</v>
      </c>
      <c r="AD219" s="180">
        <v>6.7255745531353401E-4</v>
      </c>
      <c r="AE219" s="180">
        <v>1.6964262161404888E-3</v>
      </c>
      <c r="AF219" s="180">
        <v>3.5270826394507459E-4</v>
      </c>
      <c r="AG219" s="180">
        <v>3.6944718915923875E-3</v>
      </c>
      <c r="AH219" s="180">
        <v>2.1280259291490004E-4</v>
      </c>
      <c r="AI219" s="181">
        <v>9.4116112769672574E-4</v>
      </c>
    </row>
    <row r="220" spans="2:35" x14ac:dyDescent="0.25">
      <c r="B220" s="163" t="str">
        <f>'Market Data'!$B$44</f>
        <v>WMT</v>
      </c>
      <c r="C220" s="160">
        <f>Statistics!$G$46</f>
        <v>1.8437214178450567E-3</v>
      </c>
      <c r="E220" s="168">
        <v>0.28166296581297307</v>
      </c>
      <c r="F220" s="85" t="str">
        <v>WMT</v>
      </c>
      <c r="G220" s="179">
        <v>5.7975796375205426E-4</v>
      </c>
      <c r="H220" s="180">
        <v>2.6973274792062105E-5</v>
      </c>
      <c r="I220" s="180">
        <v>1.7979190170774528E-4</v>
      </c>
      <c r="J220" s="180">
        <v>-2.1581932882750213E-4</v>
      </c>
      <c r="K220" s="180">
        <v>3.2563207166723412E-4</v>
      </c>
      <c r="L220" s="180">
        <v>1.437380584121094E-4</v>
      </c>
      <c r="M220" s="180">
        <v>-2.3301122426120984E-5</v>
      </c>
      <c r="N220" s="180">
        <v>-1.1672694641114529E-4</v>
      </c>
      <c r="O220" s="180">
        <v>3.1986346053900631E-5</v>
      </c>
      <c r="P220" s="180">
        <v>-5.4295264980806504E-5</v>
      </c>
      <c r="Q220" s="180">
        <v>1.9815526434870993E-4</v>
      </c>
      <c r="R220" s="180">
        <v>3.7610030291999273E-4</v>
      </c>
      <c r="S220" s="180">
        <v>-1.8556188989019865E-5</v>
      </c>
      <c r="T220" s="180">
        <v>7.1470891411086447E-4</v>
      </c>
      <c r="U220" s="180">
        <v>7.503242005510376E-5</v>
      </c>
      <c r="V220" s="180">
        <v>6.4703627119224946E-4</v>
      </c>
      <c r="W220" s="180">
        <v>4.237060092283065E-5</v>
      </c>
      <c r="X220" s="180">
        <v>4.5051539698961655E-4</v>
      </c>
      <c r="Y220" s="180">
        <v>4.389896882024129E-4</v>
      </c>
      <c r="Z220" s="180">
        <v>-3.4970831020819231E-4</v>
      </c>
      <c r="AA220" s="180">
        <v>1.3266739677968515E-5</v>
      </c>
      <c r="AB220" s="180">
        <v>6.1756439897017149E-4</v>
      </c>
      <c r="AC220" s="180">
        <v>7.2490049760504278E-4</v>
      </c>
      <c r="AD220" s="180">
        <v>2.5472583633253342E-4</v>
      </c>
      <c r="AE220" s="180">
        <v>2.8814451862251201E-4</v>
      </c>
      <c r="AF220" s="180">
        <v>4.5696587310639262E-4</v>
      </c>
      <c r="AG220" s="180">
        <v>2.1280259291490004E-4</v>
      </c>
      <c r="AH220" s="180">
        <v>1.9253008332035728E-3</v>
      </c>
      <c r="AI220" s="181">
        <v>9.9417778748729687E-5</v>
      </c>
    </row>
    <row r="221" spans="2:35" x14ac:dyDescent="0.25">
      <c r="B221" s="164" t="str">
        <f>'Market Data'!$B$45</f>
        <v>XOM</v>
      </c>
      <c r="C221" s="165">
        <f>Statistics!$G$47</f>
        <v>1.7101166353118678E-3</v>
      </c>
      <c r="E221" s="169">
        <v>0.26519739889473293</v>
      </c>
      <c r="F221" s="86" t="str">
        <v>XOM</v>
      </c>
      <c r="G221" s="179">
        <v>8.3126780280069973E-4</v>
      </c>
      <c r="H221" s="180">
        <v>9.0240454872836753E-4</v>
      </c>
      <c r="I221" s="180">
        <v>5.5785917505375118E-4</v>
      </c>
      <c r="J221" s="180">
        <v>1.368945659107327E-3</v>
      </c>
      <c r="K221" s="180">
        <v>1.3701802479257339E-3</v>
      </c>
      <c r="L221" s="180">
        <v>1.9286286807754067E-3</v>
      </c>
      <c r="M221" s="180">
        <v>2.1182301102402332E-3</v>
      </c>
      <c r="N221" s="180">
        <v>1.3292278052638991E-3</v>
      </c>
      <c r="O221" s="180">
        <v>1.6264073394302158E-3</v>
      </c>
      <c r="P221" s="180">
        <v>1.4387650786059658E-3</v>
      </c>
      <c r="Q221" s="180">
        <v>5.7016164369997474E-4</v>
      </c>
      <c r="R221" s="180">
        <v>1.0970123689928199E-3</v>
      </c>
      <c r="S221" s="180">
        <v>1.0791409093812321E-3</v>
      </c>
      <c r="T221" s="180">
        <v>7.4627799983375924E-4</v>
      </c>
      <c r="U221" s="180">
        <v>1.3958094738143344E-3</v>
      </c>
      <c r="V221" s="180">
        <v>5.1805651820066112E-4</v>
      </c>
      <c r="W221" s="180">
        <v>6.6389606634421081E-4</v>
      </c>
      <c r="X221" s="180">
        <v>1.2697174541958882E-3</v>
      </c>
      <c r="Y221" s="180">
        <v>5.8214330295854532E-4</v>
      </c>
      <c r="Z221" s="180">
        <v>1.2219742467918569E-3</v>
      </c>
      <c r="AA221" s="180">
        <v>-1.9722713194093662E-4</v>
      </c>
      <c r="AB221" s="180">
        <v>8.1835922434987771E-4</v>
      </c>
      <c r="AC221" s="180">
        <v>6.1092932367000222E-4</v>
      </c>
      <c r="AD221" s="180">
        <v>7.6037739981613735E-4</v>
      </c>
      <c r="AE221" s="180">
        <v>1.3259012920786922E-3</v>
      </c>
      <c r="AF221" s="180">
        <v>6.4524949399266879E-4</v>
      </c>
      <c r="AG221" s="180">
        <v>9.4116112769672574E-4</v>
      </c>
      <c r="AH221" s="180">
        <v>9.9417778748729687E-5</v>
      </c>
      <c r="AI221" s="181">
        <v>1.845802781732033E-3</v>
      </c>
    </row>
    <row r="222" spans="2:35" x14ac:dyDescent="0.25">
      <c r="B222" s="3"/>
      <c r="C222" s="3"/>
      <c r="D222" s="3"/>
      <c r="E222" s="182">
        <f>SUM(E193:E221)</f>
        <v>0.99999999999999978</v>
      </c>
      <c r="F222" s="3"/>
      <c r="G222" s="184">
        <f>_xll.SumProduct2(TR2_PORTFOLIO_WEIGHTS,G193:G221)*G191</f>
        <v>0</v>
      </c>
      <c r="H222" s="185">
        <f>_xll.SumProduct2(TR2_PORTFOLIO_WEIGHTS,H193:H221)*H191</f>
        <v>9.3169929273559971E-7</v>
      </c>
      <c r="I222" s="185">
        <f>_xll.SumProduct2(TR2_PORTFOLIO_WEIGHTS,I193:I221)*I191</f>
        <v>0</v>
      </c>
      <c r="J222" s="185">
        <f>_xll.SumProduct2(TR2_PORTFOLIO_WEIGHTS,J193:J221)*J191</f>
        <v>0</v>
      </c>
      <c r="K222" s="185">
        <f>_xll.SumProduct2(TR2_PORTFOLIO_WEIGHTS,K193:K221)*K191</f>
        <v>0</v>
      </c>
      <c r="L222" s="185">
        <f>_xll.SumProduct2(TR2_PORTFOLIO_WEIGHTS,L193:L221)*L191</f>
        <v>0</v>
      </c>
      <c r="M222" s="185">
        <f>_xll.SumProduct2(TR2_PORTFOLIO_WEIGHTS,M193:M221)*M191</f>
        <v>0</v>
      </c>
      <c r="N222" s="185">
        <f>_xll.SumProduct2(TR2_PORTFOLIO_WEIGHTS,N193:N221)*N191</f>
        <v>0</v>
      </c>
      <c r="O222" s="185">
        <f>_xll.SumProduct2(TR2_PORTFOLIO_WEIGHTS,O193:O221)*O191</f>
        <v>0</v>
      </c>
      <c r="P222" s="185">
        <f>_xll.SumProduct2(TR2_PORTFOLIO_WEIGHTS,P193:P221)*P191</f>
        <v>0</v>
      </c>
      <c r="Q222" s="185">
        <f>_xll.SumProduct2(TR2_PORTFOLIO_WEIGHTS,Q193:Q221)*Q191</f>
        <v>0</v>
      </c>
      <c r="R222" s="185">
        <f>_xll.SumProduct2(TR2_PORTFOLIO_WEIGHTS,R193:R221)*R191</f>
        <v>8.2238357129293973E-5</v>
      </c>
      <c r="S222" s="185">
        <f>_xll.SumProduct2(TR2_PORTFOLIO_WEIGHTS,S193:S221)*S191</f>
        <v>0</v>
      </c>
      <c r="T222" s="185">
        <f>_xll.SumProduct2(TR2_PORTFOLIO_WEIGHTS,T193:T221)*T191</f>
        <v>0</v>
      </c>
      <c r="U222" s="185">
        <f>_xll.SumProduct2(TR2_PORTFOLIO_WEIGHTS,U193:U221)*U191</f>
        <v>0</v>
      </c>
      <c r="V222" s="185">
        <f>_xll.SumProduct2(TR2_PORTFOLIO_WEIGHTS,V193:V221)*V191</f>
        <v>1.2622442425091213E-4</v>
      </c>
      <c r="W222" s="185">
        <f>_xll.SumProduct2(TR2_PORTFOLIO_WEIGHTS,W193:W221)*W191</f>
        <v>0</v>
      </c>
      <c r="X222" s="185">
        <f>_xll.SumProduct2(TR2_PORTFOLIO_WEIGHTS,X193:X221)*X191</f>
        <v>0</v>
      </c>
      <c r="Y222" s="185">
        <f>_xll.SumProduct2(TR2_PORTFOLIO_WEIGHTS,Y193:Y221)*Y191</f>
        <v>0</v>
      </c>
      <c r="Z222" s="185">
        <f>_xll.SumProduct2(TR2_PORTFOLIO_WEIGHTS,Z193:Z221)*Z191</f>
        <v>0</v>
      </c>
      <c r="AA222" s="185">
        <f>_xll.SumProduct2(TR2_PORTFOLIO_WEIGHTS,AA193:AA221)*AA191</f>
        <v>1.0690904044511523E-5</v>
      </c>
      <c r="AB222" s="185">
        <f>_xll.SumProduct2(TR2_PORTFOLIO_WEIGHTS,AB193:AB221)*AB191</f>
        <v>0</v>
      </c>
      <c r="AC222" s="185">
        <f>_xll.SumProduct2(TR2_PORTFOLIO_WEIGHTS,AC193:AC221)*AC191</f>
        <v>0</v>
      </c>
      <c r="AD222" s="185">
        <f>_xll.SumProduct2(TR2_PORTFOLIO_WEIGHTS,AD193:AD221)*AD191</f>
        <v>0</v>
      </c>
      <c r="AE222" s="185">
        <f>_xll.SumProduct2(TR2_PORTFOLIO_WEIGHTS,AE193:AE221)*AE191</f>
        <v>0</v>
      </c>
      <c r="AF222" s="185">
        <f>_xll.SumProduct2(TR2_PORTFOLIO_WEIGHTS,AF193:AF221)*AF191</f>
        <v>7.5264804787281118E-5</v>
      </c>
      <c r="AG222" s="185">
        <f>_xll.SumProduct2(TR2_PORTFOLIO_WEIGHTS,AG193:AG221)*AG191</f>
        <v>5.8229175691723914E-10</v>
      </c>
      <c r="AH222" s="185">
        <f>_xll.SumProduct2(TR2_PORTFOLIO_WEIGHTS,AH193:AH221)*AH191</f>
        <v>2.1921554046849429E-4</v>
      </c>
      <c r="AI222" s="189">
        <f>_xll.SumProduct2(TR2_PORTFOLIO_WEIGHTS,AI193:AI221)*AI191</f>
        <v>2.0794352548046558E-4</v>
      </c>
    </row>
    <row r="223" spans="2:35" x14ac:dyDescent="0.25">
      <c r="B223" s="3"/>
      <c r="C223" s="3"/>
      <c r="D223" s="3"/>
      <c r="E223" s="3"/>
      <c r="F223" s="3"/>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row>
    <row r="224" spans="2:35" ht="20.25" thickBot="1" x14ac:dyDescent="0.35">
      <c r="B224" s="153" t="str">
        <f>ROUND(TR3_PORTFOLIO_TARGET_RETURN*100, LABEL_ROUNDING) &amp; "% Target Return Portfolio (TR3)"</f>
        <v>0.482% Target Return Portfolio (TR3)</v>
      </c>
      <c r="C224" s="153"/>
      <c r="D224" s="153"/>
      <c r="E224" s="154"/>
      <c r="F224" s="153"/>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row>
    <row r="225" spans="2:35" ht="15.75" thickTop="1" x14ac:dyDescent="0.25">
      <c r="B225" s="156" t="s">
        <v>70</v>
      </c>
      <c r="C225" s="159">
        <f>TR3_PORTFOLIO_TARGET_RETURN</f>
        <v>4.8178501714547855E-3</v>
      </c>
    </row>
    <row r="226" spans="2:35" x14ac:dyDescent="0.25">
      <c r="B226" s="157" t="s">
        <v>60</v>
      </c>
      <c r="C226" s="160">
        <f>_xll.SumProduct2(C231:C259,E231:E259)-RISK_FREE_RATE</f>
        <v>4.8178502360012926E-3</v>
      </c>
    </row>
    <row r="227" spans="2:35" x14ac:dyDescent="0.25">
      <c r="B227" s="157" t="s">
        <v>62</v>
      </c>
      <c r="C227" s="160">
        <f>SQRT(SUM(G260:AI260))</f>
        <v>2.497978107366406E-2</v>
      </c>
    </row>
    <row r="228" spans="2:35" x14ac:dyDescent="0.25">
      <c r="B228" s="158" t="s">
        <v>103</v>
      </c>
      <c r="C228" s="161" t="str">
        <f>_xll.TimeSeries.CovarianceMatrixCalculator.apply(COVARIANCE_MATRIX_CALCULATOR,'Efficient Frontier'!B231:B259,Statistics!$F$19:$F$47)</f>
        <v>»LabelledMatrix-16705291694770987823</v>
      </c>
      <c r="D228" t="s">
        <v>77</v>
      </c>
    </row>
    <row r="229" spans="2:35" x14ac:dyDescent="0.25">
      <c r="F229" s="111" t="s">
        <v>69</v>
      </c>
      <c r="G229" s="170">
        <f t="array" ref="G229:AI229">TRANSPOSE(E231:E259)</f>
        <v>0</v>
      </c>
      <c r="H229" s="171">
        <v>1.2945839996603216E-2</v>
      </c>
      <c r="I229" s="171">
        <v>0</v>
      </c>
      <c r="J229" s="171">
        <v>0</v>
      </c>
      <c r="K229" s="171">
        <v>0</v>
      </c>
      <c r="L229" s="171">
        <v>0</v>
      </c>
      <c r="M229" s="171">
        <v>0</v>
      </c>
      <c r="N229" s="171">
        <v>0</v>
      </c>
      <c r="O229" s="171">
        <v>0</v>
      </c>
      <c r="P229" s="171">
        <v>0</v>
      </c>
      <c r="Q229" s="171">
        <v>0</v>
      </c>
      <c r="R229" s="171">
        <v>5.8858693803468053E-2</v>
      </c>
      <c r="S229" s="171">
        <v>0</v>
      </c>
      <c r="T229" s="171">
        <v>0</v>
      </c>
      <c r="U229" s="171">
        <v>0</v>
      </c>
      <c r="V229" s="171">
        <v>0.10237545720480244</v>
      </c>
      <c r="W229" s="171">
        <v>6.3430901178793658E-2</v>
      </c>
      <c r="X229" s="171">
        <v>0</v>
      </c>
      <c r="Y229" s="171">
        <v>0</v>
      </c>
      <c r="Z229" s="171">
        <v>0</v>
      </c>
      <c r="AA229" s="171">
        <v>0.12519198580682944</v>
      </c>
      <c r="AB229" s="171">
        <v>0</v>
      </c>
      <c r="AC229" s="171">
        <v>4.9531664034920653E-2</v>
      </c>
      <c r="AD229" s="171">
        <v>0</v>
      </c>
      <c r="AE229" s="171">
        <v>0</v>
      </c>
      <c r="AF229" s="171">
        <v>0.12236740023104571</v>
      </c>
      <c r="AG229" s="171">
        <v>0</v>
      </c>
      <c r="AH229" s="171">
        <v>0.24659068765596789</v>
      </c>
      <c r="AI229" s="172">
        <v>0.21870737008756874</v>
      </c>
    </row>
    <row r="230" spans="2:35" x14ac:dyDescent="0.25">
      <c r="C230" s="111" t="s">
        <v>63</v>
      </c>
      <c r="E230" s="89" t="s">
        <v>69</v>
      </c>
      <c r="F230" s="166" t="str">
        <f t="array" ref="F230:AI259">_xll.Matrix.ExpandAsArray(C228)</f>
        <v/>
      </c>
      <c r="G230" s="173" t="str">
        <v>AAPL</v>
      </c>
      <c r="H230" s="174" t="str">
        <v>AXP</v>
      </c>
      <c r="I230" s="174" t="str">
        <v>BA</v>
      </c>
      <c r="J230" s="174" t="str">
        <v>CAT</v>
      </c>
      <c r="K230" s="174" t="str">
        <v>CSCO</v>
      </c>
      <c r="L230" s="174" t="str">
        <v>CVX</v>
      </c>
      <c r="M230" s="174" t="str">
        <v>DD</v>
      </c>
      <c r="N230" s="174" t="str">
        <v>DIS</v>
      </c>
      <c r="O230" s="174" t="str">
        <v>GE</v>
      </c>
      <c r="P230" s="174" t="str">
        <v>GS</v>
      </c>
      <c r="Q230" s="174" t="str">
        <v>HD</v>
      </c>
      <c r="R230" s="174" t="str">
        <v>IBM</v>
      </c>
      <c r="S230" s="174" t="str">
        <v>INTC</v>
      </c>
      <c r="T230" s="174" t="str">
        <v>JNJ</v>
      </c>
      <c r="U230" s="174" t="str">
        <v>JPM</v>
      </c>
      <c r="V230" s="174" t="str">
        <v>KO</v>
      </c>
      <c r="W230" s="174" t="str">
        <v>MCD</v>
      </c>
      <c r="X230" s="174" t="str">
        <v>MMM</v>
      </c>
      <c r="Y230" s="174" t="str">
        <v>MRK</v>
      </c>
      <c r="Z230" s="174" t="str">
        <v>MSFT</v>
      </c>
      <c r="AA230" s="174" t="str">
        <v>NKE</v>
      </c>
      <c r="AB230" s="174" t="str">
        <v>PFE</v>
      </c>
      <c r="AC230" s="174" t="str">
        <v>PG</v>
      </c>
      <c r="AD230" s="174" t="str">
        <v>UNH</v>
      </c>
      <c r="AE230" s="174" t="str">
        <v>UTX</v>
      </c>
      <c r="AF230" s="174" t="str">
        <v>VZ</v>
      </c>
      <c r="AG230" s="174" t="str">
        <v>V</v>
      </c>
      <c r="AH230" s="174" t="str">
        <v>WMT</v>
      </c>
      <c r="AI230" s="175" t="str">
        <v>XOM</v>
      </c>
    </row>
    <row r="231" spans="2:35" x14ac:dyDescent="0.25">
      <c r="B231" s="162" t="str">
        <f>'Market Data'!$B$17</f>
        <v>AAPL</v>
      </c>
      <c r="C231" s="159">
        <f>Statistics!$G$19</f>
        <v>2.1230184800142136E-2</v>
      </c>
      <c r="E231" s="167">
        <v>0</v>
      </c>
      <c r="F231" s="84" t="str">
        <v>AAPL</v>
      </c>
      <c r="G231" s="176">
        <v>4.5162973293162668E-3</v>
      </c>
      <c r="H231" s="177">
        <v>1.6284380645241216E-3</v>
      </c>
      <c r="I231" s="177">
        <v>1.6201491796022521E-3</v>
      </c>
      <c r="J231" s="177">
        <v>1.5690359790962263E-3</v>
      </c>
      <c r="K231" s="177">
        <v>2.3505409053430782E-3</v>
      </c>
      <c r="L231" s="177">
        <v>1.1773098260505132E-3</v>
      </c>
      <c r="M231" s="177">
        <v>2.5889638042653502E-3</v>
      </c>
      <c r="N231" s="177">
        <v>1.366655807124157E-3</v>
      </c>
      <c r="O231" s="177">
        <v>1.5698375611055285E-3</v>
      </c>
      <c r="P231" s="177">
        <v>1.8109156333145874E-3</v>
      </c>
      <c r="Q231" s="177">
        <v>9.8639311096076088E-4</v>
      </c>
      <c r="R231" s="177">
        <v>1.7737023799007877E-3</v>
      </c>
      <c r="S231" s="177">
        <v>1.6293191413582805E-3</v>
      </c>
      <c r="T231" s="177">
        <v>8.2631268301744008E-4</v>
      </c>
      <c r="U231" s="177">
        <v>1.2529926248616137E-3</v>
      </c>
      <c r="V231" s="177">
        <v>9.6129190129553134E-4</v>
      </c>
      <c r="W231" s="177">
        <v>4.3723596630614248E-4</v>
      </c>
      <c r="X231" s="177">
        <v>1.6042263123932821E-3</v>
      </c>
      <c r="Y231" s="177">
        <v>6.6280896407091964E-4</v>
      </c>
      <c r="Z231" s="177">
        <v>1.7656054736670385E-3</v>
      </c>
      <c r="AA231" s="177">
        <v>7.4054258425286133E-4</v>
      </c>
      <c r="AB231" s="177">
        <v>1.105136574328315E-3</v>
      </c>
      <c r="AC231" s="177">
        <v>1.0336127768185608E-3</v>
      </c>
      <c r="AD231" s="177">
        <v>5.5673881663560775E-4</v>
      </c>
      <c r="AE231" s="177">
        <v>1.2367738317379871E-3</v>
      </c>
      <c r="AF231" s="177">
        <v>1.8457278448214234E-4</v>
      </c>
      <c r="AG231" s="177">
        <v>1.5697677901095443E-3</v>
      </c>
      <c r="AH231" s="177">
        <v>5.7975796375205426E-4</v>
      </c>
      <c r="AI231" s="178">
        <v>8.3126780280069973E-4</v>
      </c>
    </row>
    <row r="232" spans="2:35" x14ac:dyDescent="0.25">
      <c r="B232" s="163" t="str">
        <f>'Market Data'!$B$18</f>
        <v>AXP</v>
      </c>
      <c r="C232" s="160">
        <f>Statistics!$G$20</f>
        <v>6.4918343965214677E-3</v>
      </c>
      <c r="E232" s="168">
        <v>1.2945839996603216E-2</v>
      </c>
      <c r="F232" s="85" t="str">
        <v>AXP</v>
      </c>
      <c r="G232" s="179">
        <v>1.6284380645241216E-3</v>
      </c>
      <c r="H232" s="180">
        <v>4.0660324753009668E-3</v>
      </c>
      <c r="I232" s="180">
        <v>2.3214948032735548E-3</v>
      </c>
      <c r="J232" s="180">
        <v>2.4672804057197504E-3</v>
      </c>
      <c r="K232" s="180">
        <v>2.2861035048804129E-3</v>
      </c>
      <c r="L232" s="180">
        <v>1.4106472819975181E-3</v>
      </c>
      <c r="M232" s="180">
        <v>3.0070268955997704E-3</v>
      </c>
      <c r="N232" s="180">
        <v>1.9718583562846406E-3</v>
      </c>
      <c r="O232" s="180">
        <v>1.6460552176854309E-3</v>
      </c>
      <c r="P232" s="180">
        <v>3.1197862990926528E-3</v>
      </c>
      <c r="Q232" s="180">
        <v>1.285962047454306E-3</v>
      </c>
      <c r="R232" s="180">
        <v>1.960684724858895E-3</v>
      </c>
      <c r="S232" s="180">
        <v>2.0715314739138896E-3</v>
      </c>
      <c r="T232" s="180">
        <v>7.3945969222275051E-4</v>
      </c>
      <c r="U232" s="180">
        <v>2.7840355446374721E-3</v>
      </c>
      <c r="V232" s="180">
        <v>5.6369017954212687E-4</v>
      </c>
      <c r="W232" s="180">
        <v>5.9016175595858627E-4</v>
      </c>
      <c r="X232" s="180">
        <v>1.3680882736390085E-3</v>
      </c>
      <c r="Y232" s="180">
        <v>9.5675499919051471E-4</v>
      </c>
      <c r="Z232" s="180">
        <v>1.7453927826798744E-3</v>
      </c>
      <c r="AA232" s="180">
        <v>9.1418204127611028E-4</v>
      </c>
      <c r="AB232" s="180">
        <v>1.0081234358528435E-3</v>
      </c>
      <c r="AC232" s="180">
        <v>4.150551569421239E-4</v>
      </c>
      <c r="AD232" s="180">
        <v>9.035040942327959E-4</v>
      </c>
      <c r="AE232" s="180">
        <v>1.9679940702890687E-3</v>
      </c>
      <c r="AF232" s="180">
        <v>-7.7366109832012643E-5</v>
      </c>
      <c r="AG232" s="180">
        <v>2.1563583115517065E-3</v>
      </c>
      <c r="AH232" s="180">
        <v>2.6973274792062105E-5</v>
      </c>
      <c r="AI232" s="181">
        <v>9.0240454872836753E-4</v>
      </c>
    </row>
    <row r="233" spans="2:35" x14ac:dyDescent="0.25">
      <c r="B233" s="163" t="str">
        <f>'Market Data'!$B$19</f>
        <v>BA</v>
      </c>
      <c r="C233" s="160">
        <f>Statistics!$G$21</f>
        <v>1.9250861766613322E-2</v>
      </c>
      <c r="E233" s="168">
        <v>0</v>
      </c>
      <c r="F233" s="85" t="str">
        <v>BA</v>
      </c>
      <c r="G233" s="179">
        <v>1.6201491796022521E-3</v>
      </c>
      <c r="H233" s="180">
        <v>2.3214948032735548E-3</v>
      </c>
      <c r="I233" s="180">
        <v>3.7402935775721971E-3</v>
      </c>
      <c r="J233" s="180">
        <v>1.6046317611050844E-3</v>
      </c>
      <c r="K233" s="180">
        <v>2.1240240973260023E-3</v>
      </c>
      <c r="L233" s="180">
        <v>1.3419066335272889E-3</v>
      </c>
      <c r="M233" s="180">
        <v>3.1629198402818382E-3</v>
      </c>
      <c r="N233" s="180">
        <v>2.193611301570318E-3</v>
      </c>
      <c r="O233" s="180">
        <v>1.7334051959416068E-3</v>
      </c>
      <c r="P233" s="180">
        <v>2.2391121271409182E-3</v>
      </c>
      <c r="Q233" s="180">
        <v>1.2911501083222776E-3</v>
      </c>
      <c r="R233" s="180">
        <v>1.1336433634722555E-3</v>
      </c>
      <c r="S233" s="180">
        <v>1.485647562986758E-3</v>
      </c>
      <c r="T233" s="180">
        <v>7.7470388279684329E-4</v>
      </c>
      <c r="U233" s="180">
        <v>1.8054441283061249E-3</v>
      </c>
      <c r="V233" s="180">
        <v>9.7196182882881919E-4</v>
      </c>
      <c r="W233" s="180">
        <v>1.004575731683145E-3</v>
      </c>
      <c r="X233" s="180">
        <v>1.220072170107771E-3</v>
      </c>
      <c r="Y233" s="180">
        <v>1.3506721993334096E-3</v>
      </c>
      <c r="Z233" s="180">
        <v>1.4618979219237266E-3</v>
      </c>
      <c r="AA233" s="180">
        <v>1.1825978430535619E-3</v>
      </c>
      <c r="AB233" s="180">
        <v>1.2950969606515986E-3</v>
      </c>
      <c r="AC233" s="180">
        <v>5.997217417536032E-4</v>
      </c>
      <c r="AD233" s="180">
        <v>6.5863568330466196E-4</v>
      </c>
      <c r="AE233" s="180">
        <v>1.846395156096473E-3</v>
      </c>
      <c r="AF233" s="180">
        <v>3.7914592931386057E-4</v>
      </c>
      <c r="AG233" s="180">
        <v>2.2475777063178958E-3</v>
      </c>
      <c r="AH233" s="180">
        <v>1.7979190170774528E-4</v>
      </c>
      <c r="AI233" s="181">
        <v>5.5785917505375118E-4</v>
      </c>
    </row>
    <row r="234" spans="2:35" x14ac:dyDescent="0.25">
      <c r="B234" s="163" t="str">
        <f>'Market Data'!$B$20</f>
        <v>CAT</v>
      </c>
      <c r="C234" s="160">
        <f>Statistics!$G$22</f>
        <v>6.3545919720494892E-3</v>
      </c>
      <c r="E234" s="168">
        <v>0</v>
      </c>
      <c r="F234" s="85" t="str">
        <v>CAT</v>
      </c>
      <c r="G234" s="179">
        <v>1.5690359790962263E-3</v>
      </c>
      <c r="H234" s="180">
        <v>2.4672804057197504E-3</v>
      </c>
      <c r="I234" s="180">
        <v>1.6046317611050844E-3</v>
      </c>
      <c r="J234" s="180">
        <v>4.5013491323716076E-3</v>
      </c>
      <c r="K234" s="180">
        <v>1.8532157140411887E-3</v>
      </c>
      <c r="L234" s="180">
        <v>2.2352946064681648E-3</v>
      </c>
      <c r="M234" s="180">
        <v>3.0429489894058951E-3</v>
      </c>
      <c r="N234" s="180">
        <v>1.6981712196612736E-3</v>
      </c>
      <c r="O234" s="180">
        <v>2.2046623152336968E-3</v>
      </c>
      <c r="P234" s="180">
        <v>2.3825247137119567E-3</v>
      </c>
      <c r="Q234" s="180">
        <v>1.0587514228509517E-3</v>
      </c>
      <c r="R234" s="180">
        <v>2.1554825858441308E-3</v>
      </c>
      <c r="S234" s="180">
        <v>2.3005603160952529E-3</v>
      </c>
      <c r="T234" s="180">
        <v>9.0633949973445221E-4</v>
      </c>
      <c r="U234" s="180">
        <v>2.011937601179676E-3</v>
      </c>
      <c r="V234" s="180">
        <v>6.586205973694774E-4</v>
      </c>
      <c r="W234" s="180">
        <v>1.2118483675212872E-3</v>
      </c>
      <c r="X234" s="180">
        <v>1.3778500117759705E-3</v>
      </c>
      <c r="Y234" s="180">
        <v>1.6454661341138513E-3</v>
      </c>
      <c r="Z234" s="180">
        <v>2.2842322526096018E-3</v>
      </c>
      <c r="AA234" s="180">
        <v>-1.1104731462091626E-4</v>
      </c>
      <c r="AB234" s="180">
        <v>7.9610645869862182E-4</v>
      </c>
      <c r="AC234" s="180">
        <v>4.9254664842985144E-4</v>
      </c>
      <c r="AD234" s="180">
        <v>7.8373416165496384E-4</v>
      </c>
      <c r="AE234" s="180">
        <v>2.1924453554447642E-3</v>
      </c>
      <c r="AF234" s="180">
        <v>6.8929109799853135E-4</v>
      </c>
      <c r="AG234" s="180">
        <v>1.4624027030174886E-3</v>
      </c>
      <c r="AH234" s="180">
        <v>-2.1581932882750213E-4</v>
      </c>
      <c r="AI234" s="181">
        <v>1.368945659107327E-3</v>
      </c>
    </row>
    <row r="235" spans="2:35" x14ac:dyDescent="0.25">
      <c r="B235" s="163" t="str">
        <f>'Market Data'!$B$21</f>
        <v>CSCO</v>
      </c>
      <c r="C235" s="160">
        <f>Statistics!$G$23</f>
        <v>1.4928779568119917E-2</v>
      </c>
      <c r="E235" s="168">
        <v>0</v>
      </c>
      <c r="F235" s="85" t="str">
        <v>CSCO</v>
      </c>
      <c r="G235" s="179">
        <v>2.3505409053430782E-3</v>
      </c>
      <c r="H235" s="180">
        <v>2.2861035048804129E-3</v>
      </c>
      <c r="I235" s="180">
        <v>2.1240240973260023E-3</v>
      </c>
      <c r="J235" s="180">
        <v>1.8532157140411887E-3</v>
      </c>
      <c r="K235" s="180">
        <v>4.2943797540477393E-3</v>
      </c>
      <c r="L235" s="180">
        <v>1.6495950515362169E-3</v>
      </c>
      <c r="M235" s="180">
        <v>3.7036865533827041E-3</v>
      </c>
      <c r="N235" s="180">
        <v>1.9090150380186609E-3</v>
      </c>
      <c r="O235" s="180">
        <v>2.0168425927536027E-3</v>
      </c>
      <c r="P235" s="180">
        <v>2.2177683830845976E-3</v>
      </c>
      <c r="Q235" s="180">
        <v>9.8504335267051509E-4</v>
      </c>
      <c r="R235" s="180">
        <v>2.2508292865696072E-3</v>
      </c>
      <c r="S235" s="180">
        <v>2.2625583672846289E-3</v>
      </c>
      <c r="T235" s="180">
        <v>1.1094225673998865E-3</v>
      </c>
      <c r="U235" s="180">
        <v>2.0831844183308271E-3</v>
      </c>
      <c r="V235" s="180">
        <v>1.0904984859812852E-3</v>
      </c>
      <c r="W235" s="180">
        <v>8.8656407550750189E-4</v>
      </c>
      <c r="X235" s="180">
        <v>1.6594658489014636E-3</v>
      </c>
      <c r="Y235" s="180">
        <v>1.2877752599161352E-3</v>
      </c>
      <c r="Z235" s="180">
        <v>2.1511833371391734E-3</v>
      </c>
      <c r="AA235" s="180">
        <v>7.2136303147440504E-4</v>
      </c>
      <c r="AB235" s="180">
        <v>1.5185012123350332E-3</v>
      </c>
      <c r="AC235" s="180">
        <v>1.0690588122897406E-3</v>
      </c>
      <c r="AD235" s="180">
        <v>1.0321561899434074E-3</v>
      </c>
      <c r="AE235" s="180">
        <v>2.0848208418056797E-3</v>
      </c>
      <c r="AF235" s="180">
        <v>5.9888719676582812E-4</v>
      </c>
      <c r="AG235" s="180">
        <v>2.8598074505702059E-3</v>
      </c>
      <c r="AH235" s="180">
        <v>3.2563207166723412E-4</v>
      </c>
      <c r="AI235" s="181">
        <v>1.3701802479257339E-3</v>
      </c>
    </row>
    <row r="236" spans="2:35" x14ac:dyDescent="0.25">
      <c r="B236" s="163" t="str">
        <f>'Market Data'!$B$22</f>
        <v>CVX</v>
      </c>
      <c r="C236" s="160">
        <f>Statistics!$G$24</f>
        <v>2.6845541907593424E-3</v>
      </c>
      <c r="E236" s="168">
        <v>0</v>
      </c>
      <c r="F236" s="85" t="str">
        <v>CVX</v>
      </c>
      <c r="G236" s="179">
        <v>1.1773098260505132E-3</v>
      </c>
      <c r="H236" s="180">
        <v>1.4106472819975181E-3</v>
      </c>
      <c r="I236" s="180">
        <v>1.3419066335272889E-3</v>
      </c>
      <c r="J236" s="180">
        <v>2.2352946064681648E-3</v>
      </c>
      <c r="K236" s="180">
        <v>1.6495950515362169E-3</v>
      </c>
      <c r="L236" s="180">
        <v>3.2764948408559465E-3</v>
      </c>
      <c r="M236" s="180">
        <v>2.8277959806832817E-3</v>
      </c>
      <c r="N236" s="180">
        <v>1.8200348202442435E-3</v>
      </c>
      <c r="O236" s="180">
        <v>2.0997855192430963E-3</v>
      </c>
      <c r="P236" s="180">
        <v>2.495859527554455E-3</v>
      </c>
      <c r="Q236" s="180">
        <v>7.9860489883547216E-4</v>
      </c>
      <c r="R236" s="180">
        <v>1.7099575851328929E-3</v>
      </c>
      <c r="S236" s="180">
        <v>1.762362573764028E-3</v>
      </c>
      <c r="T236" s="180">
        <v>1.0006982850928254E-3</v>
      </c>
      <c r="U236" s="180">
        <v>2.159640132817216E-3</v>
      </c>
      <c r="V236" s="180">
        <v>7.7350953916938299E-4</v>
      </c>
      <c r="W236" s="180">
        <v>1.2445101608031307E-3</v>
      </c>
      <c r="X236" s="180">
        <v>1.3396872809028706E-3</v>
      </c>
      <c r="Y236" s="180">
        <v>1.0548817345930506E-3</v>
      </c>
      <c r="Z236" s="180">
        <v>1.921523261676006E-3</v>
      </c>
      <c r="AA236" s="180">
        <v>-3.0145919518466895E-4</v>
      </c>
      <c r="AB236" s="180">
        <v>1.0966581694716135E-3</v>
      </c>
      <c r="AC236" s="180">
        <v>8.4385070363078498E-4</v>
      </c>
      <c r="AD236" s="180">
        <v>8.9699068571536217E-4</v>
      </c>
      <c r="AE236" s="180">
        <v>1.7655731333339048E-3</v>
      </c>
      <c r="AF236" s="180">
        <v>7.5916190680994219E-4</v>
      </c>
      <c r="AG236" s="180">
        <v>9.2897312946466114E-4</v>
      </c>
      <c r="AH236" s="180">
        <v>1.437380584121094E-4</v>
      </c>
      <c r="AI236" s="181">
        <v>1.9286286807754067E-3</v>
      </c>
    </row>
    <row r="237" spans="2:35" x14ac:dyDescent="0.25">
      <c r="B237" s="163" t="str">
        <f>'Market Data'!$B$23</f>
        <v>DD</v>
      </c>
      <c r="C237" s="160">
        <f>Statistics!$G$25</f>
        <v>1.7349865519574785E-2</v>
      </c>
      <c r="E237" s="168">
        <v>0</v>
      </c>
      <c r="F237" s="85" t="str">
        <v>DD</v>
      </c>
      <c r="G237" s="179">
        <v>2.5889638042653502E-3</v>
      </c>
      <c r="H237" s="180">
        <v>3.0070268955997704E-3</v>
      </c>
      <c r="I237" s="180">
        <v>3.1629198402818382E-3</v>
      </c>
      <c r="J237" s="180">
        <v>3.0429489894058951E-3</v>
      </c>
      <c r="K237" s="180">
        <v>3.7036865533827041E-3</v>
      </c>
      <c r="L237" s="180">
        <v>2.8277959806832817E-3</v>
      </c>
      <c r="M237" s="180">
        <v>7.2090294001774871E-3</v>
      </c>
      <c r="N237" s="180">
        <v>3.2246456006375726E-3</v>
      </c>
      <c r="O237" s="180">
        <v>3.2408092269649337E-3</v>
      </c>
      <c r="P237" s="180">
        <v>3.1194558916632768E-3</v>
      </c>
      <c r="Q237" s="180">
        <v>2.0138415935295195E-3</v>
      </c>
      <c r="R237" s="180">
        <v>2.4056181433013803E-3</v>
      </c>
      <c r="S237" s="180">
        <v>2.9333641814070907E-3</v>
      </c>
      <c r="T237" s="180">
        <v>1.7073269232421356E-3</v>
      </c>
      <c r="U237" s="180">
        <v>2.9403656750226037E-3</v>
      </c>
      <c r="V237" s="180">
        <v>1.3828838928124146E-3</v>
      </c>
      <c r="W237" s="180">
        <v>1.5566945864839937E-3</v>
      </c>
      <c r="X237" s="180">
        <v>2.4333011024343194E-3</v>
      </c>
      <c r="Y237" s="180">
        <v>2.1034755337789339E-3</v>
      </c>
      <c r="Z237" s="180">
        <v>3.4647817866697963E-3</v>
      </c>
      <c r="AA237" s="180">
        <v>1.371253710214986E-3</v>
      </c>
      <c r="AB237" s="180">
        <v>2.2541080192876768E-3</v>
      </c>
      <c r="AC237" s="180">
        <v>1.1783213677355128E-3</v>
      </c>
      <c r="AD237" s="180">
        <v>1.3915459916452729E-3</v>
      </c>
      <c r="AE237" s="180">
        <v>3.4844332298577191E-3</v>
      </c>
      <c r="AF237" s="180">
        <v>9.2727826439514978E-4</v>
      </c>
      <c r="AG237" s="180">
        <v>3.0677861856869904E-3</v>
      </c>
      <c r="AH237" s="180">
        <v>-2.3301122426120984E-5</v>
      </c>
      <c r="AI237" s="181">
        <v>2.1182301102402332E-3</v>
      </c>
    </row>
    <row r="238" spans="2:35" x14ac:dyDescent="0.25">
      <c r="B238" s="163" t="str">
        <f>'Market Data'!$B$24</f>
        <v>DIS</v>
      </c>
      <c r="C238" s="160">
        <f>Statistics!$G$26</f>
        <v>1.7109009470709015E-2</v>
      </c>
      <c r="E238" s="168">
        <v>0</v>
      </c>
      <c r="F238" s="85" t="str">
        <v>DIS</v>
      </c>
      <c r="G238" s="179">
        <v>1.366655807124157E-3</v>
      </c>
      <c r="H238" s="180">
        <v>1.9718583562846406E-3</v>
      </c>
      <c r="I238" s="180">
        <v>2.193611301570318E-3</v>
      </c>
      <c r="J238" s="180">
        <v>1.6981712196612736E-3</v>
      </c>
      <c r="K238" s="180">
        <v>1.9090150380186609E-3</v>
      </c>
      <c r="L238" s="180">
        <v>1.8200348202442435E-3</v>
      </c>
      <c r="M238" s="180">
        <v>3.2246456006375726E-3</v>
      </c>
      <c r="N238" s="180">
        <v>3.2225637954133132E-3</v>
      </c>
      <c r="O238" s="180">
        <v>1.7980110839806059E-3</v>
      </c>
      <c r="P238" s="180">
        <v>2.5910429203650125E-3</v>
      </c>
      <c r="Q238" s="180">
        <v>1.4438567521116873E-3</v>
      </c>
      <c r="R238" s="180">
        <v>1.2533920720746924E-3</v>
      </c>
      <c r="S238" s="180">
        <v>1.4872846501875279E-3</v>
      </c>
      <c r="T238" s="180">
        <v>7.6090581351824873E-4</v>
      </c>
      <c r="U238" s="180">
        <v>2.3150492241015347E-3</v>
      </c>
      <c r="V238" s="180">
        <v>7.3157249166013263E-4</v>
      </c>
      <c r="W238" s="180">
        <v>1.0434476997331528E-3</v>
      </c>
      <c r="X238" s="180">
        <v>1.3935802423237448E-3</v>
      </c>
      <c r="Y238" s="180">
        <v>1.1180874248259017E-3</v>
      </c>
      <c r="Z238" s="180">
        <v>1.7514488094562146E-3</v>
      </c>
      <c r="AA238" s="180">
        <v>1.1713887062549742E-3</v>
      </c>
      <c r="AB238" s="180">
        <v>1.4909638464124207E-3</v>
      </c>
      <c r="AC238" s="180">
        <v>6.6920552953337459E-4</v>
      </c>
      <c r="AD238" s="180">
        <v>9.9320622386439117E-4</v>
      </c>
      <c r="AE238" s="180">
        <v>1.6618009644053405E-3</v>
      </c>
      <c r="AF238" s="180">
        <v>5.8624704841600517E-4</v>
      </c>
      <c r="AG238" s="180">
        <v>2.2204011828610088E-3</v>
      </c>
      <c r="AH238" s="180">
        <v>-1.1672694641114529E-4</v>
      </c>
      <c r="AI238" s="181">
        <v>1.3292278052638991E-3</v>
      </c>
    </row>
    <row r="239" spans="2:35" x14ac:dyDescent="0.25">
      <c r="B239" s="163" t="str">
        <f>'Market Data'!$B$25</f>
        <v>GE</v>
      </c>
      <c r="C239" s="160">
        <f>Statistics!$G$27</f>
        <v>9.2719197536449416E-3</v>
      </c>
      <c r="E239" s="168">
        <v>0</v>
      </c>
      <c r="F239" s="85" t="str">
        <v>GE</v>
      </c>
      <c r="G239" s="179">
        <v>1.5698375611055285E-3</v>
      </c>
      <c r="H239" s="180">
        <v>1.6460552176854309E-3</v>
      </c>
      <c r="I239" s="180">
        <v>1.7334051959416068E-3</v>
      </c>
      <c r="J239" s="180">
        <v>2.2046623152336968E-3</v>
      </c>
      <c r="K239" s="180">
        <v>2.0168425927536027E-3</v>
      </c>
      <c r="L239" s="180">
        <v>2.0997855192430963E-3</v>
      </c>
      <c r="M239" s="180">
        <v>3.2408092269649337E-3</v>
      </c>
      <c r="N239" s="180">
        <v>1.7980110839806059E-3</v>
      </c>
      <c r="O239" s="180">
        <v>2.8739818723832944E-3</v>
      </c>
      <c r="P239" s="180">
        <v>2.2255962061739098E-3</v>
      </c>
      <c r="Q239" s="180">
        <v>1.1779071347684854E-3</v>
      </c>
      <c r="R239" s="180">
        <v>1.4606469135339543E-3</v>
      </c>
      <c r="S239" s="180">
        <v>1.8413857882482649E-3</v>
      </c>
      <c r="T239" s="180">
        <v>1.1338883047798758E-3</v>
      </c>
      <c r="U239" s="180">
        <v>1.9825602222543746E-3</v>
      </c>
      <c r="V239" s="180">
        <v>1.0900315820250495E-3</v>
      </c>
      <c r="W239" s="180">
        <v>1.4080437366372094E-3</v>
      </c>
      <c r="X239" s="180">
        <v>1.6476299492810176E-3</v>
      </c>
      <c r="Y239" s="180">
        <v>7.4080885300837902E-4</v>
      </c>
      <c r="Z239" s="180">
        <v>2.1782812682115105E-3</v>
      </c>
      <c r="AA239" s="180">
        <v>6.8149888740689005E-4</v>
      </c>
      <c r="AB239" s="180">
        <v>1.1596920910434683E-3</v>
      </c>
      <c r="AC239" s="180">
        <v>8.669689440805547E-4</v>
      </c>
      <c r="AD239" s="180">
        <v>6.9406421327386882E-4</v>
      </c>
      <c r="AE239" s="180">
        <v>1.9210155408337607E-3</v>
      </c>
      <c r="AF239" s="180">
        <v>1.0256274934399997E-3</v>
      </c>
      <c r="AG239" s="180">
        <v>1.7646874198991678E-3</v>
      </c>
      <c r="AH239" s="180">
        <v>3.1986346053900631E-5</v>
      </c>
      <c r="AI239" s="181">
        <v>1.6264073394302158E-3</v>
      </c>
    </row>
    <row r="240" spans="2:35" x14ac:dyDescent="0.25">
      <c r="B240" s="163" t="str">
        <f>'Market Data'!$B$26</f>
        <v>GS</v>
      </c>
      <c r="C240" s="160">
        <f>Statistics!$G$28</f>
        <v>1.2775975133106521E-2</v>
      </c>
      <c r="E240" s="168">
        <v>0</v>
      </c>
      <c r="F240" s="85" t="str">
        <v>GS</v>
      </c>
      <c r="G240" s="179">
        <v>1.8109156333145874E-3</v>
      </c>
      <c r="H240" s="180">
        <v>3.1197862990926528E-3</v>
      </c>
      <c r="I240" s="180">
        <v>2.2391121271409182E-3</v>
      </c>
      <c r="J240" s="180">
        <v>2.3825247137119567E-3</v>
      </c>
      <c r="K240" s="180">
        <v>2.2177683830845976E-3</v>
      </c>
      <c r="L240" s="180">
        <v>2.495859527554455E-3</v>
      </c>
      <c r="M240" s="180">
        <v>3.1194558916632768E-3</v>
      </c>
      <c r="N240" s="180">
        <v>2.5910429203650125E-3</v>
      </c>
      <c r="O240" s="180">
        <v>2.2255962061739098E-3</v>
      </c>
      <c r="P240" s="180">
        <v>4.8815099105356504E-3</v>
      </c>
      <c r="Q240" s="180">
        <v>1.5442152510598698E-3</v>
      </c>
      <c r="R240" s="180">
        <v>2.2308798805711167E-3</v>
      </c>
      <c r="S240" s="180">
        <v>1.7997270101458302E-3</v>
      </c>
      <c r="T240" s="180">
        <v>7.4857834611503948E-4</v>
      </c>
      <c r="U240" s="180">
        <v>3.8267678235899111E-3</v>
      </c>
      <c r="V240" s="180">
        <v>5.0884399749192373E-4</v>
      </c>
      <c r="W240" s="180">
        <v>1.1844149472533348E-3</v>
      </c>
      <c r="X240" s="180">
        <v>1.5580261625844892E-3</v>
      </c>
      <c r="Y240" s="180">
        <v>9.5059394038900442E-4</v>
      </c>
      <c r="Z240" s="180">
        <v>1.9881521509949444E-3</v>
      </c>
      <c r="AA240" s="180">
        <v>9.2810945195530823E-4</v>
      </c>
      <c r="AB240" s="180">
        <v>1.2974763649140325E-3</v>
      </c>
      <c r="AC240" s="180">
        <v>6.8796273406052837E-4</v>
      </c>
      <c r="AD240" s="180">
        <v>1.248419321363809E-3</v>
      </c>
      <c r="AE240" s="180">
        <v>2.1674424403236793E-3</v>
      </c>
      <c r="AF240" s="180">
        <v>3.7523862948950627E-4</v>
      </c>
      <c r="AG240" s="180">
        <v>2.0541307067505868E-3</v>
      </c>
      <c r="AH240" s="180">
        <v>-5.4295264980806504E-5</v>
      </c>
      <c r="AI240" s="181">
        <v>1.4387650786059658E-3</v>
      </c>
    </row>
    <row r="241" spans="2:35" x14ac:dyDescent="0.25">
      <c r="B241" s="163" t="str">
        <f>'Market Data'!$B$27</f>
        <v>HD</v>
      </c>
      <c r="C241" s="160">
        <f>Statistics!$G$29</f>
        <v>1.8352985528230569E-2</v>
      </c>
      <c r="E241" s="168">
        <v>0</v>
      </c>
      <c r="F241" s="85" t="str">
        <v>HD</v>
      </c>
      <c r="G241" s="179">
        <v>9.8639311096076088E-4</v>
      </c>
      <c r="H241" s="180">
        <v>1.285962047454306E-3</v>
      </c>
      <c r="I241" s="180">
        <v>1.2911501083222776E-3</v>
      </c>
      <c r="J241" s="180">
        <v>1.0587514228509517E-3</v>
      </c>
      <c r="K241" s="180">
        <v>9.8504335267051509E-4</v>
      </c>
      <c r="L241" s="180">
        <v>7.9860489883547216E-4</v>
      </c>
      <c r="M241" s="180">
        <v>2.0138415935295195E-3</v>
      </c>
      <c r="N241" s="180">
        <v>1.4438567521116873E-3</v>
      </c>
      <c r="O241" s="180">
        <v>1.1779071347684854E-3</v>
      </c>
      <c r="P241" s="180">
        <v>1.5442152510598698E-3</v>
      </c>
      <c r="Q241" s="180">
        <v>1.8880219117441428E-3</v>
      </c>
      <c r="R241" s="180">
        <v>9.3173966010624539E-4</v>
      </c>
      <c r="S241" s="180">
        <v>9.2701062278089308E-4</v>
      </c>
      <c r="T241" s="180">
        <v>6.2481040103688149E-4</v>
      </c>
      <c r="U241" s="180">
        <v>1.4284505514434026E-3</v>
      </c>
      <c r="V241" s="180">
        <v>5.5799413673053339E-4</v>
      </c>
      <c r="W241" s="180">
        <v>7.381374461617429E-4</v>
      </c>
      <c r="X241" s="180">
        <v>1.0633975936011025E-3</v>
      </c>
      <c r="Y241" s="180">
        <v>7.161428946835201E-4</v>
      </c>
      <c r="Z241" s="180">
        <v>1.0017697174583111E-3</v>
      </c>
      <c r="AA241" s="180">
        <v>7.3578315539153108E-4</v>
      </c>
      <c r="AB241" s="180">
        <v>8.5234066580948517E-4</v>
      </c>
      <c r="AC241" s="180">
        <v>4.7474349038820928E-4</v>
      </c>
      <c r="AD241" s="180">
        <v>6.4915062582396636E-4</v>
      </c>
      <c r="AE241" s="180">
        <v>1.2386809813748902E-3</v>
      </c>
      <c r="AF241" s="180">
        <v>1.1189073531181803E-4</v>
      </c>
      <c r="AG241" s="180">
        <v>1.2055891827737501E-3</v>
      </c>
      <c r="AH241" s="180">
        <v>1.9815526434870993E-4</v>
      </c>
      <c r="AI241" s="181">
        <v>5.7016164369997474E-4</v>
      </c>
    </row>
    <row r="242" spans="2:35" x14ac:dyDescent="0.25">
      <c r="B242" s="163" t="str">
        <f>'Market Data'!$B$28</f>
        <v>IBM</v>
      </c>
      <c r="C242" s="160">
        <f>Statistics!$G$30</f>
        <v>-1.0805706759468385E-4</v>
      </c>
      <c r="E242" s="168">
        <v>5.8858693803468053E-2</v>
      </c>
      <c r="F242" s="85" t="str">
        <v>IBM</v>
      </c>
      <c r="G242" s="179">
        <v>1.7737023799007877E-3</v>
      </c>
      <c r="H242" s="180">
        <v>1.960684724858895E-3</v>
      </c>
      <c r="I242" s="180">
        <v>1.1336433634722555E-3</v>
      </c>
      <c r="J242" s="180">
        <v>2.1554825858441308E-3</v>
      </c>
      <c r="K242" s="180">
        <v>2.2508292865696072E-3</v>
      </c>
      <c r="L242" s="180">
        <v>1.7099575851328929E-3</v>
      </c>
      <c r="M242" s="180">
        <v>2.4056181433013803E-3</v>
      </c>
      <c r="N242" s="180">
        <v>1.2533920720746924E-3</v>
      </c>
      <c r="O242" s="180">
        <v>1.4606469135339543E-3</v>
      </c>
      <c r="P242" s="180">
        <v>2.2308798805711167E-3</v>
      </c>
      <c r="Q242" s="180">
        <v>9.3173966010624539E-4</v>
      </c>
      <c r="R242" s="180">
        <v>3.3622126456479009E-3</v>
      </c>
      <c r="S242" s="180">
        <v>1.4043690490920693E-3</v>
      </c>
      <c r="T242" s="180">
        <v>5.9347717242683358E-4</v>
      </c>
      <c r="U242" s="180">
        <v>2.0888390371824788E-3</v>
      </c>
      <c r="V242" s="180">
        <v>5.7019303114958723E-4</v>
      </c>
      <c r="W242" s="180">
        <v>5.4513263389601688E-4</v>
      </c>
      <c r="X242" s="180">
        <v>1.0275296737018624E-3</v>
      </c>
      <c r="Y242" s="180">
        <v>1.0097860441379664E-3</v>
      </c>
      <c r="Z242" s="180">
        <v>1.4353906099659559E-3</v>
      </c>
      <c r="AA242" s="180">
        <v>1.3757321359017424E-4</v>
      </c>
      <c r="AB242" s="180">
        <v>7.9545047293496068E-4</v>
      </c>
      <c r="AC242" s="180">
        <v>5.5361049131124631E-4</v>
      </c>
      <c r="AD242" s="180">
        <v>8.8298395118505178E-4</v>
      </c>
      <c r="AE242" s="180">
        <v>1.5169272523521361E-3</v>
      </c>
      <c r="AF242" s="180">
        <v>2.033685246020378E-4</v>
      </c>
      <c r="AG242" s="180">
        <v>1.2306885914741903E-3</v>
      </c>
      <c r="AH242" s="180">
        <v>3.7610030291999273E-4</v>
      </c>
      <c r="AI242" s="181">
        <v>1.0970123689928199E-3</v>
      </c>
    </row>
    <row r="243" spans="2:35" x14ac:dyDescent="0.25">
      <c r="B243" s="163" t="str">
        <f>'Market Data'!$B$29</f>
        <v>INTC</v>
      </c>
      <c r="C243" s="160">
        <f>Statistics!$G$31</f>
        <v>1.4825313209679855E-2</v>
      </c>
      <c r="E243" s="168">
        <v>0</v>
      </c>
      <c r="F243" s="85" t="str">
        <v>INTC</v>
      </c>
      <c r="G243" s="179">
        <v>1.6293191413582805E-3</v>
      </c>
      <c r="H243" s="180">
        <v>2.0715314739138896E-3</v>
      </c>
      <c r="I243" s="180">
        <v>1.485647562986758E-3</v>
      </c>
      <c r="J243" s="180">
        <v>2.3005603160952529E-3</v>
      </c>
      <c r="K243" s="180">
        <v>2.2625583672846289E-3</v>
      </c>
      <c r="L243" s="180">
        <v>1.762362573764028E-3</v>
      </c>
      <c r="M243" s="180">
        <v>2.9333641814070907E-3</v>
      </c>
      <c r="N243" s="180">
        <v>1.4872846501875279E-3</v>
      </c>
      <c r="O243" s="180">
        <v>1.8413857882482649E-3</v>
      </c>
      <c r="P243" s="180">
        <v>1.7997270101458302E-3</v>
      </c>
      <c r="Q243" s="180">
        <v>9.2701062278089308E-4</v>
      </c>
      <c r="R243" s="180">
        <v>1.4043690490920693E-3</v>
      </c>
      <c r="S243" s="180">
        <v>3.8953291630483993E-3</v>
      </c>
      <c r="T243" s="180">
        <v>8.7155825849789608E-4</v>
      </c>
      <c r="U243" s="180">
        <v>1.6338310266769979E-3</v>
      </c>
      <c r="V243" s="180">
        <v>1.1107691361801554E-3</v>
      </c>
      <c r="W243" s="180">
        <v>9.1762089354393737E-4</v>
      </c>
      <c r="X243" s="180">
        <v>1.3291856750406272E-3</v>
      </c>
      <c r="Y243" s="180">
        <v>1.2481991200788169E-3</v>
      </c>
      <c r="Z243" s="180">
        <v>2.824290151917595E-3</v>
      </c>
      <c r="AA243" s="180">
        <v>5.7515792739731505E-4</v>
      </c>
      <c r="AB243" s="180">
        <v>9.9184976149502301E-4</v>
      </c>
      <c r="AC243" s="180">
        <v>7.9168442412031782E-4</v>
      </c>
      <c r="AD243" s="180">
        <v>5.6633014876153942E-4</v>
      </c>
      <c r="AE243" s="180">
        <v>1.2132957377483657E-3</v>
      </c>
      <c r="AF243" s="180">
        <v>8.2166255763751334E-4</v>
      </c>
      <c r="AG243" s="180">
        <v>1.8678530672680304E-3</v>
      </c>
      <c r="AH243" s="180">
        <v>-1.8556188989019865E-5</v>
      </c>
      <c r="AI243" s="181">
        <v>1.0791409093812321E-3</v>
      </c>
    </row>
    <row r="244" spans="2:35" x14ac:dyDescent="0.25">
      <c r="B244" s="163" t="str">
        <f>'Market Data'!$B$30</f>
        <v>JNJ</v>
      </c>
      <c r="C244" s="160">
        <f>Statistics!$G$32</f>
        <v>1.2075919577819831E-2</v>
      </c>
      <c r="E244" s="168">
        <v>0</v>
      </c>
      <c r="F244" s="85" t="str">
        <v>JNJ</v>
      </c>
      <c r="G244" s="179">
        <v>8.2631268301744008E-4</v>
      </c>
      <c r="H244" s="180">
        <v>7.3945969222275051E-4</v>
      </c>
      <c r="I244" s="180">
        <v>7.7470388279684329E-4</v>
      </c>
      <c r="J244" s="180">
        <v>9.0633949973445221E-4</v>
      </c>
      <c r="K244" s="180">
        <v>1.1094225673998865E-3</v>
      </c>
      <c r="L244" s="180">
        <v>1.0006982850928254E-3</v>
      </c>
      <c r="M244" s="180">
        <v>1.7073269232421356E-3</v>
      </c>
      <c r="N244" s="180">
        <v>7.6090581351824873E-4</v>
      </c>
      <c r="O244" s="180">
        <v>1.1338883047798758E-3</v>
      </c>
      <c r="P244" s="180">
        <v>7.4857834611503948E-4</v>
      </c>
      <c r="Q244" s="180">
        <v>6.2481040103688149E-4</v>
      </c>
      <c r="R244" s="180">
        <v>5.9347717242683358E-4</v>
      </c>
      <c r="S244" s="180">
        <v>8.7155825849789608E-4</v>
      </c>
      <c r="T244" s="180">
        <v>1.3437205064186324E-3</v>
      </c>
      <c r="U244" s="180">
        <v>9.2330996350035955E-4</v>
      </c>
      <c r="V244" s="180">
        <v>8.0248592661524116E-4</v>
      </c>
      <c r="W244" s="180">
        <v>7.2064842002941051E-4</v>
      </c>
      <c r="X244" s="180">
        <v>9.1647163555960687E-4</v>
      </c>
      <c r="Y244" s="180">
        <v>7.8932636294384688E-4</v>
      </c>
      <c r="Z244" s="180">
        <v>8.3950208317612799E-4</v>
      </c>
      <c r="AA244" s="180">
        <v>2.4076387457302071E-4</v>
      </c>
      <c r="AB244" s="180">
        <v>1.174922395291398E-3</v>
      </c>
      <c r="AC244" s="180">
        <v>7.8676359672877393E-4</v>
      </c>
      <c r="AD244" s="180">
        <v>4.4624886795118808E-4</v>
      </c>
      <c r="AE244" s="180">
        <v>1.0117367356107026E-3</v>
      </c>
      <c r="AF244" s="180">
        <v>7.3214708969514145E-4</v>
      </c>
      <c r="AG244" s="180">
        <v>8.2747273857601913E-4</v>
      </c>
      <c r="AH244" s="180">
        <v>7.1470891411086447E-4</v>
      </c>
      <c r="AI244" s="181">
        <v>7.4627799983375924E-4</v>
      </c>
    </row>
    <row r="245" spans="2:35" x14ac:dyDescent="0.25">
      <c r="B245" s="163" t="str">
        <f>'Market Data'!$B$31</f>
        <v>JPM</v>
      </c>
      <c r="C245" s="160">
        <f>Statistics!$G$33</f>
        <v>1.7183196749963128E-2</v>
      </c>
      <c r="E245" s="168">
        <v>0</v>
      </c>
      <c r="F245" s="85" t="str">
        <v>JPM</v>
      </c>
      <c r="G245" s="179">
        <v>1.2529926248616137E-3</v>
      </c>
      <c r="H245" s="180">
        <v>2.7840355446374721E-3</v>
      </c>
      <c r="I245" s="180">
        <v>1.8054441283061249E-3</v>
      </c>
      <c r="J245" s="180">
        <v>2.011937601179676E-3</v>
      </c>
      <c r="K245" s="180">
        <v>2.0831844183308271E-3</v>
      </c>
      <c r="L245" s="180">
        <v>2.159640132817216E-3</v>
      </c>
      <c r="M245" s="180">
        <v>2.9403656750226037E-3</v>
      </c>
      <c r="N245" s="180">
        <v>2.3150492241015347E-3</v>
      </c>
      <c r="O245" s="180">
        <v>1.9825602222543746E-3</v>
      </c>
      <c r="P245" s="180">
        <v>3.8267678235899111E-3</v>
      </c>
      <c r="Q245" s="180">
        <v>1.4284505514434026E-3</v>
      </c>
      <c r="R245" s="180">
        <v>2.0888390371824788E-3</v>
      </c>
      <c r="S245" s="180">
        <v>1.6338310266769979E-3</v>
      </c>
      <c r="T245" s="180">
        <v>9.2330996350035955E-4</v>
      </c>
      <c r="U245" s="180">
        <v>3.6504820104783621E-3</v>
      </c>
      <c r="V245" s="180">
        <v>6.292727988425526E-4</v>
      </c>
      <c r="W245" s="180">
        <v>1.135373183104091E-3</v>
      </c>
      <c r="X245" s="180">
        <v>1.3229022331511452E-3</v>
      </c>
      <c r="Y245" s="180">
        <v>9.9035410413519649E-4</v>
      </c>
      <c r="Z245" s="180">
        <v>2.1029083027690664E-3</v>
      </c>
      <c r="AA245" s="180">
        <v>6.7839144071882979E-4</v>
      </c>
      <c r="AB245" s="180">
        <v>1.3592270505613203E-3</v>
      </c>
      <c r="AC245" s="180">
        <v>7.2953612857905574E-4</v>
      </c>
      <c r="AD245" s="180">
        <v>1.2617149248905092E-3</v>
      </c>
      <c r="AE245" s="180">
        <v>1.8453743354725578E-3</v>
      </c>
      <c r="AF245" s="180">
        <v>3.9836144643633019E-4</v>
      </c>
      <c r="AG245" s="180">
        <v>1.9463933682734615E-3</v>
      </c>
      <c r="AH245" s="180">
        <v>7.503242005510376E-5</v>
      </c>
      <c r="AI245" s="181">
        <v>1.3958094738143344E-3</v>
      </c>
    </row>
    <row r="246" spans="2:35" x14ac:dyDescent="0.25">
      <c r="B246" s="163" t="str">
        <f>'Market Data'!$B$32</f>
        <v>KO</v>
      </c>
      <c r="C246" s="160">
        <f>Statistics!$G$34</f>
        <v>4.1810541872704362E-3</v>
      </c>
      <c r="E246" s="168">
        <v>0.10237545720480244</v>
      </c>
      <c r="F246" s="85" t="str">
        <v>KO</v>
      </c>
      <c r="G246" s="179">
        <v>9.6129190129553134E-4</v>
      </c>
      <c r="H246" s="180">
        <v>5.6369017954212687E-4</v>
      </c>
      <c r="I246" s="180">
        <v>9.7196182882881919E-4</v>
      </c>
      <c r="J246" s="180">
        <v>6.586205973694774E-4</v>
      </c>
      <c r="K246" s="180">
        <v>1.0904984859812852E-3</v>
      </c>
      <c r="L246" s="180">
        <v>7.7350953916938299E-4</v>
      </c>
      <c r="M246" s="180">
        <v>1.3828838928124146E-3</v>
      </c>
      <c r="N246" s="180">
        <v>7.3157249166013263E-4</v>
      </c>
      <c r="O246" s="180">
        <v>1.0900315820250495E-3</v>
      </c>
      <c r="P246" s="180">
        <v>5.0884399749192373E-4</v>
      </c>
      <c r="Q246" s="180">
        <v>5.5799413673053339E-4</v>
      </c>
      <c r="R246" s="180">
        <v>5.7019303114958723E-4</v>
      </c>
      <c r="S246" s="180">
        <v>1.1107691361801554E-3</v>
      </c>
      <c r="T246" s="180">
        <v>8.0248592661524116E-4</v>
      </c>
      <c r="U246" s="180">
        <v>6.292727988425526E-4</v>
      </c>
      <c r="V246" s="180">
        <v>1.2210270669043683E-3</v>
      </c>
      <c r="W246" s="180">
        <v>7.9000312454904529E-4</v>
      </c>
      <c r="X246" s="180">
        <v>6.5400026561614926E-4</v>
      </c>
      <c r="Y246" s="180">
        <v>5.6925923112739025E-4</v>
      </c>
      <c r="Z246" s="180">
        <v>1.0711085481253278E-3</v>
      </c>
      <c r="AA246" s="180">
        <v>4.3589033448327737E-4</v>
      </c>
      <c r="AB246" s="180">
        <v>6.3614560547018231E-4</v>
      </c>
      <c r="AC246" s="180">
        <v>6.5740070509151668E-4</v>
      </c>
      <c r="AD246" s="180">
        <v>1.2737483924284157E-4</v>
      </c>
      <c r="AE246" s="180">
        <v>5.7087013169956707E-4</v>
      </c>
      <c r="AF246" s="180">
        <v>4.9096142938173941E-4</v>
      </c>
      <c r="AG246" s="180">
        <v>9.4999344105865064E-4</v>
      </c>
      <c r="AH246" s="180">
        <v>6.4703627119224946E-4</v>
      </c>
      <c r="AI246" s="181">
        <v>5.1805651820066112E-4</v>
      </c>
    </row>
    <row r="247" spans="2:35" x14ac:dyDescent="0.25">
      <c r="B247" s="163" t="str">
        <f>'Market Data'!$B$33</f>
        <v>MCD</v>
      </c>
      <c r="C247" s="160">
        <f>Statistics!$G$35</f>
        <v>8.998422120903465E-3</v>
      </c>
      <c r="E247" s="168">
        <v>6.3430901178793658E-2</v>
      </c>
      <c r="F247" s="85" t="str">
        <v>MCD</v>
      </c>
      <c r="G247" s="179">
        <v>4.3723596630614248E-4</v>
      </c>
      <c r="H247" s="180">
        <v>5.9016175595858627E-4</v>
      </c>
      <c r="I247" s="180">
        <v>1.004575731683145E-3</v>
      </c>
      <c r="J247" s="180">
        <v>1.2118483675212872E-3</v>
      </c>
      <c r="K247" s="180">
        <v>8.8656407550750189E-4</v>
      </c>
      <c r="L247" s="180">
        <v>1.2445101608031307E-3</v>
      </c>
      <c r="M247" s="180">
        <v>1.5566945864839937E-3</v>
      </c>
      <c r="N247" s="180">
        <v>1.0434476997331528E-3</v>
      </c>
      <c r="O247" s="180">
        <v>1.4080437366372094E-3</v>
      </c>
      <c r="P247" s="180">
        <v>1.1844149472533348E-3</v>
      </c>
      <c r="Q247" s="180">
        <v>7.381374461617429E-4</v>
      </c>
      <c r="R247" s="180">
        <v>5.4513263389601688E-4</v>
      </c>
      <c r="S247" s="180">
        <v>9.1762089354393737E-4</v>
      </c>
      <c r="T247" s="180">
        <v>7.2064842002941051E-4</v>
      </c>
      <c r="U247" s="180">
        <v>1.135373183104091E-3</v>
      </c>
      <c r="V247" s="180">
        <v>7.9000312454904529E-4</v>
      </c>
      <c r="W247" s="180">
        <v>1.7650690545216805E-3</v>
      </c>
      <c r="X247" s="180">
        <v>7.9590651205676567E-4</v>
      </c>
      <c r="Y247" s="180">
        <v>5.886623345512683E-4</v>
      </c>
      <c r="Z247" s="180">
        <v>1.2284698745461862E-3</v>
      </c>
      <c r="AA247" s="180">
        <v>4.3355644868225306E-4</v>
      </c>
      <c r="AB247" s="180">
        <v>9.4939047744066322E-4</v>
      </c>
      <c r="AC247" s="180">
        <v>4.0611550084338323E-4</v>
      </c>
      <c r="AD247" s="180">
        <v>3.5874031329227935E-4</v>
      </c>
      <c r="AE247" s="180">
        <v>8.7888532505727346E-4</v>
      </c>
      <c r="AF247" s="180">
        <v>6.7734327840461236E-4</v>
      </c>
      <c r="AG247" s="180">
        <v>1.0020182531469391E-3</v>
      </c>
      <c r="AH247" s="180">
        <v>4.237060092283065E-5</v>
      </c>
      <c r="AI247" s="181">
        <v>6.6389606634421081E-4</v>
      </c>
    </row>
    <row r="248" spans="2:35" x14ac:dyDescent="0.25">
      <c r="B248" s="163" t="str">
        <f>'Market Data'!$B$34</f>
        <v>MMM</v>
      </c>
      <c r="C248" s="160">
        <f>Statistics!$G$36</f>
        <v>1.5280500930100561E-2</v>
      </c>
      <c r="E248" s="168">
        <v>0</v>
      </c>
      <c r="F248" s="85" t="str">
        <v>MMM</v>
      </c>
      <c r="G248" s="179">
        <v>1.6042263123932821E-3</v>
      </c>
      <c r="H248" s="180">
        <v>1.3680882736390085E-3</v>
      </c>
      <c r="I248" s="180">
        <v>1.220072170107771E-3</v>
      </c>
      <c r="J248" s="180">
        <v>1.3778500117759705E-3</v>
      </c>
      <c r="K248" s="180">
        <v>1.6594658489014636E-3</v>
      </c>
      <c r="L248" s="180">
        <v>1.3396872809028706E-3</v>
      </c>
      <c r="M248" s="180">
        <v>2.4333011024343194E-3</v>
      </c>
      <c r="N248" s="180">
        <v>1.3935802423237448E-3</v>
      </c>
      <c r="O248" s="180">
        <v>1.6476299492810176E-3</v>
      </c>
      <c r="P248" s="180">
        <v>1.5580261625844892E-3</v>
      </c>
      <c r="Q248" s="180">
        <v>1.0633975936011025E-3</v>
      </c>
      <c r="R248" s="180">
        <v>1.0275296737018624E-3</v>
      </c>
      <c r="S248" s="180">
        <v>1.3291856750406272E-3</v>
      </c>
      <c r="T248" s="180">
        <v>9.1647163555960687E-4</v>
      </c>
      <c r="U248" s="180">
        <v>1.3229022331511452E-3</v>
      </c>
      <c r="V248" s="180">
        <v>6.5400026561614926E-4</v>
      </c>
      <c r="W248" s="180">
        <v>7.9590651205676567E-4</v>
      </c>
      <c r="X248" s="180">
        <v>1.9007159701372343E-3</v>
      </c>
      <c r="Y248" s="180">
        <v>9.3087542856500223E-4</v>
      </c>
      <c r="Z248" s="180">
        <v>9.5021437706372129E-4</v>
      </c>
      <c r="AA248" s="180">
        <v>7.5220949128439868E-4</v>
      </c>
      <c r="AB248" s="180">
        <v>1.1108584905280188E-3</v>
      </c>
      <c r="AC248" s="180">
        <v>7.8023777188204919E-4</v>
      </c>
      <c r="AD248" s="180">
        <v>9.8369986573183495E-4</v>
      </c>
      <c r="AE248" s="180">
        <v>1.8471574472775569E-3</v>
      </c>
      <c r="AF248" s="180">
        <v>5.9539589470078522E-4</v>
      </c>
      <c r="AG248" s="180">
        <v>1.59984129324471E-3</v>
      </c>
      <c r="AH248" s="180">
        <v>4.5051539698961655E-4</v>
      </c>
      <c r="AI248" s="181">
        <v>1.2697174541958882E-3</v>
      </c>
    </row>
    <row r="249" spans="2:35" x14ac:dyDescent="0.25">
      <c r="B249" s="163" t="str">
        <f>'Market Data'!$B$35</f>
        <v>MRK</v>
      </c>
      <c r="C249" s="160">
        <f>Statistics!$G$37</f>
        <v>1.1473476041634185E-2</v>
      </c>
      <c r="E249" s="168">
        <v>0</v>
      </c>
      <c r="F249" s="85" t="str">
        <v>MRK</v>
      </c>
      <c r="G249" s="179">
        <v>6.6280896407091964E-4</v>
      </c>
      <c r="H249" s="180">
        <v>9.5675499919051471E-4</v>
      </c>
      <c r="I249" s="180">
        <v>1.3506721993334096E-3</v>
      </c>
      <c r="J249" s="180">
        <v>1.6454661341138513E-3</v>
      </c>
      <c r="K249" s="180">
        <v>1.2877752599161352E-3</v>
      </c>
      <c r="L249" s="180">
        <v>1.0548817345930506E-3</v>
      </c>
      <c r="M249" s="180">
        <v>2.1034755337789339E-3</v>
      </c>
      <c r="N249" s="180">
        <v>1.1180874248259017E-3</v>
      </c>
      <c r="O249" s="180">
        <v>7.4080885300837902E-4</v>
      </c>
      <c r="P249" s="180">
        <v>9.5059394038900442E-4</v>
      </c>
      <c r="Q249" s="180">
        <v>7.161428946835201E-4</v>
      </c>
      <c r="R249" s="180">
        <v>1.0097860441379664E-3</v>
      </c>
      <c r="S249" s="180">
        <v>1.2481991200788169E-3</v>
      </c>
      <c r="T249" s="180">
        <v>7.8932636294384688E-4</v>
      </c>
      <c r="U249" s="180">
        <v>9.9035410413519649E-4</v>
      </c>
      <c r="V249" s="180">
        <v>5.6925923112739025E-4</v>
      </c>
      <c r="W249" s="180">
        <v>5.886623345512683E-4</v>
      </c>
      <c r="X249" s="180">
        <v>9.3087542856500223E-4</v>
      </c>
      <c r="Y249" s="180">
        <v>2.5431403633519077E-3</v>
      </c>
      <c r="Z249" s="180">
        <v>1.0039618395335291E-3</v>
      </c>
      <c r="AA249" s="180">
        <v>3.4083858597475385E-4</v>
      </c>
      <c r="AB249" s="180">
        <v>1.3412346285691251E-3</v>
      </c>
      <c r="AC249" s="180">
        <v>3.7529952314904947E-4</v>
      </c>
      <c r="AD249" s="180">
        <v>8.5985137540516086E-4</v>
      </c>
      <c r="AE249" s="180">
        <v>1.4646144344401168E-3</v>
      </c>
      <c r="AF249" s="180">
        <v>3.3006228708408361E-4</v>
      </c>
      <c r="AG249" s="180">
        <v>1.1984054366898813E-3</v>
      </c>
      <c r="AH249" s="180">
        <v>4.389896882024129E-4</v>
      </c>
      <c r="AI249" s="181">
        <v>5.8214330295854532E-4</v>
      </c>
    </row>
    <row r="250" spans="2:35" x14ac:dyDescent="0.25">
      <c r="B250" s="163" t="str">
        <f>'Market Data'!$B$36</f>
        <v>MSFT</v>
      </c>
      <c r="C250" s="160">
        <f>Statistics!$G$38</f>
        <v>2.1777833497491961E-2</v>
      </c>
      <c r="E250" s="168">
        <v>0</v>
      </c>
      <c r="F250" s="85" t="str">
        <v>MSFT</v>
      </c>
      <c r="G250" s="179">
        <v>1.7656054736670385E-3</v>
      </c>
      <c r="H250" s="180">
        <v>1.7453927826798744E-3</v>
      </c>
      <c r="I250" s="180">
        <v>1.4618979219237266E-3</v>
      </c>
      <c r="J250" s="180">
        <v>2.2842322526096018E-3</v>
      </c>
      <c r="K250" s="180">
        <v>2.1511833371391734E-3</v>
      </c>
      <c r="L250" s="180">
        <v>1.921523261676006E-3</v>
      </c>
      <c r="M250" s="180">
        <v>3.4647817866697963E-3</v>
      </c>
      <c r="N250" s="180">
        <v>1.7514488094562146E-3</v>
      </c>
      <c r="O250" s="180">
        <v>2.1782812682115105E-3</v>
      </c>
      <c r="P250" s="180">
        <v>1.9881521509949444E-3</v>
      </c>
      <c r="Q250" s="180">
        <v>1.0017697174583111E-3</v>
      </c>
      <c r="R250" s="180">
        <v>1.4353906099659559E-3</v>
      </c>
      <c r="S250" s="180">
        <v>2.824290151917595E-3</v>
      </c>
      <c r="T250" s="180">
        <v>8.3950208317612799E-4</v>
      </c>
      <c r="U250" s="180">
        <v>2.1029083027690664E-3</v>
      </c>
      <c r="V250" s="180">
        <v>1.0711085481253278E-3</v>
      </c>
      <c r="W250" s="180">
        <v>1.2284698745461862E-3</v>
      </c>
      <c r="X250" s="180">
        <v>9.5021437706372129E-4</v>
      </c>
      <c r="Y250" s="180">
        <v>1.0039618395335291E-3</v>
      </c>
      <c r="Z250" s="180">
        <v>4.5817164894349687E-3</v>
      </c>
      <c r="AA250" s="180">
        <v>9.1111393401995618E-4</v>
      </c>
      <c r="AB250" s="180">
        <v>1.1007292150403058E-3</v>
      </c>
      <c r="AC250" s="180">
        <v>1.0300601718935634E-3</v>
      </c>
      <c r="AD250" s="180">
        <v>2.4058610256342332E-4</v>
      </c>
      <c r="AE250" s="180">
        <v>9.3007091875184366E-4</v>
      </c>
      <c r="AF250" s="180">
        <v>7.4555370224549768E-4</v>
      </c>
      <c r="AG250" s="180">
        <v>1.5294825998788863E-3</v>
      </c>
      <c r="AH250" s="180">
        <v>-3.4970831020819231E-4</v>
      </c>
      <c r="AI250" s="181">
        <v>1.2219742467918569E-3</v>
      </c>
    </row>
    <row r="251" spans="2:35" x14ac:dyDescent="0.25">
      <c r="B251" s="163" t="str">
        <f>'Market Data'!$B$37</f>
        <v>NKE</v>
      </c>
      <c r="C251" s="160">
        <f>Statistics!$G$39</f>
        <v>1.5970247269241938E-2</v>
      </c>
      <c r="E251" s="168">
        <v>0.12519198580682944</v>
      </c>
      <c r="F251" s="85" t="str">
        <v>NKE</v>
      </c>
      <c r="G251" s="179">
        <v>7.4054258425286133E-4</v>
      </c>
      <c r="H251" s="180">
        <v>9.1418204127611028E-4</v>
      </c>
      <c r="I251" s="180">
        <v>1.1825978430535619E-3</v>
      </c>
      <c r="J251" s="180">
        <v>-1.1104731462091626E-4</v>
      </c>
      <c r="K251" s="180">
        <v>7.2136303147440504E-4</v>
      </c>
      <c r="L251" s="180">
        <v>-3.0145919518466895E-4</v>
      </c>
      <c r="M251" s="180">
        <v>1.371253710214986E-3</v>
      </c>
      <c r="N251" s="180">
        <v>1.1713887062549742E-3</v>
      </c>
      <c r="O251" s="180">
        <v>6.8149888740689005E-4</v>
      </c>
      <c r="P251" s="180">
        <v>9.2810945195530823E-4</v>
      </c>
      <c r="Q251" s="180">
        <v>7.3578315539153108E-4</v>
      </c>
      <c r="R251" s="180">
        <v>1.3757321359017424E-4</v>
      </c>
      <c r="S251" s="180">
        <v>5.7515792739731505E-4</v>
      </c>
      <c r="T251" s="180">
        <v>2.4076387457302071E-4</v>
      </c>
      <c r="U251" s="180">
        <v>6.7839144071882979E-4</v>
      </c>
      <c r="V251" s="180">
        <v>4.3589033448327737E-4</v>
      </c>
      <c r="W251" s="180">
        <v>4.3355644868225306E-4</v>
      </c>
      <c r="X251" s="180">
        <v>7.5220949128439868E-4</v>
      </c>
      <c r="Y251" s="180">
        <v>3.4083858597475385E-4</v>
      </c>
      <c r="Z251" s="180">
        <v>9.1111393401995618E-4</v>
      </c>
      <c r="AA251" s="180">
        <v>2.7193308407813446E-3</v>
      </c>
      <c r="AB251" s="180">
        <v>5.6615292191577104E-4</v>
      </c>
      <c r="AC251" s="180">
        <v>3.6538493696828688E-4</v>
      </c>
      <c r="AD251" s="180">
        <v>8.9669180264711685E-5</v>
      </c>
      <c r="AE251" s="180">
        <v>4.9140530374502923E-4</v>
      </c>
      <c r="AF251" s="180">
        <v>1.0278859564771125E-5</v>
      </c>
      <c r="AG251" s="180">
        <v>1.2162400994020978E-3</v>
      </c>
      <c r="AH251" s="180">
        <v>1.3266739677968515E-5</v>
      </c>
      <c r="AI251" s="181">
        <v>-1.9722713194093662E-4</v>
      </c>
    </row>
    <row r="252" spans="2:35" x14ac:dyDescent="0.25">
      <c r="B252" s="163" t="str">
        <f>'Market Data'!$B$38</f>
        <v>PFE</v>
      </c>
      <c r="C252" s="160">
        <f>Statistics!$G$40</f>
        <v>7.6042605716081235E-3</v>
      </c>
      <c r="E252" s="168">
        <v>0</v>
      </c>
      <c r="F252" s="85" t="str">
        <v>PFE</v>
      </c>
      <c r="G252" s="179">
        <v>1.105136574328315E-3</v>
      </c>
      <c r="H252" s="180">
        <v>1.0081234358528435E-3</v>
      </c>
      <c r="I252" s="180">
        <v>1.2950969606515986E-3</v>
      </c>
      <c r="J252" s="180">
        <v>7.9610645869862182E-4</v>
      </c>
      <c r="K252" s="180">
        <v>1.5185012123350332E-3</v>
      </c>
      <c r="L252" s="180">
        <v>1.0966581694716135E-3</v>
      </c>
      <c r="M252" s="180">
        <v>2.2541080192876768E-3</v>
      </c>
      <c r="N252" s="180">
        <v>1.4909638464124207E-3</v>
      </c>
      <c r="O252" s="180">
        <v>1.1596920910434683E-3</v>
      </c>
      <c r="P252" s="180">
        <v>1.2974763649140325E-3</v>
      </c>
      <c r="Q252" s="180">
        <v>8.5234066580948517E-4</v>
      </c>
      <c r="R252" s="180">
        <v>7.9545047293496068E-4</v>
      </c>
      <c r="S252" s="180">
        <v>9.9184976149502301E-4</v>
      </c>
      <c r="T252" s="180">
        <v>1.174922395291398E-3</v>
      </c>
      <c r="U252" s="180">
        <v>1.3592270505613203E-3</v>
      </c>
      <c r="V252" s="180">
        <v>6.3614560547018231E-4</v>
      </c>
      <c r="W252" s="180">
        <v>9.4939047744066322E-4</v>
      </c>
      <c r="X252" s="180">
        <v>1.1108584905280188E-3</v>
      </c>
      <c r="Y252" s="180">
        <v>1.3412346285691251E-3</v>
      </c>
      <c r="Z252" s="180">
        <v>1.1007292150403058E-3</v>
      </c>
      <c r="AA252" s="180">
        <v>5.6615292191577104E-4</v>
      </c>
      <c r="AB252" s="180">
        <v>2.4354805215546461E-3</v>
      </c>
      <c r="AC252" s="180">
        <v>7.7698221980775051E-4</v>
      </c>
      <c r="AD252" s="180">
        <v>7.5423895885674786E-4</v>
      </c>
      <c r="AE252" s="180">
        <v>1.3524566727664237E-3</v>
      </c>
      <c r="AF252" s="180">
        <v>6.9733723903610885E-4</v>
      </c>
      <c r="AG252" s="180">
        <v>1.6142857385330945E-3</v>
      </c>
      <c r="AH252" s="180">
        <v>6.1756439897017149E-4</v>
      </c>
      <c r="AI252" s="181">
        <v>8.1835922434987771E-4</v>
      </c>
    </row>
    <row r="253" spans="2:35" x14ac:dyDescent="0.25">
      <c r="B253" s="163" t="str">
        <f>'Market Data'!$B$39</f>
        <v>PG</v>
      </c>
      <c r="C253" s="160">
        <f>Statistics!$G$41</f>
        <v>6.7668222923833359E-3</v>
      </c>
      <c r="E253" s="168">
        <v>4.9531664034920653E-2</v>
      </c>
      <c r="F253" s="85" t="str">
        <v>PG</v>
      </c>
      <c r="G253" s="179">
        <v>1.0336127768185608E-3</v>
      </c>
      <c r="H253" s="180">
        <v>4.150551569421239E-4</v>
      </c>
      <c r="I253" s="180">
        <v>5.997217417536032E-4</v>
      </c>
      <c r="J253" s="180">
        <v>4.9254664842985144E-4</v>
      </c>
      <c r="K253" s="180">
        <v>1.0690588122897406E-3</v>
      </c>
      <c r="L253" s="180">
        <v>8.4385070363078498E-4</v>
      </c>
      <c r="M253" s="180">
        <v>1.1783213677355128E-3</v>
      </c>
      <c r="N253" s="180">
        <v>6.6920552953337459E-4</v>
      </c>
      <c r="O253" s="180">
        <v>8.669689440805547E-4</v>
      </c>
      <c r="P253" s="180">
        <v>6.8796273406052837E-4</v>
      </c>
      <c r="Q253" s="180">
        <v>4.7474349038820928E-4</v>
      </c>
      <c r="R253" s="180">
        <v>5.5361049131124631E-4</v>
      </c>
      <c r="S253" s="180">
        <v>7.9168442412031782E-4</v>
      </c>
      <c r="T253" s="180">
        <v>7.8676359672877393E-4</v>
      </c>
      <c r="U253" s="180">
        <v>7.2953612857905574E-4</v>
      </c>
      <c r="V253" s="180">
        <v>6.5740070509151668E-4</v>
      </c>
      <c r="W253" s="180">
        <v>4.0611550084338323E-4</v>
      </c>
      <c r="X253" s="180">
        <v>7.8023777188204919E-4</v>
      </c>
      <c r="Y253" s="180">
        <v>3.7529952314904947E-4</v>
      </c>
      <c r="Z253" s="180">
        <v>1.0300601718935634E-3</v>
      </c>
      <c r="AA253" s="180">
        <v>3.6538493696828688E-4</v>
      </c>
      <c r="AB253" s="180">
        <v>7.7698221980775051E-4</v>
      </c>
      <c r="AC253" s="180">
        <v>1.4111752678343567E-3</v>
      </c>
      <c r="AD253" s="180">
        <v>1.723275330802805E-4</v>
      </c>
      <c r="AE253" s="180">
        <v>6.4008748533685535E-4</v>
      </c>
      <c r="AF253" s="180">
        <v>2.3535220881827705E-4</v>
      </c>
      <c r="AG253" s="180">
        <v>9.2172519542926422E-4</v>
      </c>
      <c r="AH253" s="180">
        <v>7.2490049760504278E-4</v>
      </c>
      <c r="AI253" s="181">
        <v>6.1092932367000222E-4</v>
      </c>
    </row>
    <row r="254" spans="2:35" x14ac:dyDescent="0.25">
      <c r="B254" s="163" t="str">
        <f>'Market Data'!$B$40</f>
        <v>UNH</v>
      </c>
      <c r="C254" s="160">
        <f>Statistics!$G$42</f>
        <v>2.4695057092687361E-2</v>
      </c>
      <c r="E254" s="168">
        <v>0</v>
      </c>
      <c r="F254" s="85" t="str">
        <v>UNH</v>
      </c>
      <c r="G254" s="179">
        <v>5.5673881663560775E-4</v>
      </c>
      <c r="H254" s="180">
        <v>9.035040942327959E-4</v>
      </c>
      <c r="I254" s="180">
        <v>6.5863568330466196E-4</v>
      </c>
      <c r="J254" s="180">
        <v>7.8373416165496384E-4</v>
      </c>
      <c r="K254" s="180">
        <v>1.0321561899434074E-3</v>
      </c>
      <c r="L254" s="180">
        <v>8.9699068571536217E-4</v>
      </c>
      <c r="M254" s="180">
        <v>1.3915459916452729E-3</v>
      </c>
      <c r="N254" s="180">
        <v>9.9320622386439117E-4</v>
      </c>
      <c r="O254" s="180">
        <v>6.9406421327386882E-4</v>
      </c>
      <c r="P254" s="180">
        <v>1.248419321363809E-3</v>
      </c>
      <c r="Q254" s="180">
        <v>6.4915062582396636E-4</v>
      </c>
      <c r="R254" s="180">
        <v>8.8298395118505178E-4</v>
      </c>
      <c r="S254" s="180">
        <v>5.6633014876153942E-4</v>
      </c>
      <c r="T254" s="180">
        <v>4.4624886795118808E-4</v>
      </c>
      <c r="U254" s="180">
        <v>1.2617149248905092E-3</v>
      </c>
      <c r="V254" s="180">
        <v>1.2737483924284157E-4</v>
      </c>
      <c r="W254" s="180">
        <v>3.5874031329227935E-4</v>
      </c>
      <c r="X254" s="180">
        <v>9.8369986573183495E-4</v>
      </c>
      <c r="Y254" s="180">
        <v>8.5985137540516086E-4</v>
      </c>
      <c r="Z254" s="180">
        <v>2.4058610256342332E-4</v>
      </c>
      <c r="AA254" s="180">
        <v>8.9669180264711685E-5</v>
      </c>
      <c r="AB254" s="180">
        <v>7.5423895885674786E-4</v>
      </c>
      <c r="AC254" s="180">
        <v>1.723275330802805E-4</v>
      </c>
      <c r="AD254" s="180">
        <v>1.9588021355587989E-3</v>
      </c>
      <c r="AE254" s="180">
        <v>1.3013762269017E-3</v>
      </c>
      <c r="AF254" s="180">
        <v>4.3562344006968111E-4</v>
      </c>
      <c r="AG254" s="180">
        <v>6.7255745531353401E-4</v>
      </c>
      <c r="AH254" s="180">
        <v>2.5472583633253342E-4</v>
      </c>
      <c r="AI254" s="181">
        <v>7.6037739981613735E-4</v>
      </c>
    </row>
    <row r="255" spans="2:35" x14ac:dyDescent="0.25">
      <c r="B255" s="163" t="str">
        <f>'Market Data'!$B$41</f>
        <v>UTX</v>
      </c>
      <c r="C255" s="160">
        <f>Statistics!$G$43</f>
        <v>7.3861111519648165E-3</v>
      </c>
      <c r="E255" s="168">
        <v>0</v>
      </c>
      <c r="F255" s="85" t="str">
        <v>UTX</v>
      </c>
      <c r="G255" s="179">
        <v>1.2367738317379871E-3</v>
      </c>
      <c r="H255" s="180">
        <v>1.9679940702890687E-3</v>
      </c>
      <c r="I255" s="180">
        <v>1.846395156096473E-3</v>
      </c>
      <c r="J255" s="180">
        <v>2.1924453554447642E-3</v>
      </c>
      <c r="K255" s="180">
        <v>2.0848208418056797E-3</v>
      </c>
      <c r="L255" s="180">
        <v>1.7655731333339048E-3</v>
      </c>
      <c r="M255" s="180">
        <v>3.4844332298577191E-3</v>
      </c>
      <c r="N255" s="180">
        <v>1.6618009644053405E-3</v>
      </c>
      <c r="O255" s="180">
        <v>1.9210155408337607E-3</v>
      </c>
      <c r="P255" s="180">
        <v>2.1674424403236793E-3</v>
      </c>
      <c r="Q255" s="180">
        <v>1.2386809813748902E-3</v>
      </c>
      <c r="R255" s="180">
        <v>1.5169272523521361E-3</v>
      </c>
      <c r="S255" s="180">
        <v>1.2132957377483657E-3</v>
      </c>
      <c r="T255" s="180">
        <v>1.0117367356107026E-3</v>
      </c>
      <c r="U255" s="180">
        <v>1.8453743354725578E-3</v>
      </c>
      <c r="V255" s="180">
        <v>5.7087013169956707E-4</v>
      </c>
      <c r="W255" s="180">
        <v>8.7888532505727346E-4</v>
      </c>
      <c r="X255" s="180">
        <v>1.8471574472775569E-3</v>
      </c>
      <c r="Y255" s="180">
        <v>1.4646144344401168E-3</v>
      </c>
      <c r="Z255" s="180">
        <v>9.3007091875184366E-4</v>
      </c>
      <c r="AA255" s="180">
        <v>4.9140530374502923E-4</v>
      </c>
      <c r="AB255" s="180">
        <v>1.3524566727664237E-3</v>
      </c>
      <c r="AC255" s="180">
        <v>6.4008748533685535E-4</v>
      </c>
      <c r="AD255" s="180">
        <v>1.3013762269017E-3</v>
      </c>
      <c r="AE255" s="180">
        <v>3.1502830070701034E-3</v>
      </c>
      <c r="AF255" s="180">
        <v>3.2120511051046262E-4</v>
      </c>
      <c r="AG255" s="180">
        <v>1.6964262161404888E-3</v>
      </c>
      <c r="AH255" s="180">
        <v>2.8814451862251201E-4</v>
      </c>
      <c r="AI255" s="181">
        <v>1.3259012920786922E-3</v>
      </c>
    </row>
    <row r="256" spans="2:35" x14ac:dyDescent="0.25">
      <c r="B256" s="163" t="str">
        <f>'Market Data'!$B$42</f>
        <v>VZ</v>
      </c>
      <c r="C256" s="160">
        <f>Statistics!$G$44</f>
        <v>5.0086030759070753E-3</v>
      </c>
      <c r="E256" s="168">
        <v>0.12236740023104571</v>
      </c>
      <c r="F256" s="85" t="str">
        <v>VZ</v>
      </c>
      <c r="G256" s="179">
        <v>1.8457278448214234E-4</v>
      </c>
      <c r="H256" s="180">
        <v>-7.7366109832012643E-5</v>
      </c>
      <c r="I256" s="180">
        <v>3.7914592931386057E-4</v>
      </c>
      <c r="J256" s="180">
        <v>6.8929109799853135E-4</v>
      </c>
      <c r="K256" s="180">
        <v>5.9888719676582812E-4</v>
      </c>
      <c r="L256" s="180">
        <v>7.5916190680994219E-4</v>
      </c>
      <c r="M256" s="180">
        <v>9.2727826439514978E-4</v>
      </c>
      <c r="N256" s="180">
        <v>5.8624704841600517E-4</v>
      </c>
      <c r="O256" s="180">
        <v>1.0256274934399997E-3</v>
      </c>
      <c r="P256" s="180">
        <v>3.7523862948950627E-4</v>
      </c>
      <c r="Q256" s="180">
        <v>1.1189073531181803E-4</v>
      </c>
      <c r="R256" s="180">
        <v>2.033685246020378E-4</v>
      </c>
      <c r="S256" s="180">
        <v>8.2166255763751334E-4</v>
      </c>
      <c r="T256" s="180">
        <v>7.3214708969514145E-4</v>
      </c>
      <c r="U256" s="180">
        <v>3.9836144643633019E-4</v>
      </c>
      <c r="V256" s="180">
        <v>4.9096142938173941E-4</v>
      </c>
      <c r="W256" s="180">
        <v>6.7734327840461236E-4</v>
      </c>
      <c r="X256" s="180">
        <v>5.9539589470078522E-4</v>
      </c>
      <c r="Y256" s="180">
        <v>3.3006228708408361E-4</v>
      </c>
      <c r="Z256" s="180">
        <v>7.4555370224549768E-4</v>
      </c>
      <c r="AA256" s="180">
        <v>1.0278859564771125E-5</v>
      </c>
      <c r="AB256" s="180">
        <v>6.9733723903610885E-4</v>
      </c>
      <c r="AC256" s="180">
        <v>2.3535220881827705E-4</v>
      </c>
      <c r="AD256" s="180">
        <v>4.3562344006968111E-4</v>
      </c>
      <c r="AE256" s="180">
        <v>3.2120511051046262E-4</v>
      </c>
      <c r="AF256" s="180">
        <v>2.0420562729853461E-3</v>
      </c>
      <c r="AG256" s="180">
        <v>3.5270826394507459E-4</v>
      </c>
      <c r="AH256" s="180">
        <v>4.5696587310639262E-4</v>
      </c>
      <c r="AI256" s="181">
        <v>6.4524949399266879E-4</v>
      </c>
    </row>
    <row r="257" spans="2:35" x14ac:dyDescent="0.25">
      <c r="B257" s="163" t="str">
        <f>'Market Data'!$B$43</f>
        <v>V</v>
      </c>
      <c r="C257" s="160">
        <f>Statistics!$G$45</f>
        <v>1.7947618128132319E-2</v>
      </c>
      <c r="E257" s="168">
        <v>0</v>
      </c>
      <c r="F257" s="85" t="str">
        <v>V</v>
      </c>
      <c r="G257" s="179">
        <v>1.5697677901095443E-3</v>
      </c>
      <c r="H257" s="180">
        <v>2.1563583115517065E-3</v>
      </c>
      <c r="I257" s="180">
        <v>2.2475777063178958E-3</v>
      </c>
      <c r="J257" s="180">
        <v>1.4624027030174886E-3</v>
      </c>
      <c r="K257" s="180">
        <v>2.8598074505702059E-3</v>
      </c>
      <c r="L257" s="180">
        <v>9.2897312946466114E-4</v>
      </c>
      <c r="M257" s="180">
        <v>3.0677861856869904E-3</v>
      </c>
      <c r="N257" s="180">
        <v>2.2204011828610088E-3</v>
      </c>
      <c r="O257" s="180">
        <v>1.7646874198991678E-3</v>
      </c>
      <c r="P257" s="180">
        <v>2.0541307067505868E-3</v>
      </c>
      <c r="Q257" s="180">
        <v>1.2055891827737501E-3</v>
      </c>
      <c r="R257" s="180">
        <v>1.2306885914741903E-3</v>
      </c>
      <c r="S257" s="180">
        <v>1.8678530672680304E-3</v>
      </c>
      <c r="T257" s="180">
        <v>8.2747273857601913E-4</v>
      </c>
      <c r="U257" s="180">
        <v>1.9463933682734615E-3</v>
      </c>
      <c r="V257" s="180">
        <v>9.4999344105865064E-4</v>
      </c>
      <c r="W257" s="180">
        <v>1.0020182531469391E-3</v>
      </c>
      <c r="X257" s="180">
        <v>1.59984129324471E-3</v>
      </c>
      <c r="Y257" s="180">
        <v>1.1984054366898813E-3</v>
      </c>
      <c r="Z257" s="180">
        <v>1.5294825998788863E-3</v>
      </c>
      <c r="AA257" s="180">
        <v>1.2162400994020978E-3</v>
      </c>
      <c r="AB257" s="180">
        <v>1.6142857385330945E-3</v>
      </c>
      <c r="AC257" s="180">
        <v>9.2172519542926422E-4</v>
      </c>
      <c r="AD257" s="180">
        <v>6.7255745531353401E-4</v>
      </c>
      <c r="AE257" s="180">
        <v>1.6964262161404888E-3</v>
      </c>
      <c r="AF257" s="180">
        <v>3.5270826394507459E-4</v>
      </c>
      <c r="AG257" s="180">
        <v>3.6944718915923875E-3</v>
      </c>
      <c r="AH257" s="180">
        <v>2.1280259291490004E-4</v>
      </c>
      <c r="AI257" s="181">
        <v>9.4116112769672574E-4</v>
      </c>
    </row>
    <row r="258" spans="2:35" x14ac:dyDescent="0.25">
      <c r="B258" s="163" t="str">
        <f>'Market Data'!$B$44</f>
        <v>WMT</v>
      </c>
      <c r="C258" s="160">
        <f>Statistics!$G$46</f>
        <v>1.8437214178450567E-3</v>
      </c>
      <c r="E258" s="168">
        <v>0.24659068765596789</v>
      </c>
      <c r="F258" s="85" t="str">
        <v>WMT</v>
      </c>
      <c r="G258" s="179">
        <v>5.7975796375205426E-4</v>
      </c>
      <c r="H258" s="180">
        <v>2.6973274792062105E-5</v>
      </c>
      <c r="I258" s="180">
        <v>1.7979190170774528E-4</v>
      </c>
      <c r="J258" s="180">
        <v>-2.1581932882750213E-4</v>
      </c>
      <c r="K258" s="180">
        <v>3.2563207166723412E-4</v>
      </c>
      <c r="L258" s="180">
        <v>1.437380584121094E-4</v>
      </c>
      <c r="M258" s="180">
        <v>-2.3301122426120984E-5</v>
      </c>
      <c r="N258" s="180">
        <v>-1.1672694641114529E-4</v>
      </c>
      <c r="O258" s="180">
        <v>3.1986346053900631E-5</v>
      </c>
      <c r="P258" s="180">
        <v>-5.4295264980806504E-5</v>
      </c>
      <c r="Q258" s="180">
        <v>1.9815526434870993E-4</v>
      </c>
      <c r="R258" s="180">
        <v>3.7610030291999273E-4</v>
      </c>
      <c r="S258" s="180">
        <v>-1.8556188989019865E-5</v>
      </c>
      <c r="T258" s="180">
        <v>7.1470891411086447E-4</v>
      </c>
      <c r="U258" s="180">
        <v>7.503242005510376E-5</v>
      </c>
      <c r="V258" s="180">
        <v>6.4703627119224946E-4</v>
      </c>
      <c r="W258" s="180">
        <v>4.237060092283065E-5</v>
      </c>
      <c r="X258" s="180">
        <v>4.5051539698961655E-4</v>
      </c>
      <c r="Y258" s="180">
        <v>4.389896882024129E-4</v>
      </c>
      <c r="Z258" s="180">
        <v>-3.4970831020819231E-4</v>
      </c>
      <c r="AA258" s="180">
        <v>1.3266739677968515E-5</v>
      </c>
      <c r="AB258" s="180">
        <v>6.1756439897017149E-4</v>
      </c>
      <c r="AC258" s="180">
        <v>7.2490049760504278E-4</v>
      </c>
      <c r="AD258" s="180">
        <v>2.5472583633253342E-4</v>
      </c>
      <c r="AE258" s="180">
        <v>2.8814451862251201E-4</v>
      </c>
      <c r="AF258" s="180">
        <v>4.5696587310639262E-4</v>
      </c>
      <c r="AG258" s="180">
        <v>2.1280259291490004E-4</v>
      </c>
      <c r="AH258" s="180">
        <v>1.9253008332035728E-3</v>
      </c>
      <c r="AI258" s="181">
        <v>9.9417778748729687E-5</v>
      </c>
    </row>
    <row r="259" spans="2:35" x14ac:dyDescent="0.25">
      <c r="B259" s="164" t="str">
        <f>'Market Data'!$B$45</f>
        <v>XOM</v>
      </c>
      <c r="C259" s="165">
        <f>Statistics!$G$47</f>
        <v>1.7101166353118678E-3</v>
      </c>
      <c r="E259" s="169">
        <v>0.21870737008756874</v>
      </c>
      <c r="F259" s="86" t="str">
        <v>XOM</v>
      </c>
      <c r="G259" s="179">
        <v>8.3126780280069973E-4</v>
      </c>
      <c r="H259" s="180">
        <v>9.0240454872836753E-4</v>
      </c>
      <c r="I259" s="180">
        <v>5.5785917505375118E-4</v>
      </c>
      <c r="J259" s="180">
        <v>1.368945659107327E-3</v>
      </c>
      <c r="K259" s="180">
        <v>1.3701802479257339E-3</v>
      </c>
      <c r="L259" s="180">
        <v>1.9286286807754067E-3</v>
      </c>
      <c r="M259" s="180">
        <v>2.1182301102402332E-3</v>
      </c>
      <c r="N259" s="180">
        <v>1.3292278052638991E-3</v>
      </c>
      <c r="O259" s="180">
        <v>1.6264073394302158E-3</v>
      </c>
      <c r="P259" s="180">
        <v>1.4387650786059658E-3</v>
      </c>
      <c r="Q259" s="180">
        <v>5.7016164369997474E-4</v>
      </c>
      <c r="R259" s="180">
        <v>1.0970123689928199E-3</v>
      </c>
      <c r="S259" s="180">
        <v>1.0791409093812321E-3</v>
      </c>
      <c r="T259" s="180">
        <v>7.4627799983375924E-4</v>
      </c>
      <c r="U259" s="180">
        <v>1.3958094738143344E-3</v>
      </c>
      <c r="V259" s="180">
        <v>5.1805651820066112E-4</v>
      </c>
      <c r="W259" s="180">
        <v>6.6389606634421081E-4</v>
      </c>
      <c r="X259" s="180">
        <v>1.2697174541958882E-3</v>
      </c>
      <c r="Y259" s="180">
        <v>5.8214330295854532E-4</v>
      </c>
      <c r="Z259" s="180">
        <v>1.2219742467918569E-3</v>
      </c>
      <c r="AA259" s="180">
        <v>-1.9722713194093662E-4</v>
      </c>
      <c r="AB259" s="180">
        <v>8.1835922434987771E-4</v>
      </c>
      <c r="AC259" s="180">
        <v>6.1092932367000222E-4</v>
      </c>
      <c r="AD259" s="180">
        <v>7.6037739981613735E-4</v>
      </c>
      <c r="AE259" s="180">
        <v>1.3259012920786922E-3</v>
      </c>
      <c r="AF259" s="180">
        <v>6.4524949399266879E-4</v>
      </c>
      <c r="AG259" s="180">
        <v>9.4116112769672574E-4</v>
      </c>
      <c r="AH259" s="180">
        <v>9.9417778748729687E-5</v>
      </c>
      <c r="AI259" s="181">
        <v>1.845802781732033E-3</v>
      </c>
    </row>
    <row r="260" spans="2:35" x14ac:dyDescent="0.25">
      <c r="B260" s="3"/>
      <c r="C260" s="3"/>
      <c r="D260" s="3"/>
      <c r="E260" s="182">
        <f>SUM(E231:E259)</f>
        <v>0.99999999999999978</v>
      </c>
      <c r="F260" s="3"/>
      <c r="G260" s="184">
        <f>_xll.SumProduct2(TR3_PORTFOLIO_WEIGHTS,G231:G259)*G229</f>
        <v>0</v>
      </c>
      <c r="H260" s="185">
        <f>_xll.SumProduct2(TR3_PORTFOLIO_WEIGHTS,H231:H259)*H229</f>
        <v>7.6734849848032609E-6</v>
      </c>
      <c r="I260" s="185">
        <f>_xll.SumProduct2(TR3_PORTFOLIO_WEIGHTS,I231:I259)*I229</f>
        <v>0</v>
      </c>
      <c r="J260" s="185">
        <f>_xll.SumProduct2(TR3_PORTFOLIO_WEIGHTS,J231:J259)*J229</f>
        <v>0</v>
      </c>
      <c r="K260" s="185">
        <f>_xll.SumProduct2(TR3_PORTFOLIO_WEIGHTS,K231:K259)*K229</f>
        <v>0</v>
      </c>
      <c r="L260" s="185">
        <f>_xll.SumProduct2(TR3_PORTFOLIO_WEIGHTS,L231:L259)*L229</f>
        <v>0</v>
      </c>
      <c r="M260" s="185">
        <f>_xll.SumProduct2(TR3_PORTFOLIO_WEIGHTS,M231:M259)*M229</f>
        <v>0</v>
      </c>
      <c r="N260" s="185">
        <f>_xll.SumProduct2(TR3_PORTFOLIO_WEIGHTS,N231:N259)*N229</f>
        <v>0</v>
      </c>
      <c r="O260" s="185">
        <f>_xll.SumProduct2(TR3_PORTFOLIO_WEIGHTS,O231:O259)*O229</f>
        <v>0</v>
      </c>
      <c r="P260" s="185">
        <f>_xll.SumProduct2(TR3_PORTFOLIO_WEIGHTS,P231:P259)*P229</f>
        <v>0</v>
      </c>
      <c r="Q260" s="185">
        <f>_xll.SumProduct2(TR3_PORTFOLIO_WEIGHTS,Q231:Q259)*Q229</f>
        <v>0</v>
      </c>
      <c r="R260" s="185">
        <f>_xll.SumProduct2(TR3_PORTFOLIO_WEIGHTS,R231:R259)*R229</f>
        <v>4.228571569892814E-5</v>
      </c>
      <c r="S260" s="185">
        <f>_xll.SumProduct2(TR3_PORTFOLIO_WEIGHTS,S231:S259)*S229</f>
        <v>0</v>
      </c>
      <c r="T260" s="185">
        <f>_xll.SumProduct2(TR3_PORTFOLIO_WEIGHTS,T231:T259)*T229</f>
        <v>0</v>
      </c>
      <c r="U260" s="185">
        <f>_xll.SumProduct2(TR3_PORTFOLIO_WEIGHTS,U231:U259)*U229</f>
        <v>0</v>
      </c>
      <c r="V260" s="185">
        <f>_xll.SumProduct2(TR3_PORTFOLIO_WEIGHTS,V231:V259)*V229</f>
        <v>6.5114657822620378E-5</v>
      </c>
      <c r="W260" s="185">
        <f>_xll.SumProduct2(TR3_PORTFOLIO_WEIGHTS,W231:W259)*W229</f>
        <v>3.4600798590243969E-5</v>
      </c>
      <c r="X260" s="185">
        <f>_xll.SumProduct2(TR3_PORTFOLIO_WEIGHTS,X231:X259)*X229</f>
        <v>0</v>
      </c>
      <c r="Y260" s="185">
        <f>_xll.SumProduct2(TR3_PORTFOLIO_WEIGHTS,Y231:Y259)*Y229</f>
        <v>0</v>
      </c>
      <c r="Z260" s="185">
        <f>_xll.SumProduct2(TR3_PORTFOLIO_WEIGHTS,Z231:Z259)*Z229</f>
        <v>0</v>
      </c>
      <c r="AA260" s="185">
        <f>_xll.SumProduct2(TR3_PORTFOLIO_WEIGHTS,AA231:AA259)*AA229</f>
        <v>5.1577640796798244E-5</v>
      </c>
      <c r="AB260" s="185">
        <f>_xll.SumProduct2(TR3_PORTFOLIO_WEIGHTS,AB231:AB259)*AB229</f>
        <v>0</v>
      </c>
      <c r="AC260" s="185">
        <f>_xll.SumProduct2(TR3_PORTFOLIO_WEIGHTS,AC231:AC259)*AC229</f>
        <v>2.9116149474575862E-5</v>
      </c>
      <c r="AD260" s="185">
        <f>_xll.SumProduct2(TR3_PORTFOLIO_WEIGHTS,AD231:AD259)*AD229</f>
        <v>0</v>
      </c>
      <c r="AE260" s="185">
        <f>_xll.SumProduct2(TR3_PORTFOLIO_WEIGHTS,AE231:AE259)*AE229</f>
        <v>0</v>
      </c>
      <c r="AF260" s="185">
        <f>_xll.SumProduct2(TR3_PORTFOLIO_WEIGHTS,AF231:AF259)*AF229</f>
        <v>7.5968743107672064E-5</v>
      </c>
      <c r="AG260" s="185">
        <f>_xll.SumProduct2(TR3_PORTFOLIO_WEIGHTS,AG231:AG259)*AG229</f>
        <v>0</v>
      </c>
      <c r="AH260" s="185">
        <f>_xll.SumProduct2(TR3_PORTFOLIO_WEIGHTS,AH231:AH259)*AH229</f>
        <v>1.6802763541900963E-4</v>
      </c>
      <c r="AI260" s="189">
        <f>_xll.SumProduct2(TR3_PORTFOLIO_WEIGHTS,AI231:AI259)*AI229</f>
        <v>1.4962463659353361E-4</v>
      </c>
    </row>
    <row r="261" spans="2:35" x14ac:dyDescent="0.25">
      <c r="B261" s="3"/>
      <c r="C261" s="3"/>
      <c r="D261" s="3"/>
      <c r="E261" s="3"/>
      <c r="F261" s="3"/>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row>
    <row r="262" spans="2:35" ht="20.25" thickBot="1" x14ac:dyDescent="0.35">
      <c r="B262" s="153" t="str">
        <f>ROUND(TR4_PORTFOLIO_TARGET_RETURN*100, LABEL_ROUNDING) &amp; "% Target Return Portfolio (TR4)"</f>
        <v>0.647% Target Return Portfolio (TR4)</v>
      </c>
      <c r="C262" s="153"/>
      <c r="D262" s="153"/>
      <c r="E262" s="154"/>
      <c r="F262" s="153"/>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row>
    <row r="263" spans="2:35" ht="15.75" thickTop="1" x14ac:dyDescent="0.25">
      <c r="B263" s="156" t="s">
        <v>70</v>
      </c>
      <c r="C263" s="159">
        <f>TR4_PORTFOLIO_TARGET_RETURN</f>
        <v>6.4713911154735881E-3</v>
      </c>
    </row>
    <row r="264" spans="2:35" x14ac:dyDescent="0.25">
      <c r="B264" s="157" t="s">
        <v>60</v>
      </c>
      <c r="C264" s="160">
        <f>_xll.SumProduct2(C269:C297,E269:E297)-RISK_FREE_RATE</f>
        <v>6.4713911658301074E-3</v>
      </c>
    </row>
    <row r="265" spans="2:35" x14ac:dyDescent="0.25">
      <c r="B265" s="157" t="s">
        <v>62</v>
      </c>
      <c r="C265" s="160">
        <f>SQRT(SUM(G298:AI298))</f>
        <v>2.4167887080059302E-2</v>
      </c>
    </row>
    <row r="266" spans="2:35" x14ac:dyDescent="0.25">
      <c r="B266" s="158" t="s">
        <v>103</v>
      </c>
      <c r="C266" s="161" t="str">
        <f>_xll.TimeSeries.CovarianceMatrixCalculator.apply(COVARIANCE_MATRIX_CALCULATOR,'Efficient Frontier'!B269:B297,Statistics!$F$19:$F$47)</f>
        <v>»LabelledMatrix-16705291694770987808</v>
      </c>
      <c r="D266" t="s">
        <v>77</v>
      </c>
    </row>
    <row r="267" spans="2:35" x14ac:dyDescent="0.25">
      <c r="F267" s="111" t="s">
        <v>69</v>
      </c>
      <c r="G267" s="170">
        <f t="array" ref="G267:AI267">TRANSPOSE(E269:E297)</f>
        <v>0</v>
      </c>
      <c r="H267" s="171">
        <v>1.1891258759605146E-2</v>
      </c>
      <c r="I267" s="171">
        <v>0</v>
      </c>
      <c r="J267" s="171">
        <v>0</v>
      </c>
      <c r="K267" s="171">
        <v>0</v>
      </c>
      <c r="L267" s="171">
        <v>0</v>
      </c>
      <c r="M267" s="171">
        <v>0</v>
      </c>
      <c r="N267" s="171">
        <v>0</v>
      </c>
      <c r="O267" s="171">
        <v>0</v>
      </c>
      <c r="P267" s="171">
        <v>0</v>
      </c>
      <c r="Q267" s="171">
        <v>0</v>
      </c>
      <c r="R267" s="171">
        <v>3.3095981549602214E-2</v>
      </c>
      <c r="S267" s="171">
        <v>0</v>
      </c>
      <c r="T267" s="171">
        <v>0</v>
      </c>
      <c r="U267" s="171">
        <v>0</v>
      </c>
      <c r="V267" s="171">
        <v>6.8320116931708239E-2</v>
      </c>
      <c r="W267" s="171">
        <v>8.5461326487753939E-2</v>
      </c>
      <c r="X267" s="171">
        <v>0</v>
      </c>
      <c r="Y267" s="171">
        <v>2.434987055286433E-2</v>
      </c>
      <c r="Z267" s="171">
        <v>0</v>
      </c>
      <c r="AA267" s="171">
        <v>0.15133617017066284</v>
      </c>
      <c r="AB267" s="171">
        <v>0</v>
      </c>
      <c r="AC267" s="171">
        <v>8.4981481095290634E-2</v>
      </c>
      <c r="AD267" s="171">
        <v>3.2967124234980327E-2</v>
      </c>
      <c r="AE267" s="171">
        <v>0</v>
      </c>
      <c r="AF267" s="171">
        <v>0.12008262743977896</v>
      </c>
      <c r="AG267" s="171">
        <v>0</v>
      </c>
      <c r="AH267" s="171">
        <v>0.21141451557608376</v>
      </c>
      <c r="AI267" s="172">
        <v>0.17609952720166971</v>
      </c>
    </row>
    <row r="268" spans="2:35" x14ac:dyDescent="0.25">
      <c r="C268" s="111" t="s">
        <v>63</v>
      </c>
      <c r="E268" s="89" t="s">
        <v>69</v>
      </c>
      <c r="F268" s="166" t="str">
        <f t="array" ref="F268:AI297">_xll.Matrix.ExpandAsArray(C266)</f>
        <v/>
      </c>
      <c r="G268" s="173" t="str">
        <v>AAPL</v>
      </c>
      <c r="H268" s="174" t="str">
        <v>AXP</v>
      </c>
      <c r="I268" s="174" t="str">
        <v>BA</v>
      </c>
      <c r="J268" s="174" t="str">
        <v>CAT</v>
      </c>
      <c r="K268" s="174" t="str">
        <v>CSCO</v>
      </c>
      <c r="L268" s="174" t="str">
        <v>CVX</v>
      </c>
      <c r="M268" s="174" t="str">
        <v>DD</v>
      </c>
      <c r="N268" s="174" t="str">
        <v>DIS</v>
      </c>
      <c r="O268" s="174" t="str">
        <v>GE</v>
      </c>
      <c r="P268" s="174" t="str">
        <v>GS</v>
      </c>
      <c r="Q268" s="174" t="str">
        <v>HD</v>
      </c>
      <c r="R268" s="174" t="str">
        <v>IBM</v>
      </c>
      <c r="S268" s="174" t="str">
        <v>INTC</v>
      </c>
      <c r="T268" s="174" t="str">
        <v>JNJ</v>
      </c>
      <c r="U268" s="174" t="str">
        <v>JPM</v>
      </c>
      <c r="V268" s="174" t="str">
        <v>KO</v>
      </c>
      <c r="W268" s="174" t="str">
        <v>MCD</v>
      </c>
      <c r="X268" s="174" t="str">
        <v>MMM</v>
      </c>
      <c r="Y268" s="174" t="str">
        <v>MRK</v>
      </c>
      <c r="Z268" s="174" t="str">
        <v>MSFT</v>
      </c>
      <c r="AA268" s="174" t="str">
        <v>NKE</v>
      </c>
      <c r="AB268" s="174" t="str">
        <v>PFE</v>
      </c>
      <c r="AC268" s="174" t="str">
        <v>PG</v>
      </c>
      <c r="AD268" s="174" t="str">
        <v>UNH</v>
      </c>
      <c r="AE268" s="174" t="str">
        <v>UTX</v>
      </c>
      <c r="AF268" s="174" t="str">
        <v>VZ</v>
      </c>
      <c r="AG268" s="174" t="str">
        <v>V</v>
      </c>
      <c r="AH268" s="174" t="str">
        <v>WMT</v>
      </c>
      <c r="AI268" s="175" t="str">
        <v>XOM</v>
      </c>
    </row>
    <row r="269" spans="2:35" x14ac:dyDescent="0.25">
      <c r="B269" s="162" t="str">
        <f>'Market Data'!$B$17</f>
        <v>AAPL</v>
      </c>
      <c r="C269" s="159">
        <f>Statistics!$G$19</f>
        <v>2.1230184800142136E-2</v>
      </c>
      <c r="E269" s="167">
        <v>0</v>
      </c>
      <c r="F269" s="84" t="str">
        <v>AAPL</v>
      </c>
      <c r="G269" s="176">
        <v>4.5162973293162668E-3</v>
      </c>
      <c r="H269" s="177">
        <v>1.6284380645241216E-3</v>
      </c>
      <c r="I269" s="177">
        <v>1.6201491796022521E-3</v>
      </c>
      <c r="J269" s="177">
        <v>1.5690359790962263E-3</v>
      </c>
      <c r="K269" s="177">
        <v>2.3505409053430782E-3</v>
      </c>
      <c r="L269" s="177">
        <v>1.1773098260505132E-3</v>
      </c>
      <c r="M269" s="177">
        <v>2.5889638042653502E-3</v>
      </c>
      <c r="N269" s="177">
        <v>1.366655807124157E-3</v>
      </c>
      <c r="O269" s="177">
        <v>1.5698375611055285E-3</v>
      </c>
      <c r="P269" s="177">
        <v>1.8109156333145874E-3</v>
      </c>
      <c r="Q269" s="177">
        <v>9.8639311096076088E-4</v>
      </c>
      <c r="R269" s="177">
        <v>1.7737023799007877E-3</v>
      </c>
      <c r="S269" s="177">
        <v>1.6293191413582805E-3</v>
      </c>
      <c r="T269" s="177">
        <v>8.2631268301744008E-4</v>
      </c>
      <c r="U269" s="177">
        <v>1.2529926248616137E-3</v>
      </c>
      <c r="V269" s="177">
        <v>9.6129190129553134E-4</v>
      </c>
      <c r="W269" s="177">
        <v>4.3723596630614248E-4</v>
      </c>
      <c r="X269" s="177">
        <v>1.6042263123932821E-3</v>
      </c>
      <c r="Y269" s="177">
        <v>6.6280896407091964E-4</v>
      </c>
      <c r="Z269" s="177">
        <v>1.7656054736670385E-3</v>
      </c>
      <c r="AA269" s="177">
        <v>7.4054258425286133E-4</v>
      </c>
      <c r="AB269" s="177">
        <v>1.105136574328315E-3</v>
      </c>
      <c r="AC269" s="177">
        <v>1.0336127768185608E-3</v>
      </c>
      <c r="AD269" s="177">
        <v>5.5673881663560775E-4</v>
      </c>
      <c r="AE269" s="177">
        <v>1.2367738317379871E-3</v>
      </c>
      <c r="AF269" s="177">
        <v>1.8457278448214234E-4</v>
      </c>
      <c r="AG269" s="177">
        <v>1.5697677901095443E-3</v>
      </c>
      <c r="AH269" s="177">
        <v>5.7975796375205426E-4</v>
      </c>
      <c r="AI269" s="178">
        <v>8.3126780280069973E-4</v>
      </c>
    </row>
    <row r="270" spans="2:35" x14ac:dyDescent="0.25">
      <c r="B270" s="163" t="str">
        <f>'Market Data'!$B$18</f>
        <v>AXP</v>
      </c>
      <c r="C270" s="160">
        <f>Statistics!$G$20</f>
        <v>6.4918343965214677E-3</v>
      </c>
      <c r="E270" s="168">
        <v>1.1891258759605146E-2</v>
      </c>
      <c r="F270" s="85" t="str">
        <v>AXP</v>
      </c>
      <c r="G270" s="179">
        <v>1.6284380645241216E-3</v>
      </c>
      <c r="H270" s="180">
        <v>4.0660324753009668E-3</v>
      </c>
      <c r="I270" s="180">
        <v>2.3214948032735548E-3</v>
      </c>
      <c r="J270" s="180">
        <v>2.4672804057197504E-3</v>
      </c>
      <c r="K270" s="180">
        <v>2.2861035048804129E-3</v>
      </c>
      <c r="L270" s="180">
        <v>1.4106472819975181E-3</v>
      </c>
      <c r="M270" s="180">
        <v>3.0070268955997704E-3</v>
      </c>
      <c r="N270" s="180">
        <v>1.9718583562846406E-3</v>
      </c>
      <c r="O270" s="180">
        <v>1.6460552176854309E-3</v>
      </c>
      <c r="P270" s="180">
        <v>3.1197862990926528E-3</v>
      </c>
      <c r="Q270" s="180">
        <v>1.285962047454306E-3</v>
      </c>
      <c r="R270" s="180">
        <v>1.960684724858895E-3</v>
      </c>
      <c r="S270" s="180">
        <v>2.0715314739138896E-3</v>
      </c>
      <c r="T270" s="180">
        <v>7.3945969222275051E-4</v>
      </c>
      <c r="U270" s="180">
        <v>2.7840355446374721E-3</v>
      </c>
      <c r="V270" s="180">
        <v>5.6369017954212687E-4</v>
      </c>
      <c r="W270" s="180">
        <v>5.9016175595858627E-4</v>
      </c>
      <c r="X270" s="180">
        <v>1.3680882736390085E-3</v>
      </c>
      <c r="Y270" s="180">
        <v>9.5675499919051471E-4</v>
      </c>
      <c r="Z270" s="180">
        <v>1.7453927826798744E-3</v>
      </c>
      <c r="AA270" s="180">
        <v>9.1418204127611028E-4</v>
      </c>
      <c r="AB270" s="180">
        <v>1.0081234358528435E-3</v>
      </c>
      <c r="AC270" s="180">
        <v>4.150551569421239E-4</v>
      </c>
      <c r="AD270" s="180">
        <v>9.035040942327959E-4</v>
      </c>
      <c r="AE270" s="180">
        <v>1.9679940702890687E-3</v>
      </c>
      <c r="AF270" s="180">
        <v>-7.7366109832012643E-5</v>
      </c>
      <c r="AG270" s="180">
        <v>2.1563583115517065E-3</v>
      </c>
      <c r="AH270" s="180">
        <v>2.6973274792062105E-5</v>
      </c>
      <c r="AI270" s="181">
        <v>9.0240454872836753E-4</v>
      </c>
    </row>
    <row r="271" spans="2:35" x14ac:dyDescent="0.25">
      <c r="B271" s="163" t="str">
        <f>'Market Data'!$B$19</f>
        <v>BA</v>
      </c>
      <c r="C271" s="160">
        <f>Statistics!$G$21</f>
        <v>1.9250861766613322E-2</v>
      </c>
      <c r="E271" s="168">
        <v>0</v>
      </c>
      <c r="F271" s="85" t="str">
        <v>BA</v>
      </c>
      <c r="G271" s="179">
        <v>1.6201491796022521E-3</v>
      </c>
      <c r="H271" s="180">
        <v>2.3214948032735548E-3</v>
      </c>
      <c r="I271" s="180">
        <v>3.7402935775721971E-3</v>
      </c>
      <c r="J271" s="180">
        <v>1.6046317611050844E-3</v>
      </c>
      <c r="K271" s="180">
        <v>2.1240240973260023E-3</v>
      </c>
      <c r="L271" s="180">
        <v>1.3419066335272889E-3</v>
      </c>
      <c r="M271" s="180">
        <v>3.1629198402818382E-3</v>
      </c>
      <c r="N271" s="180">
        <v>2.193611301570318E-3</v>
      </c>
      <c r="O271" s="180">
        <v>1.7334051959416068E-3</v>
      </c>
      <c r="P271" s="180">
        <v>2.2391121271409182E-3</v>
      </c>
      <c r="Q271" s="180">
        <v>1.2911501083222776E-3</v>
      </c>
      <c r="R271" s="180">
        <v>1.1336433634722555E-3</v>
      </c>
      <c r="S271" s="180">
        <v>1.485647562986758E-3</v>
      </c>
      <c r="T271" s="180">
        <v>7.7470388279684329E-4</v>
      </c>
      <c r="U271" s="180">
        <v>1.8054441283061249E-3</v>
      </c>
      <c r="V271" s="180">
        <v>9.7196182882881919E-4</v>
      </c>
      <c r="W271" s="180">
        <v>1.004575731683145E-3</v>
      </c>
      <c r="X271" s="180">
        <v>1.220072170107771E-3</v>
      </c>
      <c r="Y271" s="180">
        <v>1.3506721993334096E-3</v>
      </c>
      <c r="Z271" s="180">
        <v>1.4618979219237266E-3</v>
      </c>
      <c r="AA271" s="180">
        <v>1.1825978430535619E-3</v>
      </c>
      <c r="AB271" s="180">
        <v>1.2950969606515986E-3</v>
      </c>
      <c r="AC271" s="180">
        <v>5.997217417536032E-4</v>
      </c>
      <c r="AD271" s="180">
        <v>6.5863568330466196E-4</v>
      </c>
      <c r="AE271" s="180">
        <v>1.846395156096473E-3</v>
      </c>
      <c r="AF271" s="180">
        <v>3.7914592931386057E-4</v>
      </c>
      <c r="AG271" s="180">
        <v>2.2475777063178958E-3</v>
      </c>
      <c r="AH271" s="180">
        <v>1.7979190170774528E-4</v>
      </c>
      <c r="AI271" s="181">
        <v>5.5785917505375118E-4</v>
      </c>
    </row>
    <row r="272" spans="2:35" x14ac:dyDescent="0.25">
      <c r="B272" s="163" t="str">
        <f>'Market Data'!$B$20</f>
        <v>CAT</v>
      </c>
      <c r="C272" s="160">
        <f>Statistics!$G$22</f>
        <v>6.3545919720494892E-3</v>
      </c>
      <c r="E272" s="168">
        <v>0</v>
      </c>
      <c r="F272" s="85" t="str">
        <v>CAT</v>
      </c>
      <c r="G272" s="179">
        <v>1.5690359790962263E-3</v>
      </c>
      <c r="H272" s="180">
        <v>2.4672804057197504E-3</v>
      </c>
      <c r="I272" s="180">
        <v>1.6046317611050844E-3</v>
      </c>
      <c r="J272" s="180">
        <v>4.5013491323716076E-3</v>
      </c>
      <c r="K272" s="180">
        <v>1.8532157140411887E-3</v>
      </c>
      <c r="L272" s="180">
        <v>2.2352946064681648E-3</v>
      </c>
      <c r="M272" s="180">
        <v>3.0429489894058951E-3</v>
      </c>
      <c r="N272" s="180">
        <v>1.6981712196612736E-3</v>
      </c>
      <c r="O272" s="180">
        <v>2.2046623152336968E-3</v>
      </c>
      <c r="P272" s="180">
        <v>2.3825247137119567E-3</v>
      </c>
      <c r="Q272" s="180">
        <v>1.0587514228509517E-3</v>
      </c>
      <c r="R272" s="180">
        <v>2.1554825858441308E-3</v>
      </c>
      <c r="S272" s="180">
        <v>2.3005603160952529E-3</v>
      </c>
      <c r="T272" s="180">
        <v>9.0633949973445221E-4</v>
      </c>
      <c r="U272" s="180">
        <v>2.011937601179676E-3</v>
      </c>
      <c r="V272" s="180">
        <v>6.586205973694774E-4</v>
      </c>
      <c r="W272" s="180">
        <v>1.2118483675212872E-3</v>
      </c>
      <c r="X272" s="180">
        <v>1.3778500117759705E-3</v>
      </c>
      <c r="Y272" s="180">
        <v>1.6454661341138513E-3</v>
      </c>
      <c r="Z272" s="180">
        <v>2.2842322526096018E-3</v>
      </c>
      <c r="AA272" s="180">
        <v>-1.1104731462091626E-4</v>
      </c>
      <c r="AB272" s="180">
        <v>7.9610645869862182E-4</v>
      </c>
      <c r="AC272" s="180">
        <v>4.9254664842985144E-4</v>
      </c>
      <c r="AD272" s="180">
        <v>7.8373416165496384E-4</v>
      </c>
      <c r="AE272" s="180">
        <v>2.1924453554447642E-3</v>
      </c>
      <c r="AF272" s="180">
        <v>6.8929109799853135E-4</v>
      </c>
      <c r="AG272" s="180">
        <v>1.4624027030174886E-3</v>
      </c>
      <c r="AH272" s="180">
        <v>-2.1581932882750213E-4</v>
      </c>
      <c r="AI272" s="181">
        <v>1.368945659107327E-3</v>
      </c>
    </row>
    <row r="273" spans="2:35" x14ac:dyDescent="0.25">
      <c r="B273" s="163" t="str">
        <f>'Market Data'!$B$21</f>
        <v>CSCO</v>
      </c>
      <c r="C273" s="160">
        <f>Statistics!$G$23</f>
        <v>1.4928779568119917E-2</v>
      </c>
      <c r="E273" s="168">
        <v>0</v>
      </c>
      <c r="F273" s="85" t="str">
        <v>CSCO</v>
      </c>
      <c r="G273" s="179">
        <v>2.3505409053430782E-3</v>
      </c>
      <c r="H273" s="180">
        <v>2.2861035048804129E-3</v>
      </c>
      <c r="I273" s="180">
        <v>2.1240240973260023E-3</v>
      </c>
      <c r="J273" s="180">
        <v>1.8532157140411887E-3</v>
      </c>
      <c r="K273" s="180">
        <v>4.2943797540477393E-3</v>
      </c>
      <c r="L273" s="180">
        <v>1.6495950515362169E-3</v>
      </c>
      <c r="M273" s="180">
        <v>3.7036865533827041E-3</v>
      </c>
      <c r="N273" s="180">
        <v>1.9090150380186609E-3</v>
      </c>
      <c r="O273" s="180">
        <v>2.0168425927536027E-3</v>
      </c>
      <c r="P273" s="180">
        <v>2.2177683830845976E-3</v>
      </c>
      <c r="Q273" s="180">
        <v>9.8504335267051509E-4</v>
      </c>
      <c r="R273" s="180">
        <v>2.2508292865696072E-3</v>
      </c>
      <c r="S273" s="180">
        <v>2.2625583672846289E-3</v>
      </c>
      <c r="T273" s="180">
        <v>1.1094225673998865E-3</v>
      </c>
      <c r="U273" s="180">
        <v>2.0831844183308271E-3</v>
      </c>
      <c r="V273" s="180">
        <v>1.0904984859812852E-3</v>
      </c>
      <c r="W273" s="180">
        <v>8.8656407550750189E-4</v>
      </c>
      <c r="X273" s="180">
        <v>1.6594658489014636E-3</v>
      </c>
      <c r="Y273" s="180">
        <v>1.2877752599161352E-3</v>
      </c>
      <c r="Z273" s="180">
        <v>2.1511833371391734E-3</v>
      </c>
      <c r="AA273" s="180">
        <v>7.2136303147440504E-4</v>
      </c>
      <c r="AB273" s="180">
        <v>1.5185012123350332E-3</v>
      </c>
      <c r="AC273" s="180">
        <v>1.0690588122897406E-3</v>
      </c>
      <c r="AD273" s="180">
        <v>1.0321561899434074E-3</v>
      </c>
      <c r="AE273" s="180">
        <v>2.0848208418056797E-3</v>
      </c>
      <c r="AF273" s="180">
        <v>5.9888719676582812E-4</v>
      </c>
      <c r="AG273" s="180">
        <v>2.8598074505702059E-3</v>
      </c>
      <c r="AH273" s="180">
        <v>3.2563207166723412E-4</v>
      </c>
      <c r="AI273" s="181">
        <v>1.3701802479257339E-3</v>
      </c>
    </row>
    <row r="274" spans="2:35" x14ac:dyDescent="0.25">
      <c r="B274" s="163" t="str">
        <f>'Market Data'!$B$22</f>
        <v>CVX</v>
      </c>
      <c r="C274" s="160">
        <f>Statistics!$G$24</f>
        <v>2.6845541907593424E-3</v>
      </c>
      <c r="E274" s="168">
        <v>0</v>
      </c>
      <c r="F274" s="85" t="str">
        <v>CVX</v>
      </c>
      <c r="G274" s="179">
        <v>1.1773098260505132E-3</v>
      </c>
      <c r="H274" s="180">
        <v>1.4106472819975181E-3</v>
      </c>
      <c r="I274" s="180">
        <v>1.3419066335272889E-3</v>
      </c>
      <c r="J274" s="180">
        <v>2.2352946064681648E-3</v>
      </c>
      <c r="K274" s="180">
        <v>1.6495950515362169E-3</v>
      </c>
      <c r="L274" s="180">
        <v>3.2764948408559465E-3</v>
      </c>
      <c r="M274" s="180">
        <v>2.8277959806832817E-3</v>
      </c>
      <c r="N274" s="180">
        <v>1.8200348202442435E-3</v>
      </c>
      <c r="O274" s="180">
        <v>2.0997855192430963E-3</v>
      </c>
      <c r="P274" s="180">
        <v>2.495859527554455E-3</v>
      </c>
      <c r="Q274" s="180">
        <v>7.9860489883547216E-4</v>
      </c>
      <c r="R274" s="180">
        <v>1.7099575851328929E-3</v>
      </c>
      <c r="S274" s="180">
        <v>1.762362573764028E-3</v>
      </c>
      <c r="T274" s="180">
        <v>1.0006982850928254E-3</v>
      </c>
      <c r="U274" s="180">
        <v>2.159640132817216E-3</v>
      </c>
      <c r="V274" s="180">
        <v>7.7350953916938299E-4</v>
      </c>
      <c r="W274" s="180">
        <v>1.2445101608031307E-3</v>
      </c>
      <c r="X274" s="180">
        <v>1.3396872809028706E-3</v>
      </c>
      <c r="Y274" s="180">
        <v>1.0548817345930506E-3</v>
      </c>
      <c r="Z274" s="180">
        <v>1.921523261676006E-3</v>
      </c>
      <c r="AA274" s="180">
        <v>-3.0145919518466895E-4</v>
      </c>
      <c r="AB274" s="180">
        <v>1.0966581694716135E-3</v>
      </c>
      <c r="AC274" s="180">
        <v>8.4385070363078498E-4</v>
      </c>
      <c r="AD274" s="180">
        <v>8.9699068571536217E-4</v>
      </c>
      <c r="AE274" s="180">
        <v>1.7655731333339048E-3</v>
      </c>
      <c r="AF274" s="180">
        <v>7.5916190680994219E-4</v>
      </c>
      <c r="AG274" s="180">
        <v>9.2897312946466114E-4</v>
      </c>
      <c r="AH274" s="180">
        <v>1.437380584121094E-4</v>
      </c>
      <c r="AI274" s="181">
        <v>1.9286286807754067E-3</v>
      </c>
    </row>
    <row r="275" spans="2:35" x14ac:dyDescent="0.25">
      <c r="B275" s="163" t="str">
        <f>'Market Data'!$B$23</f>
        <v>DD</v>
      </c>
      <c r="C275" s="160">
        <f>Statistics!$G$25</f>
        <v>1.7349865519574785E-2</v>
      </c>
      <c r="E275" s="168">
        <v>0</v>
      </c>
      <c r="F275" s="85" t="str">
        <v>DD</v>
      </c>
      <c r="G275" s="179">
        <v>2.5889638042653502E-3</v>
      </c>
      <c r="H275" s="180">
        <v>3.0070268955997704E-3</v>
      </c>
      <c r="I275" s="180">
        <v>3.1629198402818382E-3</v>
      </c>
      <c r="J275" s="180">
        <v>3.0429489894058951E-3</v>
      </c>
      <c r="K275" s="180">
        <v>3.7036865533827041E-3</v>
      </c>
      <c r="L275" s="180">
        <v>2.8277959806832817E-3</v>
      </c>
      <c r="M275" s="180">
        <v>7.2090294001774871E-3</v>
      </c>
      <c r="N275" s="180">
        <v>3.2246456006375726E-3</v>
      </c>
      <c r="O275" s="180">
        <v>3.2408092269649337E-3</v>
      </c>
      <c r="P275" s="180">
        <v>3.1194558916632768E-3</v>
      </c>
      <c r="Q275" s="180">
        <v>2.0138415935295195E-3</v>
      </c>
      <c r="R275" s="180">
        <v>2.4056181433013803E-3</v>
      </c>
      <c r="S275" s="180">
        <v>2.9333641814070907E-3</v>
      </c>
      <c r="T275" s="180">
        <v>1.7073269232421356E-3</v>
      </c>
      <c r="U275" s="180">
        <v>2.9403656750226037E-3</v>
      </c>
      <c r="V275" s="180">
        <v>1.3828838928124146E-3</v>
      </c>
      <c r="W275" s="180">
        <v>1.5566945864839937E-3</v>
      </c>
      <c r="X275" s="180">
        <v>2.4333011024343194E-3</v>
      </c>
      <c r="Y275" s="180">
        <v>2.1034755337789339E-3</v>
      </c>
      <c r="Z275" s="180">
        <v>3.4647817866697963E-3</v>
      </c>
      <c r="AA275" s="180">
        <v>1.371253710214986E-3</v>
      </c>
      <c r="AB275" s="180">
        <v>2.2541080192876768E-3</v>
      </c>
      <c r="AC275" s="180">
        <v>1.1783213677355128E-3</v>
      </c>
      <c r="AD275" s="180">
        <v>1.3915459916452729E-3</v>
      </c>
      <c r="AE275" s="180">
        <v>3.4844332298577191E-3</v>
      </c>
      <c r="AF275" s="180">
        <v>9.2727826439514978E-4</v>
      </c>
      <c r="AG275" s="180">
        <v>3.0677861856869904E-3</v>
      </c>
      <c r="AH275" s="180">
        <v>-2.3301122426120984E-5</v>
      </c>
      <c r="AI275" s="181">
        <v>2.1182301102402332E-3</v>
      </c>
    </row>
    <row r="276" spans="2:35" x14ac:dyDescent="0.25">
      <c r="B276" s="163" t="str">
        <f>'Market Data'!$B$24</f>
        <v>DIS</v>
      </c>
      <c r="C276" s="160">
        <f>Statistics!$G$26</f>
        <v>1.7109009470709015E-2</v>
      </c>
      <c r="E276" s="168">
        <v>0</v>
      </c>
      <c r="F276" s="85" t="str">
        <v>DIS</v>
      </c>
      <c r="G276" s="179">
        <v>1.366655807124157E-3</v>
      </c>
      <c r="H276" s="180">
        <v>1.9718583562846406E-3</v>
      </c>
      <c r="I276" s="180">
        <v>2.193611301570318E-3</v>
      </c>
      <c r="J276" s="180">
        <v>1.6981712196612736E-3</v>
      </c>
      <c r="K276" s="180">
        <v>1.9090150380186609E-3</v>
      </c>
      <c r="L276" s="180">
        <v>1.8200348202442435E-3</v>
      </c>
      <c r="M276" s="180">
        <v>3.2246456006375726E-3</v>
      </c>
      <c r="N276" s="180">
        <v>3.2225637954133132E-3</v>
      </c>
      <c r="O276" s="180">
        <v>1.7980110839806059E-3</v>
      </c>
      <c r="P276" s="180">
        <v>2.5910429203650125E-3</v>
      </c>
      <c r="Q276" s="180">
        <v>1.4438567521116873E-3</v>
      </c>
      <c r="R276" s="180">
        <v>1.2533920720746924E-3</v>
      </c>
      <c r="S276" s="180">
        <v>1.4872846501875279E-3</v>
      </c>
      <c r="T276" s="180">
        <v>7.6090581351824873E-4</v>
      </c>
      <c r="U276" s="180">
        <v>2.3150492241015347E-3</v>
      </c>
      <c r="V276" s="180">
        <v>7.3157249166013263E-4</v>
      </c>
      <c r="W276" s="180">
        <v>1.0434476997331528E-3</v>
      </c>
      <c r="X276" s="180">
        <v>1.3935802423237448E-3</v>
      </c>
      <c r="Y276" s="180">
        <v>1.1180874248259017E-3</v>
      </c>
      <c r="Z276" s="180">
        <v>1.7514488094562146E-3</v>
      </c>
      <c r="AA276" s="180">
        <v>1.1713887062549742E-3</v>
      </c>
      <c r="AB276" s="180">
        <v>1.4909638464124207E-3</v>
      </c>
      <c r="AC276" s="180">
        <v>6.6920552953337459E-4</v>
      </c>
      <c r="AD276" s="180">
        <v>9.9320622386439117E-4</v>
      </c>
      <c r="AE276" s="180">
        <v>1.6618009644053405E-3</v>
      </c>
      <c r="AF276" s="180">
        <v>5.8624704841600517E-4</v>
      </c>
      <c r="AG276" s="180">
        <v>2.2204011828610088E-3</v>
      </c>
      <c r="AH276" s="180">
        <v>-1.1672694641114529E-4</v>
      </c>
      <c r="AI276" s="181">
        <v>1.3292278052638991E-3</v>
      </c>
    </row>
    <row r="277" spans="2:35" x14ac:dyDescent="0.25">
      <c r="B277" s="163" t="str">
        <f>'Market Data'!$B$25</f>
        <v>GE</v>
      </c>
      <c r="C277" s="160">
        <f>Statistics!$G$27</f>
        <v>9.2719197536449416E-3</v>
      </c>
      <c r="E277" s="168">
        <v>0</v>
      </c>
      <c r="F277" s="85" t="str">
        <v>GE</v>
      </c>
      <c r="G277" s="179">
        <v>1.5698375611055285E-3</v>
      </c>
      <c r="H277" s="180">
        <v>1.6460552176854309E-3</v>
      </c>
      <c r="I277" s="180">
        <v>1.7334051959416068E-3</v>
      </c>
      <c r="J277" s="180">
        <v>2.2046623152336968E-3</v>
      </c>
      <c r="K277" s="180">
        <v>2.0168425927536027E-3</v>
      </c>
      <c r="L277" s="180">
        <v>2.0997855192430963E-3</v>
      </c>
      <c r="M277" s="180">
        <v>3.2408092269649337E-3</v>
      </c>
      <c r="N277" s="180">
        <v>1.7980110839806059E-3</v>
      </c>
      <c r="O277" s="180">
        <v>2.8739818723832944E-3</v>
      </c>
      <c r="P277" s="180">
        <v>2.2255962061739098E-3</v>
      </c>
      <c r="Q277" s="180">
        <v>1.1779071347684854E-3</v>
      </c>
      <c r="R277" s="180">
        <v>1.4606469135339543E-3</v>
      </c>
      <c r="S277" s="180">
        <v>1.8413857882482649E-3</v>
      </c>
      <c r="T277" s="180">
        <v>1.1338883047798758E-3</v>
      </c>
      <c r="U277" s="180">
        <v>1.9825602222543746E-3</v>
      </c>
      <c r="V277" s="180">
        <v>1.0900315820250495E-3</v>
      </c>
      <c r="W277" s="180">
        <v>1.4080437366372094E-3</v>
      </c>
      <c r="X277" s="180">
        <v>1.6476299492810176E-3</v>
      </c>
      <c r="Y277" s="180">
        <v>7.4080885300837902E-4</v>
      </c>
      <c r="Z277" s="180">
        <v>2.1782812682115105E-3</v>
      </c>
      <c r="AA277" s="180">
        <v>6.8149888740689005E-4</v>
      </c>
      <c r="AB277" s="180">
        <v>1.1596920910434683E-3</v>
      </c>
      <c r="AC277" s="180">
        <v>8.669689440805547E-4</v>
      </c>
      <c r="AD277" s="180">
        <v>6.9406421327386882E-4</v>
      </c>
      <c r="AE277" s="180">
        <v>1.9210155408337607E-3</v>
      </c>
      <c r="AF277" s="180">
        <v>1.0256274934399997E-3</v>
      </c>
      <c r="AG277" s="180">
        <v>1.7646874198991678E-3</v>
      </c>
      <c r="AH277" s="180">
        <v>3.1986346053900631E-5</v>
      </c>
      <c r="AI277" s="181">
        <v>1.6264073394302158E-3</v>
      </c>
    </row>
    <row r="278" spans="2:35" x14ac:dyDescent="0.25">
      <c r="B278" s="163" t="str">
        <f>'Market Data'!$B$26</f>
        <v>GS</v>
      </c>
      <c r="C278" s="160">
        <f>Statistics!$G$28</f>
        <v>1.2775975133106521E-2</v>
      </c>
      <c r="E278" s="168">
        <v>0</v>
      </c>
      <c r="F278" s="85" t="str">
        <v>GS</v>
      </c>
      <c r="G278" s="179">
        <v>1.8109156333145874E-3</v>
      </c>
      <c r="H278" s="180">
        <v>3.1197862990926528E-3</v>
      </c>
      <c r="I278" s="180">
        <v>2.2391121271409182E-3</v>
      </c>
      <c r="J278" s="180">
        <v>2.3825247137119567E-3</v>
      </c>
      <c r="K278" s="180">
        <v>2.2177683830845976E-3</v>
      </c>
      <c r="L278" s="180">
        <v>2.495859527554455E-3</v>
      </c>
      <c r="M278" s="180">
        <v>3.1194558916632768E-3</v>
      </c>
      <c r="N278" s="180">
        <v>2.5910429203650125E-3</v>
      </c>
      <c r="O278" s="180">
        <v>2.2255962061739098E-3</v>
      </c>
      <c r="P278" s="180">
        <v>4.8815099105356504E-3</v>
      </c>
      <c r="Q278" s="180">
        <v>1.5442152510598698E-3</v>
      </c>
      <c r="R278" s="180">
        <v>2.2308798805711167E-3</v>
      </c>
      <c r="S278" s="180">
        <v>1.7997270101458302E-3</v>
      </c>
      <c r="T278" s="180">
        <v>7.4857834611503948E-4</v>
      </c>
      <c r="U278" s="180">
        <v>3.8267678235899111E-3</v>
      </c>
      <c r="V278" s="180">
        <v>5.0884399749192373E-4</v>
      </c>
      <c r="W278" s="180">
        <v>1.1844149472533348E-3</v>
      </c>
      <c r="X278" s="180">
        <v>1.5580261625844892E-3</v>
      </c>
      <c r="Y278" s="180">
        <v>9.5059394038900442E-4</v>
      </c>
      <c r="Z278" s="180">
        <v>1.9881521509949444E-3</v>
      </c>
      <c r="AA278" s="180">
        <v>9.2810945195530823E-4</v>
      </c>
      <c r="AB278" s="180">
        <v>1.2974763649140325E-3</v>
      </c>
      <c r="AC278" s="180">
        <v>6.8796273406052837E-4</v>
      </c>
      <c r="AD278" s="180">
        <v>1.248419321363809E-3</v>
      </c>
      <c r="AE278" s="180">
        <v>2.1674424403236793E-3</v>
      </c>
      <c r="AF278" s="180">
        <v>3.7523862948950627E-4</v>
      </c>
      <c r="AG278" s="180">
        <v>2.0541307067505868E-3</v>
      </c>
      <c r="AH278" s="180">
        <v>-5.4295264980806504E-5</v>
      </c>
      <c r="AI278" s="181">
        <v>1.4387650786059658E-3</v>
      </c>
    </row>
    <row r="279" spans="2:35" x14ac:dyDescent="0.25">
      <c r="B279" s="163" t="str">
        <f>'Market Data'!$B$27</f>
        <v>HD</v>
      </c>
      <c r="C279" s="160">
        <f>Statistics!$G$29</f>
        <v>1.8352985528230569E-2</v>
      </c>
      <c r="E279" s="168">
        <v>0</v>
      </c>
      <c r="F279" s="85" t="str">
        <v>HD</v>
      </c>
      <c r="G279" s="179">
        <v>9.8639311096076088E-4</v>
      </c>
      <c r="H279" s="180">
        <v>1.285962047454306E-3</v>
      </c>
      <c r="I279" s="180">
        <v>1.2911501083222776E-3</v>
      </c>
      <c r="J279" s="180">
        <v>1.0587514228509517E-3</v>
      </c>
      <c r="K279" s="180">
        <v>9.8504335267051509E-4</v>
      </c>
      <c r="L279" s="180">
        <v>7.9860489883547216E-4</v>
      </c>
      <c r="M279" s="180">
        <v>2.0138415935295195E-3</v>
      </c>
      <c r="N279" s="180">
        <v>1.4438567521116873E-3</v>
      </c>
      <c r="O279" s="180">
        <v>1.1779071347684854E-3</v>
      </c>
      <c r="P279" s="180">
        <v>1.5442152510598698E-3</v>
      </c>
      <c r="Q279" s="180">
        <v>1.8880219117441428E-3</v>
      </c>
      <c r="R279" s="180">
        <v>9.3173966010624539E-4</v>
      </c>
      <c r="S279" s="180">
        <v>9.2701062278089308E-4</v>
      </c>
      <c r="T279" s="180">
        <v>6.2481040103688149E-4</v>
      </c>
      <c r="U279" s="180">
        <v>1.4284505514434026E-3</v>
      </c>
      <c r="V279" s="180">
        <v>5.5799413673053339E-4</v>
      </c>
      <c r="W279" s="180">
        <v>7.381374461617429E-4</v>
      </c>
      <c r="X279" s="180">
        <v>1.0633975936011025E-3</v>
      </c>
      <c r="Y279" s="180">
        <v>7.161428946835201E-4</v>
      </c>
      <c r="Z279" s="180">
        <v>1.0017697174583111E-3</v>
      </c>
      <c r="AA279" s="180">
        <v>7.3578315539153108E-4</v>
      </c>
      <c r="AB279" s="180">
        <v>8.5234066580948517E-4</v>
      </c>
      <c r="AC279" s="180">
        <v>4.7474349038820928E-4</v>
      </c>
      <c r="AD279" s="180">
        <v>6.4915062582396636E-4</v>
      </c>
      <c r="AE279" s="180">
        <v>1.2386809813748902E-3</v>
      </c>
      <c r="AF279" s="180">
        <v>1.1189073531181803E-4</v>
      </c>
      <c r="AG279" s="180">
        <v>1.2055891827737501E-3</v>
      </c>
      <c r="AH279" s="180">
        <v>1.9815526434870993E-4</v>
      </c>
      <c r="AI279" s="181">
        <v>5.7016164369997474E-4</v>
      </c>
    </row>
    <row r="280" spans="2:35" x14ac:dyDescent="0.25">
      <c r="B280" s="163" t="str">
        <f>'Market Data'!$B$28</f>
        <v>IBM</v>
      </c>
      <c r="C280" s="160">
        <f>Statistics!$G$30</f>
        <v>-1.0805706759468385E-4</v>
      </c>
      <c r="E280" s="168">
        <v>3.3095981549602214E-2</v>
      </c>
      <c r="F280" s="85" t="str">
        <v>IBM</v>
      </c>
      <c r="G280" s="179">
        <v>1.7737023799007877E-3</v>
      </c>
      <c r="H280" s="180">
        <v>1.960684724858895E-3</v>
      </c>
      <c r="I280" s="180">
        <v>1.1336433634722555E-3</v>
      </c>
      <c r="J280" s="180">
        <v>2.1554825858441308E-3</v>
      </c>
      <c r="K280" s="180">
        <v>2.2508292865696072E-3</v>
      </c>
      <c r="L280" s="180">
        <v>1.7099575851328929E-3</v>
      </c>
      <c r="M280" s="180">
        <v>2.4056181433013803E-3</v>
      </c>
      <c r="N280" s="180">
        <v>1.2533920720746924E-3</v>
      </c>
      <c r="O280" s="180">
        <v>1.4606469135339543E-3</v>
      </c>
      <c r="P280" s="180">
        <v>2.2308798805711167E-3</v>
      </c>
      <c r="Q280" s="180">
        <v>9.3173966010624539E-4</v>
      </c>
      <c r="R280" s="180">
        <v>3.3622126456479009E-3</v>
      </c>
      <c r="S280" s="180">
        <v>1.4043690490920693E-3</v>
      </c>
      <c r="T280" s="180">
        <v>5.9347717242683358E-4</v>
      </c>
      <c r="U280" s="180">
        <v>2.0888390371824788E-3</v>
      </c>
      <c r="V280" s="180">
        <v>5.7019303114958723E-4</v>
      </c>
      <c r="W280" s="180">
        <v>5.4513263389601688E-4</v>
      </c>
      <c r="X280" s="180">
        <v>1.0275296737018624E-3</v>
      </c>
      <c r="Y280" s="180">
        <v>1.0097860441379664E-3</v>
      </c>
      <c r="Z280" s="180">
        <v>1.4353906099659559E-3</v>
      </c>
      <c r="AA280" s="180">
        <v>1.3757321359017424E-4</v>
      </c>
      <c r="AB280" s="180">
        <v>7.9545047293496068E-4</v>
      </c>
      <c r="AC280" s="180">
        <v>5.5361049131124631E-4</v>
      </c>
      <c r="AD280" s="180">
        <v>8.8298395118505178E-4</v>
      </c>
      <c r="AE280" s="180">
        <v>1.5169272523521361E-3</v>
      </c>
      <c r="AF280" s="180">
        <v>2.033685246020378E-4</v>
      </c>
      <c r="AG280" s="180">
        <v>1.2306885914741903E-3</v>
      </c>
      <c r="AH280" s="180">
        <v>3.7610030291999273E-4</v>
      </c>
      <c r="AI280" s="181">
        <v>1.0970123689928199E-3</v>
      </c>
    </row>
    <row r="281" spans="2:35" x14ac:dyDescent="0.25">
      <c r="B281" s="163" t="str">
        <f>'Market Data'!$B$29</f>
        <v>INTC</v>
      </c>
      <c r="C281" s="160">
        <f>Statistics!$G$31</f>
        <v>1.4825313209679855E-2</v>
      </c>
      <c r="E281" s="168">
        <v>0</v>
      </c>
      <c r="F281" s="85" t="str">
        <v>INTC</v>
      </c>
      <c r="G281" s="179">
        <v>1.6293191413582805E-3</v>
      </c>
      <c r="H281" s="180">
        <v>2.0715314739138896E-3</v>
      </c>
      <c r="I281" s="180">
        <v>1.485647562986758E-3</v>
      </c>
      <c r="J281" s="180">
        <v>2.3005603160952529E-3</v>
      </c>
      <c r="K281" s="180">
        <v>2.2625583672846289E-3</v>
      </c>
      <c r="L281" s="180">
        <v>1.762362573764028E-3</v>
      </c>
      <c r="M281" s="180">
        <v>2.9333641814070907E-3</v>
      </c>
      <c r="N281" s="180">
        <v>1.4872846501875279E-3</v>
      </c>
      <c r="O281" s="180">
        <v>1.8413857882482649E-3</v>
      </c>
      <c r="P281" s="180">
        <v>1.7997270101458302E-3</v>
      </c>
      <c r="Q281" s="180">
        <v>9.2701062278089308E-4</v>
      </c>
      <c r="R281" s="180">
        <v>1.4043690490920693E-3</v>
      </c>
      <c r="S281" s="180">
        <v>3.8953291630483993E-3</v>
      </c>
      <c r="T281" s="180">
        <v>8.7155825849789608E-4</v>
      </c>
      <c r="U281" s="180">
        <v>1.6338310266769979E-3</v>
      </c>
      <c r="V281" s="180">
        <v>1.1107691361801554E-3</v>
      </c>
      <c r="W281" s="180">
        <v>9.1762089354393737E-4</v>
      </c>
      <c r="X281" s="180">
        <v>1.3291856750406272E-3</v>
      </c>
      <c r="Y281" s="180">
        <v>1.2481991200788169E-3</v>
      </c>
      <c r="Z281" s="180">
        <v>2.824290151917595E-3</v>
      </c>
      <c r="AA281" s="180">
        <v>5.7515792739731505E-4</v>
      </c>
      <c r="AB281" s="180">
        <v>9.9184976149502301E-4</v>
      </c>
      <c r="AC281" s="180">
        <v>7.9168442412031782E-4</v>
      </c>
      <c r="AD281" s="180">
        <v>5.6633014876153942E-4</v>
      </c>
      <c r="AE281" s="180">
        <v>1.2132957377483657E-3</v>
      </c>
      <c r="AF281" s="180">
        <v>8.2166255763751334E-4</v>
      </c>
      <c r="AG281" s="180">
        <v>1.8678530672680304E-3</v>
      </c>
      <c r="AH281" s="180">
        <v>-1.8556188989019865E-5</v>
      </c>
      <c r="AI281" s="181">
        <v>1.0791409093812321E-3</v>
      </c>
    </row>
    <row r="282" spans="2:35" x14ac:dyDescent="0.25">
      <c r="B282" s="163" t="str">
        <f>'Market Data'!$B$30</f>
        <v>JNJ</v>
      </c>
      <c r="C282" s="160">
        <f>Statistics!$G$32</f>
        <v>1.2075919577819831E-2</v>
      </c>
      <c r="E282" s="168">
        <v>0</v>
      </c>
      <c r="F282" s="85" t="str">
        <v>JNJ</v>
      </c>
      <c r="G282" s="179">
        <v>8.2631268301744008E-4</v>
      </c>
      <c r="H282" s="180">
        <v>7.3945969222275051E-4</v>
      </c>
      <c r="I282" s="180">
        <v>7.7470388279684329E-4</v>
      </c>
      <c r="J282" s="180">
        <v>9.0633949973445221E-4</v>
      </c>
      <c r="K282" s="180">
        <v>1.1094225673998865E-3</v>
      </c>
      <c r="L282" s="180">
        <v>1.0006982850928254E-3</v>
      </c>
      <c r="M282" s="180">
        <v>1.7073269232421356E-3</v>
      </c>
      <c r="N282" s="180">
        <v>7.6090581351824873E-4</v>
      </c>
      <c r="O282" s="180">
        <v>1.1338883047798758E-3</v>
      </c>
      <c r="P282" s="180">
        <v>7.4857834611503948E-4</v>
      </c>
      <c r="Q282" s="180">
        <v>6.2481040103688149E-4</v>
      </c>
      <c r="R282" s="180">
        <v>5.9347717242683358E-4</v>
      </c>
      <c r="S282" s="180">
        <v>8.7155825849789608E-4</v>
      </c>
      <c r="T282" s="180">
        <v>1.3437205064186324E-3</v>
      </c>
      <c r="U282" s="180">
        <v>9.2330996350035955E-4</v>
      </c>
      <c r="V282" s="180">
        <v>8.0248592661524116E-4</v>
      </c>
      <c r="W282" s="180">
        <v>7.2064842002941051E-4</v>
      </c>
      <c r="X282" s="180">
        <v>9.1647163555960687E-4</v>
      </c>
      <c r="Y282" s="180">
        <v>7.8932636294384688E-4</v>
      </c>
      <c r="Z282" s="180">
        <v>8.3950208317612799E-4</v>
      </c>
      <c r="AA282" s="180">
        <v>2.4076387457302071E-4</v>
      </c>
      <c r="AB282" s="180">
        <v>1.174922395291398E-3</v>
      </c>
      <c r="AC282" s="180">
        <v>7.8676359672877393E-4</v>
      </c>
      <c r="AD282" s="180">
        <v>4.4624886795118808E-4</v>
      </c>
      <c r="AE282" s="180">
        <v>1.0117367356107026E-3</v>
      </c>
      <c r="AF282" s="180">
        <v>7.3214708969514145E-4</v>
      </c>
      <c r="AG282" s="180">
        <v>8.2747273857601913E-4</v>
      </c>
      <c r="AH282" s="180">
        <v>7.1470891411086447E-4</v>
      </c>
      <c r="AI282" s="181">
        <v>7.4627799983375924E-4</v>
      </c>
    </row>
    <row r="283" spans="2:35" x14ac:dyDescent="0.25">
      <c r="B283" s="163" t="str">
        <f>'Market Data'!$B$31</f>
        <v>JPM</v>
      </c>
      <c r="C283" s="160">
        <f>Statistics!$G$33</f>
        <v>1.7183196749963128E-2</v>
      </c>
      <c r="E283" s="168">
        <v>0</v>
      </c>
      <c r="F283" s="85" t="str">
        <v>JPM</v>
      </c>
      <c r="G283" s="179">
        <v>1.2529926248616137E-3</v>
      </c>
      <c r="H283" s="180">
        <v>2.7840355446374721E-3</v>
      </c>
      <c r="I283" s="180">
        <v>1.8054441283061249E-3</v>
      </c>
      <c r="J283" s="180">
        <v>2.011937601179676E-3</v>
      </c>
      <c r="K283" s="180">
        <v>2.0831844183308271E-3</v>
      </c>
      <c r="L283" s="180">
        <v>2.159640132817216E-3</v>
      </c>
      <c r="M283" s="180">
        <v>2.9403656750226037E-3</v>
      </c>
      <c r="N283" s="180">
        <v>2.3150492241015347E-3</v>
      </c>
      <c r="O283" s="180">
        <v>1.9825602222543746E-3</v>
      </c>
      <c r="P283" s="180">
        <v>3.8267678235899111E-3</v>
      </c>
      <c r="Q283" s="180">
        <v>1.4284505514434026E-3</v>
      </c>
      <c r="R283" s="180">
        <v>2.0888390371824788E-3</v>
      </c>
      <c r="S283" s="180">
        <v>1.6338310266769979E-3</v>
      </c>
      <c r="T283" s="180">
        <v>9.2330996350035955E-4</v>
      </c>
      <c r="U283" s="180">
        <v>3.6504820104783621E-3</v>
      </c>
      <c r="V283" s="180">
        <v>6.292727988425526E-4</v>
      </c>
      <c r="W283" s="180">
        <v>1.135373183104091E-3</v>
      </c>
      <c r="X283" s="180">
        <v>1.3229022331511452E-3</v>
      </c>
      <c r="Y283" s="180">
        <v>9.9035410413519649E-4</v>
      </c>
      <c r="Z283" s="180">
        <v>2.1029083027690664E-3</v>
      </c>
      <c r="AA283" s="180">
        <v>6.7839144071882979E-4</v>
      </c>
      <c r="AB283" s="180">
        <v>1.3592270505613203E-3</v>
      </c>
      <c r="AC283" s="180">
        <v>7.2953612857905574E-4</v>
      </c>
      <c r="AD283" s="180">
        <v>1.2617149248905092E-3</v>
      </c>
      <c r="AE283" s="180">
        <v>1.8453743354725578E-3</v>
      </c>
      <c r="AF283" s="180">
        <v>3.9836144643633019E-4</v>
      </c>
      <c r="AG283" s="180">
        <v>1.9463933682734615E-3</v>
      </c>
      <c r="AH283" s="180">
        <v>7.503242005510376E-5</v>
      </c>
      <c r="AI283" s="181">
        <v>1.3958094738143344E-3</v>
      </c>
    </row>
    <row r="284" spans="2:35" x14ac:dyDescent="0.25">
      <c r="B284" s="163" t="str">
        <f>'Market Data'!$B$32</f>
        <v>KO</v>
      </c>
      <c r="C284" s="160">
        <f>Statistics!$G$34</f>
        <v>4.1810541872704362E-3</v>
      </c>
      <c r="E284" s="168">
        <v>6.8320116931708239E-2</v>
      </c>
      <c r="F284" s="85" t="str">
        <v>KO</v>
      </c>
      <c r="G284" s="179">
        <v>9.6129190129553134E-4</v>
      </c>
      <c r="H284" s="180">
        <v>5.6369017954212687E-4</v>
      </c>
      <c r="I284" s="180">
        <v>9.7196182882881919E-4</v>
      </c>
      <c r="J284" s="180">
        <v>6.586205973694774E-4</v>
      </c>
      <c r="K284" s="180">
        <v>1.0904984859812852E-3</v>
      </c>
      <c r="L284" s="180">
        <v>7.7350953916938299E-4</v>
      </c>
      <c r="M284" s="180">
        <v>1.3828838928124146E-3</v>
      </c>
      <c r="N284" s="180">
        <v>7.3157249166013263E-4</v>
      </c>
      <c r="O284" s="180">
        <v>1.0900315820250495E-3</v>
      </c>
      <c r="P284" s="180">
        <v>5.0884399749192373E-4</v>
      </c>
      <c r="Q284" s="180">
        <v>5.5799413673053339E-4</v>
      </c>
      <c r="R284" s="180">
        <v>5.7019303114958723E-4</v>
      </c>
      <c r="S284" s="180">
        <v>1.1107691361801554E-3</v>
      </c>
      <c r="T284" s="180">
        <v>8.0248592661524116E-4</v>
      </c>
      <c r="U284" s="180">
        <v>6.292727988425526E-4</v>
      </c>
      <c r="V284" s="180">
        <v>1.2210270669043683E-3</v>
      </c>
      <c r="W284" s="180">
        <v>7.9000312454904529E-4</v>
      </c>
      <c r="X284" s="180">
        <v>6.5400026561614926E-4</v>
      </c>
      <c r="Y284" s="180">
        <v>5.6925923112739025E-4</v>
      </c>
      <c r="Z284" s="180">
        <v>1.0711085481253278E-3</v>
      </c>
      <c r="AA284" s="180">
        <v>4.3589033448327737E-4</v>
      </c>
      <c r="AB284" s="180">
        <v>6.3614560547018231E-4</v>
      </c>
      <c r="AC284" s="180">
        <v>6.5740070509151668E-4</v>
      </c>
      <c r="AD284" s="180">
        <v>1.2737483924284157E-4</v>
      </c>
      <c r="AE284" s="180">
        <v>5.7087013169956707E-4</v>
      </c>
      <c r="AF284" s="180">
        <v>4.9096142938173941E-4</v>
      </c>
      <c r="AG284" s="180">
        <v>9.4999344105865064E-4</v>
      </c>
      <c r="AH284" s="180">
        <v>6.4703627119224946E-4</v>
      </c>
      <c r="AI284" s="181">
        <v>5.1805651820066112E-4</v>
      </c>
    </row>
    <row r="285" spans="2:35" x14ac:dyDescent="0.25">
      <c r="B285" s="163" t="str">
        <f>'Market Data'!$B$33</f>
        <v>MCD</v>
      </c>
      <c r="C285" s="160">
        <f>Statistics!$G$35</f>
        <v>8.998422120903465E-3</v>
      </c>
      <c r="E285" s="168">
        <v>8.5461326487753939E-2</v>
      </c>
      <c r="F285" s="85" t="str">
        <v>MCD</v>
      </c>
      <c r="G285" s="179">
        <v>4.3723596630614248E-4</v>
      </c>
      <c r="H285" s="180">
        <v>5.9016175595858627E-4</v>
      </c>
      <c r="I285" s="180">
        <v>1.004575731683145E-3</v>
      </c>
      <c r="J285" s="180">
        <v>1.2118483675212872E-3</v>
      </c>
      <c r="K285" s="180">
        <v>8.8656407550750189E-4</v>
      </c>
      <c r="L285" s="180">
        <v>1.2445101608031307E-3</v>
      </c>
      <c r="M285" s="180">
        <v>1.5566945864839937E-3</v>
      </c>
      <c r="N285" s="180">
        <v>1.0434476997331528E-3</v>
      </c>
      <c r="O285" s="180">
        <v>1.4080437366372094E-3</v>
      </c>
      <c r="P285" s="180">
        <v>1.1844149472533348E-3</v>
      </c>
      <c r="Q285" s="180">
        <v>7.381374461617429E-4</v>
      </c>
      <c r="R285" s="180">
        <v>5.4513263389601688E-4</v>
      </c>
      <c r="S285" s="180">
        <v>9.1762089354393737E-4</v>
      </c>
      <c r="T285" s="180">
        <v>7.2064842002941051E-4</v>
      </c>
      <c r="U285" s="180">
        <v>1.135373183104091E-3</v>
      </c>
      <c r="V285" s="180">
        <v>7.9000312454904529E-4</v>
      </c>
      <c r="W285" s="180">
        <v>1.7650690545216805E-3</v>
      </c>
      <c r="X285" s="180">
        <v>7.9590651205676567E-4</v>
      </c>
      <c r="Y285" s="180">
        <v>5.886623345512683E-4</v>
      </c>
      <c r="Z285" s="180">
        <v>1.2284698745461862E-3</v>
      </c>
      <c r="AA285" s="180">
        <v>4.3355644868225306E-4</v>
      </c>
      <c r="AB285" s="180">
        <v>9.4939047744066322E-4</v>
      </c>
      <c r="AC285" s="180">
        <v>4.0611550084338323E-4</v>
      </c>
      <c r="AD285" s="180">
        <v>3.5874031329227935E-4</v>
      </c>
      <c r="AE285" s="180">
        <v>8.7888532505727346E-4</v>
      </c>
      <c r="AF285" s="180">
        <v>6.7734327840461236E-4</v>
      </c>
      <c r="AG285" s="180">
        <v>1.0020182531469391E-3</v>
      </c>
      <c r="AH285" s="180">
        <v>4.237060092283065E-5</v>
      </c>
      <c r="AI285" s="181">
        <v>6.6389606634421081E-4</v>
      </c>
    </row>
    <row r="286" spans="2:35" x14ac:dyDescent="0.25">
      <c r="B286" s="163" t="str">
        <f>'Market Data'!$B$34</f>
        <v>MMM</v>
      </c>
      <c r="C286" s="160">
        <f>Statistics!$G$36</f>
        <v>1.5280500930100561E-2</v>
      </c>
      <c r="E286" s="168">
        <v>0</v>
      </c>
      <c r="F286" s="85" t="str">
        <v>MMM</v>
      </c>
      <c r="G286" s="179">
        <v>1.6042263123932821E-3</v>
      </c>
      <c r="H286" s="180">
        <v>1.3680882736390085E-3</v>
      </c>
      <c r="I286" s="180">
        <v>1.220072170107771E-3</v>
      </c>
      <c r="J286" s="180">
        <v>1.3778500117759705E-3</v>
      </c>
      <c r="K286" s="180">
        <v>1.6594658489014636E-3</v>
      </c>
      <c r="L286" s="180">
        <v>1.3396872809028706E-3</v>
      </c>
      <c r="M286" s="180">
        <v>2.4333011024343194E-3</v>
      </c>
      <c r="N286" s="180">
        <v>1.3935802423237448E-3</v>
      </c>
      <c r="O286" s="180">
        <v>1.6476299492810176E-3</v>
      </c>
      <c r="P286" s="180">
        <v>1.5580261625844892E-3</v>
      </c>
      <c r="Q286" s="180">
        <v>1.0633975936011025E-3</v>
      </c>
      <c r="R286" s="180">
        <v>1.0275296737018624E-3</v>
      </c>
      <c r="S286" s="180">
        <v>1.3291856750406272E-3</v>
      </c>
      <c r="T286" s="180">
        <v>9.1647163555960687E-4</v>
      </c>
      <c r="U286" s="180">
        <v>1.3229022331511452E-3</v>
      </c>
      <c r="V286" s="180">
        <v>6.5400026561614926E-4</v>
      </c>
      <c r="W286" s="180">
        <v>7.9590651205676567E-4</v>
      </c>
      <c r="X286" s="180">
        <v>1.9007159701372343E-3</v>
      </c>
      <c r="Y286" s="180">
        <v>9.3087542856500223E-4</v>
      </c>
      <c r="Z286" s="180">
        <v>9.5021437706372129E-4</v>
      </c>
      <c r="AA286" s="180">
        <v>7.5220949128439868E-4</v>
      </c>
      <c r="AB286" s="180">
        <v>1.1108584905280188E-3</v>
      </c>
      <c r="AC286" s="180">
        <v>7.8023777188204919E-4</v>
      </c>
      <c r="AD286" s="180">
        <v>9.8369986573183495E-4</v>
      </c>
      <c r="AE286" s="180">
        <v>1.8471574472775569E-3</v>
      </c>
      <c r="AF286" s="180">
        <v>5.9539589470078522E-4</v>
      </c>
      <c r="AG286" s="180">
        <v>1.59984129324471E-3</v>
      </c>
      <c r="AH286" s="180">
        <v>4.5051539698961655E-4</v>
      </c>
      <c r="AI286" s="181">
        <v>1.2697174541958882E-3</v>
      </c>
    </row>
    <row r="287" spans="2:35" x14ac:dyDescent="0.25">
      <c r="B287" s="163" t="str">
        <f>'Market Data'!$B$35</f>
        <v>MRK</v>
      </c>
      <c r="C287" s="160">
        <f>Statistics!$G$37</f>
        <v>1.1473476041634185E-2</v>
      </c>
      <c r="E287" s="168">
        <v>2.434987055286433E-2</v>
      </c>
      <c r="F287" s="85" t="str">
        <v>MRK</v>
      </c>
      <c r="G287" s="179">
        <v>6.6280896407091964E-4</v>
      </c>
      <c r="H287" s="180">
        <v>9.5675499919051471E-4</v>
      </c>
      <c r="I287" s="180">
        <v>1.3506721993334096E-3</v>
      </c>
      <c r="J287" s="180">
        <v>1.6454661341138513E-3</v>
      </c>
      <c r="K287" s="180">
        <v>1.2877752599161352E-3</v>
      </c>
      <c r="L287" s="180">
        <v>1.0548817345930506E-3</v>
      </c>
      <c r="M287" s="180">
        <v>2.1034755337789339E-3</v>
      </c>
      <c r="N287" s="180">
        <v>1.1180874248259017E-3</v>
      </c>
      <c r="O287" s="180">
        <v>7.4080885300837902E-4</v>
      </c>
      <c r="P287" s="180">
        <v>9.5059394038900442E-4</v>
      </c>
      <c r="Q287" s="180">
        <v>7.161428946835201E-4</v>
      </c>
      <c r="R287" s="180">
        <v>1.0097860441379664E-3</v>
      </c>
      <c r="S287" s="180">
        <v>1.2481991200788169E-3</v>
      </c>
      <c r="T287" s="180">
        <v>7.8932636294384688E-4</v>
      </c>
      <c r="U287" s="180">
        <v>9.9035410413519649E-4</v>
      </c>
      <c r="V287" s="180">
        <v>5.6925923112739025E-4</v>
      </c>
      <c r="W287" s="180">
        <v>5.886623345512683E-4</v>
      </c>
      <c r="X287" s="180">
        <v>9.3087542856500223E-4</v>
      </c>
      <c r="Y287" s="180">
        <v>2.5431403633519077E-3</v>
      </c>
      <c r="Z287" s="180">
        <v>1.0039618395335291E-3</v>
      </c>
      <c r="AA287" s="180">
        <v>3.4083858597475385E-4</v>
      </c>
      <c r="AB287" s="180">
        <v>1.3412346285691251E-3</v>
      </c>
      <c r="AC287" s="180">
        <v>3.7529952314904947E-4</v>
      </c>
      <c r="AD287" s="180">
        <v>8.5985137540516086E-4</v>
      </c>
      <c r="AE287" s="180">
        <v>1.4646144344401168E-3</v>
      </c>
      <c r="AF287" s="180">
        <v>3.3006228708408361E-4</v>
      </c>
      <c r="AG287" s="180">
        <v>1.1984054366898813E-3</v>
      </c>
      <c r="AH287" s="180">
        <v>4.389896882024129E-4</v>
      </c>
      <c r="AI287" s="181">
        <v>5.8214330295854532E-4</v>
      </c>
    </row>
    <row r="288" spans="2:35" x14ac:dyDescent="0.25">
      <c r="B288" s="163" t="str">
        <f>'Market Data'!$B$36</f>
        <v>MSFT</v>
      </c>
      <c r="C288" s="160">
        <f>Statistics!$G$38</f>
        <v>2.1777833497491961E-2</v>
      </c>
      <c r="E288" s="168">
        <v>0</v>
      </c>
      <c r="F288" s="85" t="str">
        <v>MSFT</v>
      </c>
      <c r="G288" s="179">
        <v>1.7656054736670385E-3</v>
      </c>
      <c r="H288" s="180">
        <v>1.7453927826798744E-3</v>
      </c>
      <c r="I288" s="180">
        <v>1.4618979219237266E-3</v>
      </c>
      <c r="J288" s="180">
        <v>2.2842322526096018E-3</v>
      </c>
      <c r="K288" s="180">
        <v>2.1511833371391734E-3</v>
      </c>
      <c r="L288" s="180">
        <v>1.921523261676006E-3</v>
      </c>
      <c r="M288" s="180">
        <v>3.4647817866697963E-3</v>
      </c>
      <c r="N288" s="180">
        <v>1.7514488094562146E-3</v>
      </c>
      <c r="O288" s="180">
        <v>2.1782812682115105E-3</v>
      </c>
      <c r="P288" s="180">
        <v>1.9881521509949444E-3</v>
      </c>
      <c r="Q288" s="180">
        <v>1.0017697174583111E-3</v>
      </c>
      <c r="R288" s="180">
        <v>1.4353906099659559E-3</v>
      </c>
      <c r="S288" s="180">
        <v>2.824290151917595E-3</v>
      </c>
      <c r="T288" s="180">
        <v>8.3950208317612799E-4</v>
      </c>
      <c r="U288" s="180">
        <v>2.1029083027690664E-3</v>
      </c>
      <c r="V288" s="180">
        <v>1.0711085481253278E-3</v>
      </c>
      <c r="W288" s="180">
        <v>1.2284698745461862E-3</v>
      </c>
      <c r="X288" s="180">
        <v>9.5021437706372129E-4</v>
      </c>
      <c r="Y288" s="180">
        <v>1.0039618395335291E-3</v>
      </c>
      <c r="Z288" s="180">
        <v>4.5817164894349687E-3</v>
      </c>
      <c r="AA288" s="180">
        <v>9.1111393401995618E-4</v>
      </c>
      <c r="AB288" s="180">
        <v>1.1007292150403058E-3</v>
      </c>
      <c r="AC288" s="180">
        <v>1.0300601718935634E-3</v>
      </c>
      <c r="AD288" s="180">
        <v>2.4058610256342332E-4</v>
      </c>
      <c r="AE288" s="180">
        <v>9.3007091875184366E-4</v>
      </c>
      <c r="AF288" s="180">
        <v>7.4555370224549768E-4</v>
      </c>
      <c r="AG288" s="180">
        <v>1.5294825998788863E-3</v>
      </c>
      <c r="AH288" s="180">
        <v>-3.4970831020819231E-4</v>
      </c>
      <c r="AI288" s="181">
        <v>1.2219742467918569E-3</v>
      </c>
    </row>
    <row r="289" spans="2:35" x14ac:dyDescent="0.25">
      <c r="B289" s="163" t="str">
        <f>'Market Data'!$B$37</f>
        <v>NKE</v>
      </c>
      <c r="C289" s="160">
        <f>Statistics!$G$39</f>
        <v>1.5970247269241938E-2</v>
      </c>
      <c r="E289" s="168">
        <v>0.15133617017066284</v>
      </c>
      <c r="F289" s="85" t="str">
        <v>NKE</v>
      </c>
      <c r="G289" s="179">
        <v>7.4054258425286133E-4</v>
      </c>
      <c r="H289" s="180">
        <v>9.1418204127611028E-4</v>
      </c>
      <c r="I289" s="180">
        <v>1.1825978430535619E-3</v>
      </c>
      <c r="J289" s="180">
        <v>-1.1104731462091626E-4</v>
      </c>
      <c r="K289" s="180">
        <v>7.2136303147440504E-4</v>
      </c>
      <c r="L289" s="180">
        <v>-3.0145919518466895E-4</v>
      </c>
      <c r="M289" s="180">
        <v>1.371253710214986E-3</v>
      </c>
      <c r="N289" s="180">
        <v>1.1713887062549742E-3</v>
      </c>
      <c r="O289" s="180">
        <v>6.8149888740689005E-4</v>
      </c>
      <c r="P289" s="180">
        <v>9.2810945195530823E-4</v>
      </c>
      <c r="Q289" s="180">
        <v>7.3578315539153108E-4</v>
      </c>
      <c r="R289" s="180">
        <v>1.3757321359017424E-4</v>
      </c>
      <c r="S289" s="180">
        <v>5.7515792739731505E-4</v>
      </c>
      <c r="T289" s="180">
        <v>2.4076387457302071E-4</v>
      </c>
      <c r="U289" s="180">
        <v>6.7839144071882979E-4</v>
      </c>
      <c r="V289" s="180">
        <v>4.3589033448327737E-4</v>
      </c>
      <c r="W289" s="180">
        <v>4.3355644868225306E-4</v>
      </c>
      <c r="X289" s="180">
        <v>7.5220949128439868E-4</v>
      </c>
      <c r="Y289" s="180">
        <v>3.4083858597475385E-4</v>
      </c>
      <c r="Z289" s="180">
        <v>9.1111393401995618E-4</v>
      </c>
      <c r="AA289" s="180">
        <v>2.7193308407813446E-3</v>
      </c>
      <c r="AB289" s="180">
        <v>5.6615292191577104E-4</v>
      </c>
      <c r="AC289" s="180">
        <v>3.6538493696828688E-4</v>
      </c>
      <c r="AD289" s="180">
        <v>8.9669180264711685E-5</v>
      </c>
      <c r="AE289" s="180">
        <v>4.9140530374502923E-4</v>
      </c>
      <c r="AF289" s="180">
        <v>1.0278859564771125E-5</v>
      </c>
      <c r="AG289" s="180">
        <v>1.2162400994020978E-3</v>
      </c>
      <c r="AH289" s="180">
        <v>1.3266739677968515E-5</v>
      </c>
      <c r="AI289" s="181">
        <v>-1.9722713194093662E-4</v>
      </c>
    </row>
    <row r="290" spans="2:35" x14ac:dyDescent="0.25">
      <c r="B290" s="163" t="str">
        <f>'Market Data'!$B$38</f>
        <v>PFE</v>
      </c>
      <c r="C290" s="160">
        <f>Statistics!$G$40</f>
        <v>7.6042605716081235E-3</v>
      </c>
      <c r="E290" s="168">
        <v>0</v>
      </c>
      <c r="F290" s="85" t="str">
        <v>PFE</v>
      </c>
      <c r="G290" s="179">
        <v>1.105136574328315E-3</v>
      </c>
      <c r="H290" s="180">
        <v>1.0081234358528435E-3</v>
      </c>
      <c r="I290" s="180">
        <v>1.2950969606515986E-3</v>
      </c>
      <c r="J290" s="180">
        <v>7.9610645869862182E-4</v>
      </c>
      <c r="K290" s="180">
        <v>1.5185012123350332E-3</v>
      </c>
      <c r="L290" s="180">
        <v>1.0966581694716135E-3</v>
      </c>
      <c r="M290" s="180">
        <v>2.2541080192876768E-3</v>
      </c>
      <c r="N290" s="180">
        <v>1.4909638464124207E-3</v>
      </c>
      <c r="O290" s="180">
        <v>1.1596920910434683E-3</v>
      </c>
      <c r="P290" s="180">
        <v>1.2974763649140325E-3</v>
      </c>
      <c r="Q290" s="180">
        <v>8.5234066580948517E-4</v>
      </c>
      <c r="R290" s="180">
        <v>7.9545047293496068E-4</v>
      </c>
      <c r="S290" s="180">
        <v>9.9184976149502301E-4</v>
      </c>
      <c r="T290" s="180">
        <v>1.174922395291398E-3</v>
      </c>
      <c r="U290" s="180">
        <v>1.3592270505613203E-3</v>
      </c>
      <c r="V290" s="180">
        <v>6.3614560547018231E-4</v>
      </c>
      <c r="W290" s="180">
        <v>9.4939047744066322E-4</v>
      </c>
      <c r="X290" s="180">
        <v>1.1108584905280188E-3</v>
      </c>
      <c r="Y290" s="180">
        <v>1.3412346285691251E-3</v>
      </c>
      <c r="Z290" s="180">
        <v>1.1007292150403058E-3</v>
      </c>
      <c r="AA290" s="180">
        <v>5.6615292191577104E-4</v>
      </c>
      <c r="AB290" s="180">
        <v>2.4354805215546461E-3</v>
      </c>
      <c r="AC290" s="180">
        <v>7.7698221980775051E-4</v>
      </c>
      <c r="AD290" s="180">
        <v>7.5423895885674786E-4</v>
      </c>
      <c r="AE290" s="180">
        <v>1.3524566727664237E-3</v>
      </c>
      <c r="AF290" s="180">
        <v>6.9733723903610885E-4</v>
      </c>
      <c r="AG290" s="180">
        <v>1.6142857385330945E-3</v>
      </c>
      <c r="AH290" s="180">
        <v>6.1756439897017149E-4</v>
      </c>
      <c r="AI290" s="181">
        <v>8.1835922434987771E-4</v>
      </c>
    </row>
    <row r="291" spans="2:35" x14ac:dyDescent="0.25">
      <c r="B291" s="163" t="str">
        <f>'Market Data'!$B$39</f>
        <v>PG</v>
      </c>
      <c r="C291" s="160">
        <f>Statistics!$G$41</f>
        <v>6.7668222923833359E-3</v>
      </c>
      <c r="E291" s="168">
        <v>8.4981481095290634E-2</v>
      </c>
      <c r="F291" s="85" t="str">
        <v>PG</v>
      </c>
      <c r="G291" s="179">
        <v>1.0336127768185608E-3</v>
      </c>
      <c r="H291" s="180">
        <v>4.150551569421239E-4</v>
      </c>
      <c r="I291" s="180">
        <v>5.997217417536032E-4</v>
      </c>
      <c r="J291" s="180">
        <v>4.9254664842985144E-4</v>
      </c>
      <c r="K291" s="180">
        <v>1.0690588122897406E-3</v>
      </c>
      <c r="L291" s="180">
        <v>8.4385070363078498E-4</v>
      </c>
      <c r="M291" s="180">
        <v>1.1783213677355128E-3</v>
      </c>
      <c r="N291" s="180">
        <v>6.6920552953337459E-4</v>
      </c>
      <c r="O291" s="180">
        <v>8.669689440805547E-4</v>
      </c>
      <c r="P291" s="180">
        <v>6.8796273406052837E-4</v>
      </c>
      <c r="Q291" s="180">
        <v>4.7474349038820928E-4</v>
      </c>
      <c r="R291" s="180">
        <v>5.5361049131124631E-4</v>
      </c>
      <c r="S291" s="180">
        <v>7.9168442412031782E-4</v>
      </c>
      <c r="T291" s="180">
        <v>7.8676359672877393E-4</v>
      </c>
      <c r="U291" s="180">
        <v>7.2953612857905574E-4</v>
      </c>
      <c r="V291" s="180">
        <v>6.5740070509151668E-4</v>
      </c>
      <c r="W291" s="180">
        <v>4.0611550084338323E-4</v>
      </c>
      <c r="X291" s="180">
        <v>7.8023777188204919E-4</v>
      </c>
      <c r="Y291" s="180">
        <v>3.7529952314904947E-4</v>
      </c>
      <c r="Z291" s="180">
        <v>1.0300601718935634E-3</v>
      </c>
      <c r="AA291" s="180">
        <v>3.6538493696828688E-4</v>
      </c>
      <c r="AB291" s="180">
        <v>7.7698221980775051E-4</v>
      </c>
      <c r="AC291" s="180">
        <v>1.4111752678343567E-3</v>
      </c>
      <c r="AD291" s="180">
        <v>1.723275330802805E-4</v>
      </c>
      <c r="AE291" s="180">
        <v>6.4008748533685535E-4</v>
      </c>
      <c r="AF291" s="180">
        <v>2.3535220881827705E-4</v>
      </c>
      <c r="AG291" s="180">
        <v>9.2172519542926422E-4</v>
      </c>
      <c r="AH291" s="180">
        <v>7.2490049760504278E-4</v>
      </c>
      <c r="AI291" s="181">
        <v>6.1092932367000222E-4</v>
      </c>
    </row>
    <row r="292" spans="2:35" x14ac:dyDescent="0.25">
      <c r="B292" s="163" t="str">
        <f>'Market Data'!$B$40</f>
        <v>UNH</v>
      </c>
      <c r="C292" s="160">
        <f>Statistics!$G$42</f>
        <v>2.4695057092687361E-2</v>
      </c>
      <c r="E292" s="168">
        <v>3.2967124234980327E-2</v>
      </c>
      <c r="F292" s="85" t="str">
        <v>UNH</v>
      </c>
      <c r="G292" s="179">
        <v>5.5673881663560775E-4</v>
      </c>
      <c r="H292" s="180">
        <v>9.035040942327959E-4</v>
      </c>
      <c r="I292" s="180">
        <v>6.5863568330466196E-4</v>
      </c>
      <c r="J292" s="180">
        <v>7.8373416165496384E-4</v>
      </c>
      <c r="K292" s="180">
        <v>1.0321561899434074E-3</v>
      </c>
      <c r="L292" s="180">
        <v>8.9699068571536217E-4</v>
      </c>
      <c r="M292" s="180">
        <v>1.3915459916452729E-3</v>
      </c>
      <c r="N292" s="180">
        <v>9.9320622386439117E-4</v>
      </c>
      <c r="O292" s="180">
        <v>6.9406421327386882E-4</v>
      </c>
      <c r="P292" s="180">
        <v>1.248419321363809E-3</v>
      </c>
      <c r="Q292" s="180">
        <v>6.4915062582396636E-4</v>
      </c>
      <c r="R292" s="180">
        <v>8.8298395118505178E-4</v>
      </c>
      <c r="S292" s="180">
        <v>5.6633014876153942E-4</v>
      </c>
      <c r="T292" s="180">
        <v>4.4624886795118808E-4</v>
      </c>
      <c r="U292" s="180">
        <v>1.2617149248905092E-3</v>
      </c>
      <c r="V292" s="180">
        <v>1.2737483924284157E-4</v>
      </c>
      <c r="W292" s="180">
        <v>3.5874031329227935E-4</v>
      </c>
      <c r="X292" s="180">
        <v>9.8369986573183495E-4</v>
      </c>
      <c r="Y292" s="180">
        <v>8.5985137540516086E-4</v>
      </c>
      <c r="Z292" s="180">
        <v>2.4058610256342332E-4</v>
      </c>
      <c r="AA292" s="180">
        <v>8.9669180264711685E-5</v>
      </c>
      <c r="AB292" s="180">
        <v>7.5423895885674786E-4</v>
      </c>
      <c r="AC292" s="180">
        <v>1.723275330802805E-4</v>
      </c>
      <c r="AD292" s="180">
        <v>1.9588021355587989E-3</v>
      </c>
      <c r="AE292" s="180">
        <v>1.3013762269017E-3</v>
      </c>
      <c r="AF292" s="180">
        <v>4.3562344006968111E-4</v>
      </c>
      <c r="AG292" s="180">
        <v>6.7255745531353401E-4</v>
      </c>
      <c r="AH292" s="180">
        <v>2.5472583633253342E-4</v>
      </c>
      <c r="AI292" s="181">
        <v>7.6037739981613735E-4</v>
      </c>
    </row>
    <row r="293" spans="2:35" x14ac:dyDescent="0.25">
      <c r="B293" s="163" t="str">
        <f>'Market Data'!$B$41</f>
        <v>UTX</v>
      </c>
      <c r="C293" s="160">
        <f>Statistics!$G$43</f>
        <v>7.3861111519648165E-3</v>
      </c>
      <c r="E293" s="168">
        <v>0</v>
      </c>
      <c r="F293" s="85" t="str">
        <v>UTX</v>
      </c>
      <c r="G293" s="179">
        <v>1.2367738317379871E-3</v>
      </c>
      <c r="H293" s="180">
        <v>1.9679940702890687E-3</v>
      </c>
      <c r="I293" s="180">
        <v>1.846395156096473E-3</v>
      </c>
      <c r="J293" s="180">
        <v>2.1924453554447642E-3</v>
      </c>
      <c r="K293" s="180">
        <v>2.0848208418056797E-3</v>
      </c>
      <c r="L293" s="180">
        <v>1.7655731333339048E-3</v>
      </c>
      <c r="M293" s="180">
        <v>3.4844332298577191E-3</v>
      </c>
      <c r="N293" s="180">
        <v>1.6618009644053405E-3</v>
      </c>
      <c r="O293" s="180">
        <v>1.9210155408337607E-3</v>
      </c>
      <c r="P293" s="180">
        <v>2.1674424403236793E-3</v>
      </c>
      <c r="Q293" s="180">
        <v>1.2386809813748902E-3</v>
      </c>
      <c r="R293" s="180">
        <v>1.5169272523521361E-3</v>
      </c>
      <c r="S293" s="180">
        <v>1.2132957377483657E-3</v>
      </c>
      <c r="T293" s="180">
        <v>1.0117367356107026E-3</v>
      </c>
      <c r="U293" s="180">
        <v>1.8453743354725578E-3</v>
      </c>
      <c r="V293" s="180">
        <v>5.7087013169956707E-4</v>
      </c>
      <c r="W293" s="180">
        <v>8.7888532505727346E-4</v>
      </c>
      <c r="X293" s="180">
        <v>1.8471574472775569E-3</v>
      </c>
      <c r="Y293" s="180">
        <v>1.4646144344401168E-3</v>
      </c>
      <c r="Z293" s="180">
        <v>9.3007091875184366E-4</v>
      </c>
      <c r="AA293" s="180">
        <v>4.9140530374502923E-4</v>
      </c>
      <c r="AB293" s="180">
        <v>1.3524566727664237E-3</v>
      </c>
      <c r="AC293" s="180">
        <v>6.4008748533685535E-4</v>
      </c>
      <c r="AD293" s="180">
        <v>1.3013762269017E-3</v>
      </c>
      <c r="AE293" s="180">
        <v>3.1502830070701034E-3</v>
      </c>
      <c r="AF293" s="180">
        <v>3.2120511051046262E-4</v>
      </c>
      <c r="AG293" s="180">
        <v>1.6964262161404888E-3</v>
      </c>
      <c r="AH293" s="180">
        <v>2.8814451862251201E-4</v>
      </c>
      <c r="AI293" s="181">
        <v>1.3259012920786922E-3</v>
      </c>
    </row>
    <row r="294" spans="2:35" x14ac:dyDescent="0.25">
      <c r="B294" s="163" t="str">
        <f>'Market Data'!$B$42</f>
        <v>VZ</v>
      </c>
      <c r="C294" s="160">
        <f>Statistics!$G$44</f>
        <v>5.0086030759070753E-3</v>
      </c>
      <c r="E294" s="168">
        <v>0.12008262743977896</v>
      </c>
      <c r="F294" s="85" t="str">
        <v>VZ</v>
      </c>
      <c r="G294" s="179">
        <v>1.8457278448214234E-4</v>
      </c>
      <c r="H294" s="180">
        <v>-7.7366109832012643E-5</v>
      </c>
      <c r="I294" s="180">
        <v>3.7914592931386057E-4</v>
      </c>
      <c r="J294" s="180">
        <v>6.8929109799853135E-4</v>
      </c>
      <c r="K294" s="180">
        <v>5.9888719676582812E-4</v>
      </c>
      <c r="L294" s="180">
        <v>7.5916190680994219E-4</v>
      </c>
      <c r="M294" s="180">
        <v>9.2727826439514978E-4</v>
      </c>
      <c r="N294" s="180">
        <v>5.8624704841600517E-4</v>
      </c>
      <c r="O294" s="180">
        <v>1.0256274934399997E-3</v>
      </c>
      <c r="P294" s="180">
        <v>3.7523862948950627E-4</v>
      </c>
      <c r="Q294" s="180">
        <v>1.1189073531181803E-4</v>
      </c>
      <c r="R294" s="180">
        <v>2.033685246020378E-4</v>
      </c>
      <c r="S294" s="180">
        <v>8.2166255763751334E-4</v>
      </c>
      <c r="T294" s="180">
        <v>7.3214708969514145E-4</v>
      </c>
      <c r="U294" s="180">
        <v>3.9836144643633019E-4</v>
      </c>
      <c r="V294" s="180">
        <v>4.9096142938173941E-4</v>
      </c>
      <c r="W294" s="180">
        <v>6.7734327840461236E-4</v>
      </c>
      <c r="X294" s="180">
        <v>5.9539589470078522E-4</v>
      </c>
      <c r="Y294" s="180">
        <v>3.3006228708408361E-4</v>
      </c>
      <c r="Z294" s="180">
        <v>7.4555370224549768E-4</v>
      </c>
      <c r="AA294" s="180">
        <v>1.0278859564771125E-5</v>
      </c>
      <c r="AB294" s="180">
        <v>6.9733723903610885E-4</v>
      </c>
      <c r="AC294" s="180">
        <v>2.3535220881827705E-4</v>
      </c>
      <c r="AD294" s="180">
        <v>4.3562344006968111E-4</v>
      </c>
      <c r="AE294" s="180">
        <v>3.2120511051046262E-4</v>
      </c>
      <c r="AF294" s="180">
        <v>2.0420562729853461E-3</v>
      </c>
      <c r="AG294" s="180">
        <v>3.5270826394507459E-4</v>
      </c>
      <c r="AH294" s="180">
        <v>4.5696587310639262E-4</v>
      </c>
      <c r="AI294" s="181">
        <v>6.4524949399266879E-4</v>
      </c>
    </row>
    <row r="295" spans="2:35" x14ac:dyDescent="0.25">
      <c r="B295" s="163" t="str">
        <f>'Market Data'!$B$43</f>
        <v>V</v>
      </c>
      <c r="C295" s="160">
        <f>Statistics!$G$45</f>
        <v>1.7947618128132319E-2</v>
      </c>
      <c r="E295" s="168">
        <v>0</v>
      </c>
      <c r="F295" s="85" t="str">
        <v>V</v>
      </c>
      <c r="G295" s="179">
        <v>1.5697677901095443E-3</v>
      </c>
      <c r="H295" s="180">
        <v>2.1563583115517065E-3</v>
      </c>
      <c r="I295" s="180">
        <v>2.2475777063178958E-3</v>
      </c>
      <c r="J295" s="180">
        <v>1.4624027030174886E-3</v>
      </c>
      <c r="K295" s="180">
        <v>2.8598074505702059E-3</v>
      </c>
      <c r="L295" s="180">
        <v>9.2897312946466114E-4</v>
      </c>
      <c r="M295" s="180">
        <v>3.0677861856869904E-3</v>
      </c>
      <c r="N295" s="180">
        <v>2.2204011828610088E-3</v>
      </c>
      <c r="O295" s="180">
        <v>1.7646874198991678E-3</v>
      </c>
      <c r="P295" s="180">
        <v>2.0541307067505868E-3</v>
      </c>
      <c r="Q295" s="180">
        <v>1.2055891827737501E-3</v>
      </c>
      <c r="R295" s="180">
        <v>1.2306885914741903E-3</v>
      </c>
      <c r="S295" s="180">
        <v>1.8678530672680304E-3</v>
      </c>
      <c r="T295" s="180">
        <v>8.2747273857601913E-4</v>
      </c>
      <c r="U295" s="180">
        <v>1.9463933682734615E-3</v>
      </c>
      <c r="V295" s="180">
        <v>9.4999344105865064E-4</v>
      </c>
      <c r="W295" s="180">
        <v>1.0020182531469391E-3</v>
      </c>
      <c r="X295" s="180">
        <v>1.59984129324471E-3</v>
      </c>
      <c r="Y295" s="180">
        <v>1.1984054366898813E-3</v>
      </c>
      <c r="Z295" s="180">
        <v>1.5294825998788863E-3</v>
      </c>
      <c r="AA295" s="180">
        <v>1.2162400994020978E-3</v>
      </c>
      <c r="AB295" s="180">
        <v>1.6142857385330945E-3</v>
      </c>
      <c r="AC295" s="180">
        <v>9.2172519542926422E-4</v>
      </c>
      <c r="AD295" s="180">
        <v>6.7255745531353401E-4</v>
      </c>
      <c r="AE295" s="180">
        <v>1.6964262161404888E-3</v>
      </c>
      <c r="AF295" s="180">
        <v>3.5270826394507459E-4</v>
      </c>
      <c r="AG295" s="180">
        <v>3.6944718915923875E-3</v>
      </c>
      <c r="AH295" s="180">
        <v>2.1280259291490004E-4</v>
      </c>
      <c r="AI295" s="181">
        <v>9.4116112769672574E-4</v>
      </c>
    </row>
    <row r="296" spans="2:35" x14ac:dyDescent="0.25">
      <c r="B296" s="163" t="str">
        <f>'Market Data'!$B$44</f>
        <v>WMT</v>
      </c>
      <c r="C296" s="160">
        <f>Statistics!$G$46</f>
        <v>1.8437214178450567E-3</v>
      </c>
      <c r="E296" s="168">
        <v>0.21141451557608376</v>
      </c>
      <c r="F296" s="85" t="str">
        <v>WMT</v>
      </c>
      <c r="G296" s="179">
        <v>5.7975796375205426E-4</v>
      </c>
      <c r="H296" s="180">
        <v>2.6973274792062105E-5</v>
      </c>
      <c r="I296" s="180">
        <v>1.7979190170774528E-4</v>
      </c>
      <c r="J296" s="180">
        <v>-2.1581932882750213E-4</v>
      </c>
      <c r="K296" s="180">
        <v>3.2563207166723412E-4</v>
      </c>
      <c r="L296" s="180">
        <v>1.437380584121094E-4</v>
      </c>
      <c r="M296" s="180">
        <v>-2.3301122426120984E-5</v>
      </c>
      <c r="N296" s="180">
        <v>-1.1672694641114529E-4</v>
      </c>
      <c r="O296" s="180">
        <v>3.1986346053900631E-5</v>
      </c>
      <c r="P296" s="180">
        <v>-5.4295264980806504E-5</v>
      </c>
      <c r="Q296" s="180">
        <v>1.9815526434870993E-4</v>
      </c>
      <c r="R296" s="180">
        <v>3.7610030291999273E-4</v>
      </c>
      <c r="S296" s="180">
        <v>-1.8556188989019865E-5</v>
      </c>
      <c r="T296" s="180">
        <v>7.1470891411086447E-4</v>
      </c>
      <c r="U296" s="180">
        <v>7.503242005510376E-5</v>
      </c>
      <c r="V296" s="180">
        <v>6.4703627119224946E-4</v>
      </c>
      <c r="W296" s="180">
        <v>4.237060092283065E-5</v>
      </c>
      <c r="X296" s="180">
        <v>4.5051539698961655E-4</v>
      </c>
      <c r="Y296" s="180">
        <v>4.389896882024129E-4</v>
      </c>
      <c r="Z296" s="180">
        <v>-3.4970831020819231E-4</v>
      </c>
      <c r="AA296" s="180">
        <v>1.3266739677968515E-5</v>
      </c>
      <c r="AB296" s="180">
        <v>6.1756439897017149E-4</v>
      </c>
      <c r="AC296" s="180">
        <v>7.2490049760504278E-4</v>
      </c>
      <c r="AD296" s="180">
        <v>2.5472583633253342E-4</v>
      </c>
      <c r="AE296" s="180">
        <v>2.8814451862251201E-4</v>
      </c>
      <c r="AF296" s="180">
        <v>4.5696587310639262E-4</v>
      </c>
      <c r="AG296" s="180">
        <v>2.1280259291490004E-4</v>
      </c>
      <c r="AH296" s="180">
        <v>1.9253008332035728E-3</v>
      </c>
      <c r="AI296" s="181">
        <v>9.9417778748729687E-5</v>
      </c>
    </row>
    <row r="297" spans="2:35" x14ac:dyDescent="0.25">
      <c r="B297" s="164" t="str">
        <f>'Market Data'!$B$45</f>
        <v>XOM</v>
      </c>
      <c r="C297" s="165">
        <f>Statistics!$G$47</f>
        <v>1.7101166353118678E-3</v>
      </c>
      <c r="E297" s="169">
        <v>0.17609952720166971</v>
      </c>
      <c r="F297" s="86" t="str">
        <v>XOM</v>
      </c>
      <c r="G297" s="179">
        <v>8.3126780280069973E-4</v>
      </c>
      <c r="H297" s="180">
        <v>9.0240454872836753E-4</v>
      </c>
      <c r="I297" s="180">
        <v>5.5785917505375118E-4</v>
      </c>
      <c r="J297" s="180">
        <v>1.368945659107327E-3</v>
      </c>
      <c r="K297" s="180">
        <v>1.3701802479257339E-3</v>
      </c>
      <c r="L297" s="180">
        <v>1.9286286807754067E-3</v>
      </c>
      <c r="M297" s="180">
        <v>2.1182301102402332E-3</v>
      </c>
      <c r="N297" s="180">
        <v>1.3292278052638991E-3</v>
      </c>
      <c r="O297" s="180">
        <v>1.6264073394302158E-3</v>
      </c>
      <c r="P297" s="180">
        <v>1.4387650786059658E-3</v>
      </c>
      <c r="Q297" s="180">
        <v>5.7016164369997474E-4</v>
      </c>
      <c r="R297" s="180">
        <v>1.0970123689928199E-3</v>
      </c>
      <c r="S297" s="180">
        <v>1.0791409093812321E-3</v>
      </c>
      <c r="T297" s="180">
        <v>7.4627799983375924E-4</v>
      </c>
      <c r="U297" s="180">
        <v>1.3958094738143344E-3</v>
      </c>
      <c r="V297" s="180">
        <v>5.1805651820066112E-4</v>
      </c>
      <c r="W297" s="180">
        <v>6.6389606634421081E-4</v>
      </c>
      <c r="X297" s="180">
        <v>1.2697174541958882E-3</v>
      </c>
      <c r="Y297" s="180">
        <v>5.8214330295854532E-4</v>
      </c>
      <c r="Z297" s="180">
        <v>1.2219742467918569E-3</v>
      </c>
      <c r="AA297" s="180">
        <v>-1.9722713194093662E-4</v>
      </c>
      <c r="AB297" s="180">
        <v>8.1835922434987771E-4</v>
      </c>
      <c r="AC297" s="180">
        <v>6.1092932367000222E-4</v>
      </c>
      <c r="AD297" s="180">
        <v>7.6037739981613735E-4</v>
      </c>
      <c r="AE297" s="180">
        <v>1.3259012920786922E-3</v>
      </c>
      <c r="AF297" s="180">
        <v>6.4524949399266879E-4</v>
      </c>
      <c r="AG297" s="180">
        <v>9.4116112769672574E-4</v>
      </c>
      <c r="AH297" s="180">
        <v>9.9417778748729687E-5</v>
      </c>
      <c r="AI297" s="181">
        <v>1.845802781732033E-3</v>
      </c>
    </row>
    <row r="298" spans="2:35" x14ac:dyDescent="0.25">
      <c r="B298" s="3"/>
      <c r="C298" s="3"/>
      <c r="D298" s="3"/>
      <c r="E298" s="182">
        <f>SUM(E269:E297)</f>
        <v>1</v>
      </c>
      <c r="F298" s="3"/>
      <c r="G298" s="184">
        <f>_xll.SumProduct2(TR4_PORTFOLIO_WEIGHTS,G269:G297)*G267</f>
        <v>0</v>
      </c>
      <c r="H298" s="185">
        <f>_xll.SumProduct2(TR4_PORTFOLIO_WEIGHTS,H269:H297)*H267</f>
        <v>6.9470784767173346E-6</v>
      </c>
      <c r="I298" s="185">
        <f>_xll.SumProduct2(TR4_PORTFOLIO_WEIGHTS,I269:I297)*I267</f>
        <v>0</v>
      </c>
      <c r="J298" s="185">
        <f>_xll.SumProduct2(TR4_PORTFOLIO_WEIGHTS,J269:J297)*J267</f>
        <v>0</v>
      </c>
      <c r="K298" s="185">
        <f>_xll.SumProduct2(TR4_PORTFOLIO_WEIGHTS,K269:K297)*K267</f>
        <v>0</v>
      </c>
      <c r="L298" s="185">
        <f>_xll.SumProduct2(TR4_PORTFOLIO_WEIGHTS,L269:L297)*L267</f>
        <v>0</v>
      </c>
      <c r="M298" s="185">
        <f>_xll.SumProduct2(TR4_PORTFOLIO_WEIGHTS,M269:M297)*M267</f>
        <v>0</v>
      </c>
      <c r="N298" s="185">
        <f>_xll.SumProduct2(TR4_PORTFOLIO_WEIGHTS,N269:N297)*N267</f>
        <v>0</v>
      </c>
      <c r="O298" s="185">
        <f>_xll.SumProduct2(TR4_PORTFOLIO_WEIGHTS,O269:O297)*O267</f>
        <v>0</v>
      </c>
      <c r="P298" s="185">
        <f>_xll.SumProduct2(TR4_PORTFOLIO_WEIGHTS,P269:P297)*P267</f>
        <v>0</v>
      </c>
      <c r="Q298" s="185">
        <f>_xll.SumProduct2(TR4_PORTFOLIO_WEIGHTS,Q269:Q297)*Q267</f>
        <v>0</v>
      </c>
      <c r="R298" s="185">
        <f>_xll.SumProduct2(TR4_PORTFOLIO_WEIGHTS,R269:R297)*R267</f>
        <v>2.1142230738952977E-5</v>
      </c>
      <c r="S298" s="185">
        <f>_xll.SumProduct2(TR4_PORTFOLIO_WEIGHTS,S269:S297)*S267</f>
        <v>0</v>
      </c>
      <c r="T298" s="185">
        <f>_xll.SumProduct2(TR4_PORTFOLIO_WEIGHTS,T269:T297)*T267</f>
        <v>0</v>
      </c>
      <c r="U298" s="185">
        <f>_xll.SumProduct2(TR4_PORTFOLIO_WEIGHTS,U269:U297)*U267</f>
        <v>0</v>
      </c>
      <c r="V298" s="185">
        <f>_xll.SumProduct2(TR4_PORTFOLIO_WEIGHTS,V269:V297)*V267</f>
        <v>4.1223077355958541E-5</v>
      </c>
      <c r="W298" s="185">
        <f>_xll.SumProduct2(TR4_PORTFOLIO_WEIGHTS,W269:W297)*W267</f>
        <v>4.8146345428366069E-5</v>
      </c>
      <c r="X298" s="185">
        <f>_xll.SumProduct2(TR4_PORTFOLIO_WEIGHTS,X269:X297)*X267</f>
        <v>0</v>
      </c>
      <c r="Y298" s="185">
        <f>_xll.SumProduct2(TR4_PORTFOLIO_WEIGHTS,Y269:Y297)*Y267</f>
        <v>1.3214723045351432E-5</v>
      </c>
      <c r="Z298" s="185">
        <f>_xll.SumProduct2(TR4_PORTFOLIO_WEIGHTS,Z269:Z297)*Z267</f>
        <v>0</v>
      </c>
      <c r="AA298" s="185">
        <f>_xll.SumProduct2(TR4_PORTFOLIO_WEIGHTS,AA269:AA297)*AA267</f>
        <v>7.6485807552297043E-5</v>
      </c>
      <c r="AB298" s="185">
        <f>_xll.SumProduct2(TR4_PORTFOLIO_WEIGHTS,AB269:AB297)*AB267</f>
        <v>0</v>
      </c>
      <c r="AC298" s="185">
        <f>_xll.SumProduct2(TR4_PORTFOLIO_WEIGHTS,AC269:AC297)*AC267</f>
        <v>4.9460802387474996E-5</v>
      </c>
      <c r="AD298" s="185">
        <f>_xll.SumProduct2(TR4_PORTFOLIO_WEIGHTS,AD269:AD297)*AD267</f>
        <v>1.4278771551888928E-5</v>
      </c>
      <c r="AE298" s="185">
        <f>_xll.SumProduct2(TR4_PORTFOLIO_WEIGHTS,AE269:AE297)*AE267</f>
        <v>0</v>
      </c>
      <c r="AF298" s="185">
        <f>_xll.SumProduct2(TR4_PORTFOLIO_WEIGHTS,AF269:AF297)*AF267</f>
        <v>7.1646951247711011E-5</v>
      </c>
      <c r="AG298" s="185">
        <f>_xll.SumProduct2(TR4_PORTFOLIO_WEIGHTS,AG269:AG297)*AG267</f>
        <v>0</v>
      </c>
      <c r="AH298" s="185">
        <f>_xll.SumProduct2(TR4_PORTFOLIO_WEIGHTS,AH269:AH297)*AH267</f>
        <v>1.316499756449231E-4</v>
      </c>
      <c r="AI298" s="189">
        <f>_xll.SumProduct2(TR4_PORTFOLIO_WEIGHTS,AI269:AI297)*AI267</f>
        <v>1.0989100248485586E-4</v>
      </c>
    </row>
    <row r="299" spans="2:35" x14ac:dyDescent="0.25">
      <c r="B299" s="3"/>
      <c r="C299" s="3"/>
      <c r="D299" s="3"/>
      <c r="E299" s="3"/>
      <c r="F299" s="3"/>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row>
    <row r="300" spans="2:35" ht="20.25" thickBot="1" x14ac:dyDescent="0.35">
      <c r="B300" s="153" t="str">
        <f>ROUND(TR5_PORTFOLIO_TARGET_RETURN*100, LABEL_ROUNDING) &amp; "% Target Return Portfolio (TR5)"</f>
        <v>0.812% Target Return Portfolio (TR5)</v>
      </c>
      <c r="C300" s="153"/>
      <c r="D300" s="153"/>
      <c r="E300" s="154"/>
      <c r="F300" s="153"/>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row>
    <row r="301" spans="2:35" ht="15.75" thickTop="1" x14ac:dyDescent="0.25">
      <c r="B301" s="156" t="s">
        <v>70</v>
      </c>
      <c r="C301" s="159">
        <f>TR5_PORTFOLIO_TARGET_RETURN</f>
        <v>8.1249320594923916E-3</v>
      </c>
    </row>
    <row r="302" spans="2:35" x14ac:dyDescent="0.25">
      <c r="B302" s="157" t="s">
        <v>60</v>
      </c>
      <c r="C302" s="160">
        <f>_xll.SumProduct2(C307:C335,E307:E335)-RISK_FREE_RATE</f>
        <v>8.1249321027518674E-3</v>
      </c>
    </row>
    <row r="303" spans="2:35" x14ac:dyDescent="0.25">
      <c r="B303" s="157" t="s">
        <v>62</v>
      </c>
      <c r="C303" s="160">
        <f>SQRT(SUM(G336:AI336))</f>
        <v>2.3748092739768186E-2</v>
      </c>
    </row>
    <row r="304" spans="2:35" x14ac:dyDescent="0.25">
      <c r="B304" s="158" t="s">
        <v>103</v>
      </c>
      <c r="C304" s="161" t="str">
        <f>_xll.TimeSeries.CovarianceMatrixCalculator.apply(COVARIANCE_MATRIX_CALCULATOR,'Efficient Frontier'!B307:B335,Statistics!$F$19:$F$47)</f>
        <v>»LabelledMatrix-16705291694770987815</v>
      </c>
      <c r="D304" t="s">
        <v>77</v>
      </c>
    </row>
    <row r="305" spans="2:35" x14ac:dyDescent="0.25">
      <c r="F305" s="111" t="s">
        <v>69</v>
      </c>
      <c r="G305" s="170">
        <f t="array" ref="G305:AI305">TRANSPOSE(E307:E335)</f>
        <v>0</v>
      </c>
      <c r="H305" s="171">
        <v>3.4674276153306345E-3</v>
      </c>
      <c r="I305" s="171">
        <v>0</v>
      </c>
      <c r="J305" s="171">
        <v>0</v>
      </c>
      <c r="K305" s="171">
        <v>0</v>
      </c>
      <c r="L305" s="171">
        <v>0</v>
      </c>
      <c r="M305" s="171">
        <v>0</v>
      </c>
      <c r="N305" s="171">
        <v>0</v>
      </c>
      <c r="O305" s="171">
        <v>0</v>
      </c>
      <c r="P305" s="171">
        <v>0</v>
      </c>
      <c r="Q305" s="171">
        <v>1.9918146941336735E-2</v>
      </c>
      <c r="R305" s="171">
        <v>1.8160327584730084E-2</v>
      </c>
      <c r="S305" s="171">
        <v>0</v>
      </c>
      <c r="T305" s="171">
        <v>0</v>
      </c>
      <c r="U305" s="171">
        <v>0</v>
      </c>
      <c r="V305" s="171">
        <v>6.8625035238865095E-2</v>
      </c>
      <c r="W305" s="171">
        <v>8.3767928073632064E-2</v>
      </c>
      <c r="X305" s="171">
        <v>0</v>
      </c>
      <c r="Y305" s="171">
        <v>2.3503072698695546E-2</v>
      </c>
      <c r="Z305" s="171">
        <v>0</v>
      </c>
      <c r="AA305" s="171">
        <v>0.15369457808516046</v>
      </c>
      <c r="AB305" s="171">
        <v>0</v>
      </c>
      <c r="AC305" s="171">
        <v>0.10084291432457984</v>
      </c>
      <c r="AD305" s="171">
        <v>8.7907711704489438E-2</v>
      </c>
      <c r="AE305" s="171">
        <v>0</v>
      </c>
      <c r="AF305" s="171">
        <v>0.11460651697757128</v>
      </c>
      <c r="AG305" s="171">
        <v>0</v>
      </c>
      <c r="AH305" s="171">
        <v>0.18481143721670662</v>
      </c>
      <c r="AI305" s="172">
        <v>0.14069490353890246</v>
      </c>
    </row>
    <row r="306" spans="2:35" x14ac:dyDescent="0.25">
      <c r="C306" s="111" t="s">
        <v>63</v>
      </c>
      <c r="E306" s="89" t="s">
        <v>69</v>
      </c>
      <c r="F306" s="166" t="str">
        <f t="array" ref="F306:AI335">_xll.Matrix.ExpandAsArray(C304)</f>
        <v/>
      </c>
      <c r="G306" s="173" t="str">
        <v>AAPL</v>
      </c>
      <c r="H306" s="174" t="str">
        <v>AXP</v>
      </c>
      <c r="I306" s="174" t="str">
        <v>BA</v>
      </c>
      <c r="J306" s="174" t="str">
        <v>CAT</v>
      </c>
      <c r="K306" s="174" t="str">
        <v>CSCO</v>
      </c>
      <c r="L306" s="174" t="str">
        <v>CVX</v>
      </c>
      <c r="M306" s="174" t="str">
        <v>DD</v>
      </c>
      <c r="N306" s="174" t="str">
        <v>DIS</v>
      </c>
      <c r="O306" s="174" t="str">
        <v>GE</v>
      </c>
      <c r="P306" s="174" t="str">
        <v>GS</v>
      </c>
      <c r="Q306" s="174" t="str">
        <v>HD</v>
      </c>
      <c r="R306" s="174" t="str">
        <v>IBM</v>
      </c>
      <c r="S306" s="174" t="str">
        <v>INTC</v>
      </c>
      <c r="T306" s="174" t="str">
        <v>JNJ</v>
      </c>
      <c r="U306" s="174" t="str">
        <v>JPM</v>
      </c>
      <c r="V306" s="174" t="str">
        <v>KO</v>
      </c>
      <c r="W306" s="174" t="str">
        <v>MCD</v>
      </c>
      <c r="X306" s="174" t="str">
        <v>MMM</v>
      </c>
      <c r="Y306" s="174" t="str">
        <v>MRK</v>
      </c>
      <c r="Z306" s="174" t="str">
        <v>MSFT</v>
      </c>
      <c r="AA306" s="174" t="str">
        <v>NKE</v>
      </c>
      <c r="AB306" s="174" t="str">
        <v>PFE</v>
      </c>
      <c r="AC306" s="174" t="str">
        <v>PG</v>
      </c>
      <c r="AD306" s="174" t="str">
        <v>UNH</v>
      </c>
      <c r="AE306" s="174" t="str">
        <v>UTX</v>
      </c>
      <c r="AF306" s="174" t="str">
        <v>VZ</v>
      </c>
      <c r="AG306" s="174" t="str">
        <v>V</v>
      </c>
      <c r="AH306" s="174" t="str">
        <v>WMT</v>
      </c>
      <c r="AI306" s="175" t="str">
        <v>XOM</v>
      </c>
    </row>
    <row r="307" spans="2:35" x14ac:dyDescent="0.25">
      <c r="B307" s="162" t="str">
        <f>'Market Data'!$B$17</f>
        <v>AAPL</v>
      </c>
      <c r="C307" s="159">
        <f>Statistics!$G$19</f>
        <v>2.1230184800142136E-2</v>
      </c>
      <c r="E307" s="167">
        <v>0</v>
      </c>
      <c r="F307" s="84" t="str">
        <v>AAPL</v>
      </c>
      <c r="G307" s="176">
        <v>4.5162973293162668E-3</v>
      </c>
      <c r="H307" s="177">
        <v>1.6284380645241216E-3</v>
      </c>
      <c r="I307" s="177">
        <v>1.6201491796022521E-3</v>
      </c>
      <c r="J307" s="177">
        <v>1.5690359790962263E-3</v>
      </c>
      <c r="K307" s="177">
        <v>2.3505409053430782E-3</v>
      </c>
      <c r="L307" s="177">
        <v>1.1773098260505132E-3</v>
      </c>
      <c r="M307" s="177">
        <v>2.5889638042653502E-3</v>
      </c>
      <c r="N307" s="177">
        <v>1.366655807124157E-3</v>
      </c>
      <c r="O307" s="177">
        <v>1.5698375611055285E-3</v>
      </c>
      <c r="P307" s="177">
        <v>1.8109156333145874E-3</v>
      </c>
      <c r="Q307" s="177">
        <v>9.8639311096076088E-4</v>
      </c>
      <c r="R307" s="177">
        <v>1.7737023799007877E-3</v>
      </c>
      <c r="S307" s="177">
        <v>1.6293191413582805E-3</v>
      </c>
      <c r="T307" s="177">
        <v>8.2631268301744008E-4</v>
      </c>
      <c r="U307" s="177">
        <v>1.2529926248616137E-3</v>
      </c>
      <c r="V307" s="177">
        <v>9.6129190129553134E-4</v>
      </c>
      <c r="W307" s="177">
        <v>4.3723596630614248E-4</v>
      </c>
      <c r="X307" s="177">
        <v>1.6042263123932821E-3</v>
      </c>
      <c r="Y307" s="177">
        <v>6.6280896407091964E-4</v>
      </c>
      <c r="Z307" s="177">
        <v>1.7656054736670385E-3</v>
      </c>
      <c r="AA307" s="177">
        <v>7.4054258425286133E-4</v>
      </c>
      <c r="AB307" s="177">
        <v>1.105136574328315E-3</v>
      </c>
      <c r="AC307" s="177">
        <v>1.0336127768185608E-3</v>
      </c>
      <c r="AD307" s="177">
        <v>5.5673881663560775E-4</v>
      </c>
      <c r="AE307" s="177">
        <v>1.2367738317379871E-3</v>
      </c>
      <c r="AF307" s="177">
        <v>1.8457278448214234E-4</v>
      </c>
      <c r="AG307" s="177">
        <v>1.5697677901095443E-3</v>
      </c>
      <c r="AH307" s="177">
        <v>5.7975796375205426E-4</v>
      </c>
      <c r="AI307" s="178">
        <v>8.3126780280069973E-4</v>
      </c>
    </row>
    <row r="308" spans="2:35" x14ac:dyDescent="0.25">
      <c r="B308" s="163" t="str">
        <f>'Market Data'!$B$18</f>
        <v>AXP</v>
      </c>
      <c r="C308" s="160">
        <f>Statistics!$G$20</f>
        <v>6.4918343965214677E-3</v>
      </c>
      <c r="E308" s="168">
        <v>3.4674276153306345E-3</v>
      </c>
      <c r="F308" s="85" t="str">
        <v>AXP</v>
      </c>
      <c r="G308" s="179">
        <v>1.6284380645241216E-3</v>
      </c>
      <c r="H308" s="180">
        <v>4.0660324753009668E-3</v>
      </c>
      <c r="I308" s="180">
        <v>2.3214948032735548E-3</v>
      </c>
      <c r="J308" s="180">
        <v>2.4672804057197504E-3</v>
      </c>
      <c r="K308" s="180">
        <v>2.2861035048804129E-3</v>
      </c>
      <c r="L308" s="180">
        <v>1.4106472819975181E-3</v>
      </c>
      <c r="M308" s="180">
        <v>3.0070268955997704E-3</v>
      </c>
      <c r="N308" s="180">
        <v>1.9718583562846406E-3</v>
      </c>
      <c r="O308" s="180">
        <v>1.6460552176854309E-3</v>
      </c>
      <c r="P308" s="180">
        <v>3.1197862990926528E-3</v>
      </c>
      <c r="Q308" s="180">
        <v>1.285962047454306E-3</v>
      </c>
      <c r="R308" s="180">
        <v>1.960684724858895E-3</v>
      </c>
      <c r="S308" s="180">
        <v>2.0715314739138896E-3</v>
      </c>
      <c r="T308" s="180">
        <v>7.3945969222275051E-4</v>
      </c>
      <c r="U308" s="180">
        <v>2.7840355446374721E-3</v>
      </c>
      <c r="V308" s="180">
        <v>5.6369017954212687E-4</v>
      </c>
      <c r="W308" s="180">
        <v>5.9016175595858627E-4</v>
      </c>
      <c r="X308" s="180">
        <v>1.3680882736390085E-3</v>
      </c>
      <c r="Y308" s="180">
        <v>9.5675499919051471E-4</v>
      </c>
      <c r="Z308" s="180">
        <v>1.7453927826798744E-3</v>
      </c>
      <c r="AA308" s="180">
        <v>9.1418204127611028E-4</v>
      </c>
      <c r="AB308" s="180">
        <v>1.0081234358528435E-3</v>
      </c>
      <c r="AC308" s="180">
        <v>4.150551569421239E-4</v>
      </c>
      <c r="AD308" s="180">
        <v>9.035040942327959E-4</v>
      </c>
      <c r="AE308" s="180">
        <v>1.9679940702890687E-3</v>
      </c>
      <c r="AF308" s="180">
        <v>-7.7366109832012643E-5</v>
      </c>
      <c r="AG308" s="180">
        <v>2.1563583115517065E-3</v>
      </c>
      <c r="AH308" s="180">
        <v>2.6973274792062105E-5</v>
      </c>
      <c r="AI308" s="181">
        <v>9.0240454872836753E-4</v>
      </c>
    </row>
    <row r="309" spans="2:35" x14ac:dyDescent="0.25">
      <c r="B309" s="163" t="str">
        <f>'Market Data'!$B$19</f>
        <v>BA</v>
      </c>
      <c r="C309" s="160">
        <f>Statistics!$G$21</f>
        <v>1.9250861766613322E-2</v>
      </c>
      <c r="E309" s="168">
        <v>0</v>
      </c>
      <c r="F309" s="85" t="str">
        <v>BA</v>
      </c>
      <c r="G309" s="179">
        <v>1.6201491796022521E-3</v>
      </c>
      <c r="H309" s="180">
        <v>2.3214948032735548E-3</v>
      </c>
      <c r="I309" s="180">
        <v>3.7402935775721971E-3</v>
      </c>
      <c r="J309" s="180">
        <v>1.6046317611050844E-3</v>
      </c>
      <c r="K309" s="180">
        <v>2.1240240973260023E-3</v>
      </c>
      <c r="L309" s="180">
        <v>1.3419066335272889E-3</v>
      </c>
      <c r="M309" s="180">
        <v>3.1629198402818382E-3</v>
      </c>
      <c r="N309" s="180">
        <v>2.193611301570318E-3</v>
      </c>
      <c r="O309" s="180">
        <v>1.7334051959416068E-3</v>
      </c>
      <c r="P309" s="180">
        <v>2.2391121271409182E-3</v>
      </c>
      <c r="Q309" s="180">
        <v>1.2911501083222776E-3</v>
      </c>
      <c r="R309" s="180">
        <v>1.1336433634722555E-3</v>
      </c>
      <c r="S309" s="180">
        <v>1.485647562986758E-3</v>
      </c>
      <c r="T309" s="180">
        <v>7.7470388279684329E-4</v>
      </c>
      <c r="U309" s="180">
        <v>1.8054441283061249E-3</v>
      </c>
      <c r="V309" s="180">
        <v>9.7196182882881919E-4</v>
      </c>
      <c r="W309" s="180">
        <v>1.004575731683145E-3</v>
      </c>
      <c r="X309" s="180">
        <v>1.220072170107771E-3</v>
      </c>
      <c r="Y309" s="180">
        <v>1.3506721993334096E-3</v>
      </c>
      <c r="Z309" s="180">
        <v>1.4618979219237266E-3</v>
      </c>
      <c r="AA309" s="180">
        <v>1.1825978430535619E-3</v>
      </c>
      <c r="AB309" s="180">
        <v>1.2950969606515986E-3</v>
      </c>
      <c r="AC309" s="180">
        <v>5.997217417536032E-4</v>
      </c>
      <c r="AD309" s="180">
        <v>6.5863568330466196E-4</v>
      </c>
      <c r="AE309" s="180">
        <v>1.846395156096473E-3</v>
      </c>
      <c r="AF309" s="180">
        <v>3.7914592931386057E-4</v>
      </c>
      <c r="AG309" s="180">
        <v>2.2475777063178958E-3</v>
      </c>
      <c r="AH309" s="180">
        <v>1.7979190170774528E-4</v>
      </c>
      <c r="AI309" s="181">
        <v>5.5785917505375118E-4</v>
      </c>
    </row>
    <row r="310" spans="2:35" x14ac:dyDescent="0.25">
      <c r="B310" s="163" t="str">
        <f>'Market Data'!$B$20</f>
        <v>CAT</v>
      </c>
      <c r="C310" s="160">
        <f>Statistics!$G$22</f>
        <v>6.3545919720494892E-3</v>
      </c>
      <c r="E310" s="168">
        <v>0</v>
      </c>
      <c r="F310" s="85" t="str">
        <v>CAT</v>
      </c>
      <c r="G310" s="179">
        <v>1.5690359790962263E-3</v>
      </c>
      <c r="H310" s="180">
        <v>2.4672804057197504E-3</v>
      </c>
      <c r="I310" s="180">
        <v>1.6046317611050844E-3</v>
      </c>
      <c r="J310" s="180">
        <v>4.5013491323716076E-3</v>
      </c>
      <c r="K310" s="180">
        <v>1.8532157140411887E-3</v>
      </c>
      <c r="L310" s="180">
        <v>2.2352946064681648E-3</v>
      </c>
      <c r="M310" s="180">
        <v>3.0429489894058951E-3</v>
      </c>
      <c r="N310" s="180">
        <v>1.6981712196612736E-3</v>
      </c>
      <c r="O310" s="180">
        <v>2.2046623152336968E-3</v>
      </c>
      <c r="P310" s="180">
        <v>2.3825247137119567E-3</v>
      </c>
      <c r="Q310" s="180">
        <v>1.0587514228509517E-3</v>
      </c>
      <c r="R310" s="180">
        <v>2.1554825858441308E-3</v>
      </c>
      <c r="S310" s="180">
        <v>2.3005603160952529E-3</v>
      </c>
      <c r="T310" s="180">
        <v>9.0633949973445221E-4</v>
      </c>
      <c r="U310" s="180">
        <v>2.011937601179676E-3</v>
      </c>
      <c r="V310" s="180">
        <v>6.586205973694774E-4</v>
      </c>
      <c r="W310" s="180">
        <v>1.2118483675212872E-3</v>
      </c>
      <c r="X310" s="180">
        <v>1.3778500117759705E-3</v>
      </c>
      <c r="Y310" s="180">
        <v>1.6454661341138513E-3</v>
      </c>
      <c r="Z310" s="180">
        <v>2.2842322526096018E-3</v>
      </c>
      <c r="AA310" s="180">
        <v>-1.1104731462091626E-4</v>
      </c>
      <c r="AB310" s="180">
        <v>7.9610645869862182E-4</v>
      </c>
      <c r="AC310" s="180">
        <v>4.9254664842985144E-4</v>
      </c>
      <c r="AD310" s="180">
        <v>7.8373416165496384E-4</v>
      </c>
      <c r="AE310" s="180">
        <v>2.1924453554447642E-3</v>
      </c>
      <c r="AF310" s="180">
        <v>6.8929109799853135E-4</v>
      </c>
      <c r="AG310" s="180">
        <v>1.4624027030174886E-3</v>
      </c>
      <c r="AH310" s="180">
        <v>-2.1581932882750213E-4</v>
      </c>
      <c r="AI310" s="181">
        <v>1.368945659107327E-3</v>
      </c>
    </row>
    <row r="311" spans="2:35" x14ac:dyDescent="0.25">
      <c r="B311" s="163" t="str">
        <f>'Market Data'!$B$21</f>
        <v>CSCO</v>
      </c>
      <c r="C311" s="160">
        <f>Statistics!$G$23</f>
        <v>1.4928779568119917E-2</v>
      </c>
      <c r="E311" s="168">
        <v>0</v>
      </c>
      <c r="F311" s="85" t="str">
        <v>CSCO</v>
      </c>
      <c r="G311" s="179">
        <v>2.3505409053430782E-3</v>
      </c>
      <c r="H311" s="180">
        <v>2.2861035048804129E-3</v>
      </c>
      <c r="I311" s="180">
        <v>2.1240240973260023E-3</v>
      </c>
      <c r="J311" s="180">
        <v>1.8532157140411887E-3</v>
      </c>
      <c r="K311" s="180">
        <v>4.2943797540477393E-3</v>
      </c>
      <c r="L311" s="180">
        <v>1.6495950515362169E-3</v>
      </c>
      <c r="M311" s="180">
        <v>3.7036865533827041E-3</v>
      </c>
      <c r="N311" s="180">
        <v>1.9090150380186609E-3</v>
      </c>
      <c r="O311" s="180">
        <v>2.0168425927536027E-3</v>
      </c>
      <c r="P311" s="180">
        <v>2.2177683830845976E-3</v>
      </c>
      <c r="Q311" s="180">
        <v>9.8504335267051509E-4</v>
      </c>
      <c r="R311" s="180">
        <v>2.2508292865696072E-3</v>
      </c>
      <c r="S311" s="180">
        <v>2.2625583672846289E-3</v>
      </c>
      <c r="T311" s="180">
        <v>1.1094225673998865E-3</v>
      </c>
      <c r="U311" s="180">
        <v>2.0831844183308271E-3</v>
      </c>
      <c r="V311" s="180">
        <v>1.0904984859812852E-3</v>
      </c>
      <c r="W311" s="180">
        <v>8.8656407550750189E-4</v>
      </c>
      <c r="X311" s="180">
        <v>1.6594658489014636E-3</v>
      </c>
      <c r="Y311" s="180">
        <v>1.2877752599161352E-3</v>
      </c>
      <c r="Z311" s="180">
        <v>2.1511833371391734E-3</v>
      </c>
      <c r="AA311" s="180">
        <v>7.2136303147440504E-4</v>
      </c>
      <c r="AB311" s="180">
        <v>1.5185012123350332E-3</v>
      </c>
      <c r="AC311" s="180">
        <v>1.0690588122897406E-3</v>
      </c>
      <c r="AD311" s="180">
        <v>1.0321561899434074E-3</v>
      </c>
      <c r="AE311" s="180">
        <v>2.0848208418056797E-3</v>
      </c>
      <c r="AF311" s="180">
        <v>5.9888719676582812E-4</v>
      </c>
      <c r="AG311" s="180">
        <v>2.8598074505702059E-3</v>
      </c>
      <c r="AH311" s="180">
        <v>3.2563207166723412E-4</v>
      </c>
      <c r="AI311" s="181">
        <v>1.3701802479257339E-3</v>
      </c>
    </row>
    <row r="312" spans="2:35" x14ac:dyDescent="0.25">
      <c r="B312" s="163" t="str">
        <f>'Market Data'!$B$22</f>
        <v>CVX</v>
      </c>
      <c r="C312" s="160">
        <f>Statistics!$G$24</f>
        <v>2.6845541907593424E-3</v>
      </c>
      <c r="E312" s="168">
        <v>0</v>
      </c>
      <c r="F312" s="85" t="str">
        <v>CVX</v>
      </c>
      <c r="G312" s="179">
        <v>1.1773098260505132E-3</v>
      </c>
      <c r="H312" s="180">
        <v>1.4106472819975181E-3</v>
      </c>
      <c r="I312" s="180">
        <v>1.3419066335272889E-3</v>
      </c>
      <c r="J312" s="180">
        <v>2.2352946064681648E-3</v>
      </c>
      <c r="K312" s="180">
        <v>1.6495950515362169E-3</v>
      </c>
      <c r="L312" s="180">
        <v>3.2764948408559465E-3</v>
      </c>
      <c r="M312" s="180">
        <v>2.8277959806832817E-3</v>
      </c>
      <c r="N312" s="180">
        <v>1.8200348202442435E-3</v>
      </c>
      <c r="O312" s="180">
        <v>2.0997855192430963E-3</v>
      </c>
      <c r="P312" s="180">
        <v>2.495859527554455E-3</v>
      </c>
      <c r="Q312" s="180">
        <v>7.9860489883547216E-4</v>
      </c>
      <c r="R312" s="180">
        <v>1.7099575851328929E-3</v>
      </c>
      <c r="S312" s="180">
        <v>1.762362573764028E-3</v>
      </c>
      <c r="T312" s="180">
        <v>1.0006982850928254E-3</v>
      </c>
      <c r="U312" s="180">
        <v>2.159640132817216E-3</v>
      </c>
      <c r="V312" s="180">
        <v>7.7350953916938299E-4</v>
      </c>
      <c r="W312" s="180">
        <v>1.2445101608031307E-3</v>
      </c>
      <c r="X312" s="180">
        <v>1.3396872809028706E-3</v>
      </c>
      <c r="Y312" s="180">
        <v>1.0548817345930506E-3</v>
      </c>
      <c r="Z312" s="180">
        <v>1.921523261676006E-3</v>
      </c>
      <c r="AA312" s="180">
        <v>-3.0145919518466895E-4</v>
      </c>
      <c r="AB312" s="180">
        <v>1.0966581694716135E-3</v>
      </c>
      <c r="AC312" s="180">
        <v>8.4385070363078498E-4</v>
      </c>
      <c r="AD312" s="180">
        <v>8.9699068571536217E-4</v>
      </c>
      <c r="AE312" s="180">
        <v>1.7655731333339048E-3</v>
      </c>
      <c r="AF312" s="180">
        <v>7.5916190680994219E-4</v>
      </c>
      <c r="AG312" s="180">
        <v>9.2897312946466114E-4</v>
      </c>
      <c r="AH312" s="180">
        <v>1.437380584121094E-4</v>
      </c>
      <c r="AI312" s="181">
        <v>1.9286286807754067E-3</v>
      </c>
    </row>
    <row r="313" spans="2:35" x14ac:dyDescent="0.25">
      <c r="B313" s="163" t="str">
        <f>'Market Data'!$B$23</f>
        <v>DD</v>
      </c>
      <c r="C313" s="160">
        <f>Statistics!$G$25</f>
        <v>1.7349865519574785E-2</v>
      </c>
      <c r="E313" s="168">
        <v>0</v>
      </c>
      <c r="F313" s="85" t="str">
        <v>DD</v>
      </c>
      <c r="G313" s="179">
        <v>2.5889638042653502E-3</v>
      </c>
      <c r="H313" s="180">
        <v>3.0070268955997704E-3</v>
      </c>
      <c r="I313" s="180">
        <v>3.1629198402818382E-3</v>
      </c>
      <c r="J313" s="180">
        <v>3.0429489894058951E-3</v>
      </c>
      <c r="K313" s="180">
        <v>3.7036865533827041E-3</v>
      </c>
      <c r="L313" s="180">
        <v>2.8277959806832817E-3</v>
      </c>
      <c r="M313" s="180">
        <v>7.2090294001774871E-3</v>
      </c>
      <c r="N313" s="180">
        <v>3.2246456006375726E-3</v>
      </c>
      <c r="O313" s="180">
        <v>3.2408092269649337E-3</v>
      </c>
      <c r="P313" s="180">
        <v>3.1194558916632768E-3</v>
      </c>
      <c r="Q313" s="180">
        <v>2.0138415935295195E-3</v>
      </c>
      <c r="R313" s="180">
        <v>2.4056181433013803E-3</v>
      </c>
      <c r="S313" s="180">
        <v>2.9333641814070907E-3</v>
      </c>
      <c r="T313" s="180">
        <v>1.7073269232421356E-3</v>
      </c>
      <c r="U313" s="180">
        <v>2.9403656750226037E-3</v>
      </c>
      <c r="V313" s="180">
        <v>1.3828838928124146E-3</v>
      </c>
      <c r="W313" s="180">
        <v>1.5566945864839937E-3</v>
      </c>
      <c r="X313" s="180">
        <v>2.4333011024343194E-3</v>
      </c>
      <c r="Y313" s="180">
        <v>2.1034755337789339E-3</v>
      </c>
      <c r="Z313" s="180">
        <v>3.4647817866697963E-3</v>
      </c>
      <c r="AA313" s="180">
        <v>1.371253710214986E-3</v>
      </c>
      <c r="AB313" s="180">
        <v>2.2541080192876768E-3</v>
      </c>
      <c r="AC313" s="180">
        <v>1.1783213677355128E-3</v>
      </c>
      <c r="AD313" s="180">
        <v>1.3915459916452729E-3</v>
      </c>
      <c r="AE313" s="180">
        <v>3.4844332298577191E-3</v>
      </c>
      <c r="AF313" s="180">
        <v>9.2727826439514978E-4</v>
      </c>
      <c r="AG313" s="180">
        <v>3.0677861856869904E-3</v>
      </c>
      <c r="AH313" s="180">
        <v>-2.3301122426120984E-5</v>
      </c>
      <c r="AI313" s="181">
        <v>2.1182301102402332E-3</v>
      </c>
    </row>
    <row r="314" spans="2:35" x14ac:dyDescent="0.25">
      <c r="B314" s="163" t="str">
        <f>'Market Data'!$B$24</f>
        <v>DIS</v>
      </c>
      <c r="C314" s="160">
        <f>Statistics!$G$26</f>
        <v>1.7109009470709015E-2</v>
      </c>
      <c r="E314" s="168">
        <v>0</v>
      </c>
      <c r="F314" s="85" t="str">
        <v>DIS</v>
      </c>
      <c r="G314" s="179">
        <v>1.366655807124157E-3</v>
      </c>
      <c r="H314" s="180">
        <v>1.9718583562846406E-3</v>
      </c>
      <c r="I314" s="180">
        <v>2.193611301570318E-3</v>
      </c>
      <c r="J314" s="180">
        <v>1.6981712196612736E-3</v>
      </c>
      <c r="K314" s="180">
        <v>1.9090150380186609E-3</v>
      </c>
      <c r="L314" s="180">
        <v>1.8200348202442435E-3</v>
      </c>
      <c r="M314" s="180">
        <v>3.2246456006375726E-3</v>
      </c>
      <c r="N314" s="180">
        <v>3.2225637954133132E-3</v>
      </c>
      <c r="O314" s="180">
        <v>1.7980110839806059E-3</v>
      </c>
      <c r="P314" s="180">
        <v>2.5910429203650125E-3</v>
      </c>
      <c r="Q314" s="180">
        <v>1.4438567521116873E-3</v>
      </c>
      <c r="R314" s="180">
        <v>1.2533920720746924E-3</v>
      </c>
      <c r="S314" s="180">
        <v>1.4872846501875279E-3</v>
      </c>
      <c r="T314" s="180">
        <v>7.6090581351824873E-4</v>
      </c>
      <c r="U314" s="180">
        <v>2.3150492241015347E-3</v>
      </c>
      <c r="V314" s="180">
        <v>7.3157249166013263E-4</v>
      </c>
      <c r="W314" s="180">
        <v>1.0434476997331528E-3</v>
      </c>
      <c r="X314" s="180">
        <v>1.3935802423237448E-3</v>
      </c>
      <c r="Y314" s="180">
        <v>1.1180874248259017E-3</v>
      </c>
      <c r="Z314" s="180">
        <v>1.7514488094562146E-3</v>
      </c>
      <c r="AA314" s="180">
        <v>1.1713887062549742E-3</v>
      </c>
      <c r="AB314" s="180">
        <v>1.4909638464124207E-3</v>
      </c>
      <c r="AC314" s="180">
        <v>6.6920552953337459E-4</v>
      </c>
      <c r="AD314" s="180">
        <v>9.9320622386439117E-4</v>
      </c>
      <c r="AE314" s="180">
        <v>1.6618009644053405E-3</v>
      </c>
      <c r="AF314" s="180">
        <v>5.8624704841600517E-4</v>
      </c>
      <c r="AG314" s="180">
        <v>2.2204011828610088E-3</v>
      </c>
      <c r="AH314" s="180">
        <v>-1.1672694641114529E-4</v>
      </c>
      <c r="AI314" s="181">
        <v>1.3292278052638991E-3</v>
      </c>
    </row>
    <row r="315" spans="2:35" x14ac:dyDescent="0.25">
      <c r="B315" s="163" t="str">
        <f>'Market Data'!$B$25</f>
        <v>GE</v>
      </c>
      <c r="C315" s="160">
        <f>Statistics!$G$27</f>
        <v>9.2719197536449416E-3</v>
      </c>
      <c r="E315" s="168">
        <v>0</v>
      </c>
      <c r="F315" s="85" t="str">
        <v>GE</v>
      </c>
      <c r="G315" s="179">
        <v>1.5698375611055285E-3</v>
      </c>
      <c r="H315" s="180">
        <v>1.6460552176854309E-3</v>
      </c>
      <c r="I315" s="180">
        <v>1.7334051959416068E-3</v>
      </c>
      <c r="J315" s="180">
        <v>2.2046623152336968E-3</v>
      </c>
      <c r="K315" s="180">
        <v>2.0168425927536027E-3</v>
      </c>
      <c r="L315" s="180">
        <v>2.0997855192430963E-3</v>
      </c>
      <c r="M315" s="180">
        <v>3.2408092269649337E-3</v>
      </c>
      <c r="N315" s="180">
        <v>1.7980110839806059E-3</v>
      </c>
      <c r="O315" s="180">
        <v>2.8739818723832944E-3</v>
      </c>
      <c r="P315" s="180">
        <v>2.2255962061739098E-3</v>
      </c>
      <c r="Q315" s="180">
        <v>1.1779071347684854E-3</v>
      </c>
      <c r="R315" s="180">
        <v>1.4606469135339543E-3</v>
      </c>
      <c r="S315" s="180">
        <v>1.8413857882482649E-3</v>
      </c>
      <c r="T315" s="180">
        <v>1.1338883047798758E-3</v>
      </c>
      <c r="U315" s="180">
        <v>1.9825602222543746E-3</v>
      </c>
      <c r="V315" s="180">
        <v>1.0900315820250495E-3</v>
      </c>
      <c r="W315" s="180">
        <v>1.4080437366372094E-3</v>
      </c>
      <c r="X315" s="180">
        <v>1.6476299492810176E-3</v>
      </c>
      <c r="Y315" s="180">
        <v>7.4080885300837902E-4</v>
      </c>
      <c r="Z315" s="180">
        <v>2.1782812682115105E-3</v>
      </c>
      <c r="AA315" s="180">
        <v>6.8149888740689005E-4</v>
      </c>
      <c r="AB315" s="180">
        <v>1.1596920910434683E-3</v>
      </c>
      <c r="AC315" s="180">
        <v>8.669689440805547E-4</v>
      </c>
      <c r="AD315" s="180">
        <v>6.9406421327386882E-4</v>
      </c>
      <c r="AE315" s="180">
        <v>1.9210155408337607E-3</v>
      </c>
      <c r="AF315" s="180">
        <v>1.0256274934399997E-3</v>
      </c>
      <c r="AG315" s="180">
        <v>1.7646874198991678E-3</v>
      </c>
      <c r="AH315" s="180">
        <v>3.1986346053900631E-5</v>
      </c>
      <c r="AI315" s="181">
        <v>1.6264073394302158E-3</v>
      </c>
    </row>
    <row r="316" spans="2:35" x14ac:dyDescent="0.25">
      <c r="B316" s="163" t="str">
        <f>'Market Data'!$B$26</f>
        <v>GS</v>
      </c>
      <c r="C316" s="160">
        <f>Statistics!$G$28</f>
        <v>1.2775975133106521E-2</v>
      </c>
      <c r="E316" s="168">
        <v>0</v>
      </c>
      <c r="F316" s="85" t="str">
        <v>GS</v>
      </c>
      <c r="G316" s="179">
        <v>1.8109156333145874E-3</v>
      </c>
      <c r="H316" s="180">
        <v>3.1197862990926528E-3</v>
      </c>
      <c r="I316" s="180">
        <v>2.2391121271409182E-3</v>
      </c>
      <c r="J316" s="180">
        <v>2.3825247137119567E-3</v>
      </c>
      <c r="K316" s="180">
        <v>2.2177683830845976E-3</v>
      </c>
      <c r="L316" s="180">
        <v>2.495859527554455E-3</v>
      </c>
      <c r="M316" s="180">
        <v>3.1194558916632768E-3</v>
      </c>
      <c r="N316" s="180">
        <v>2.5910429203650125E-3</v>
      </c>
      <c r="O316" s="180">
        <v>2.2255962061739098E-3</v>
      </c>
      <c r="P316" s="180">
        <v>4.8815099105356504E-3</v>
      </c>
      <c r="Q316" s="180">
        <v>1.5442152510598698E-3</v>
      </c>
      <c r="R316" s="180">
        <v>2.2308798805711167E-3</v>
      </c>
      <c r="S316" s="180">
        <v>1.7997270101458302E-3</v>
      </c>
      <c r="T316" s="180">
        <v>7.4857834611503948E-4</v>
      </c>
      <c r="U316" s="180">
        <v>3.8267678235899111E-3</v>
      </c>
      <c r="V316" s="180">
        <v>5.0884399749192373E-4</v>
      </c>
      <c r="W316" s="180">
        <v>1.1844149472533348E-3</v>
      </c>
      <c r="X316" s="180">
        <v>1.5580261625844892E-3</v>
      </c>
      <c r="Y316" s="180">
        <v>9.5059394038900442E-4</v>
      </c>
      <c r="Z316" s="180">
        <v>1.9881521509949444E-3</v>
      </c>
      <c r="AA316" s="180">
        <v>9.2810945195530823E-4</v>
      </c>
      <c r="AB316" s="180">
        <v>1.2974763649140325E-3</v>
      </c>
      <c r="AC316" s="180">
        <v>6.8796273406052837E-4</v>
      </c>
      <c r="AD316" s="180">
        <v>1.248419321363809E-3</v>
      </c>
      <c r="AE316" s="180">
        <v>2.1674424403236793E-3</v>
      </c>
      <c r="AF316" s="180">
        <v>3.7523862948950627E-4</v>
      </c>
      <c r="AG316" s="180">
        <v>2.0541307067505868E-3</v>
      </c>
      <c r="AH316" s="180">
        <v>-5.4295264980806504E-5</v>
      </c>
      <c r="AI316" s="181">
        <v>1.4387650786059658E-3</v>
      </c>
    </row>
    <row r="317" spans="2:35" x14ac:dyDescent="0.25">
      <c r="B317" s="163" t="str">
        <f>'Market Data'!$B$27</f>
        <v>HD</v>
      </c>
      <c r="C317" s="160">
        <f>Statistics!$G$29</f>
        <v>1.8352985528230569E-2</v>
      </c>
      <c r="E317" s="168">
        <v>1.9918146941336735E-2</v>
      </c>
      <c r="F317" s="85" t="str">
        <v>HD</v>
      </c>
      <c r="G317" s="179">
        <v>9.8639311096076088E-4</v>
      </c>
      <c r="H317" s="180">
        <v>1.285962047454306E-3</v>
      </c>
      <c r="I317" s="180">
        <v>1.2911501083222776E-3</v>
      </c>
      <c r="J317" s="180">
        <v>1.0587514228509517E-3</v>
      </c>
      <c r="K317" s="180">
        <v>9.8504335267051509E-4</v>
      </c>
      <c r="L317" s="180">
        <v>7.9860489883547216E-4</v>
      </c>
      <c r="M317" s="180">
        <v>2.0138415935295195E-3</v>
      </c>
      <c r="N317" s="180">
        <v>1.4438567521116873E-3</v>
      </c>
      <c r="O317" s="180">
        <v>1.1779071347684854E-3</v>
      </c>
      <c r="P317" s="180">
        <v>1.5442152510598698E-3</v>
      </c>
      <c r="Q317" s="180">
        <v>1.8880219117441428E-3</v>
      </c>
      <c r="R317" s="180">
        <v>9.3173966010624539E-4</v>
      </c>
      <c r="S317" s="180">
        <v>9.2701062278089308E-4</v>
      </c>
      <c r="T317" s="180">
        <v>6.2481040103688149E-4</v>
      </c>
      <c r="U317" s="180">
        <v>1.4284505514434026E-3</v>
      </c>
      <c r="V317" s="180">
        <v>5.5799413673053339E-4</v>
      </c>
      <c r="W317" s="180">
        <v>7.381374461617429E-4</v>
      </c>
      <c r="X317" s="180">
        <v>1.0633975936011025E-3</v>
      </c>
      <c r="Y317" s="180">
        <v>7.161428946835201E-4</v>
      </c>
      <c r="Z317" s="180">
        <v>1.0017697174583111E-3</v>
      </c>
      <c r="AA317" s="180">
        <v>7.3578315539153108E-4</v>
      </c>
      <c r="AB317" s="180">
        <v>8.5234066580948517E-4</v>
      </c>
      <c r="AC317" s="180">
        <v>4.7474349038820928E-4</v>
      </c>
      <c r="AD317" s="180">
        <v>6.4915062582396636E-4</v>
      </c>
      <c r="AE317" s="180">
        <v>1.2386809813748902E-3</v>
      </c>
      <c r="AF317" s="180">
        <v>1.1189073531181803E-4</v>
      </c>
      <c r="AG317" s="180">
        <v>1.2055891827737501E-3</v>
      </c>
      <c r="AH317" s="180">
        <v>1.9815526434870993E-4</v>
      </c>
      <c r="AI317" s="181">
        <v>5.7016164369997474E-4</v>
      </c>
    </row>
    <row r="318" spans="2:35" x14ac:dyDescent="0.25">
      <c r="B318" s="163" t="str">
        <f>'Market Data'!$B$28</f>
        <v>IBM</v>
      </c>
      <c r="C318" s="160">
        <f>Statistics!$G$30</f>
        <v>-1.0805706759468385E-4</v>
      </c>
      <c r="E318" s="168">
        <v>1.8160327584730084E-2</v>
      </c>
      <c r="F318" s="85" t="str">
        <v>IBM</v>
      </c>
      <c r="G318" s="179">
        <v>1.7737023799007877E-3</v>
      </c>
      <c r="H318" s="180">
        <v>1.960684724858895E-3</v>
      </c>
      <c r="I318" s="180">
        <v>1.1336433634722555E-3</v>
      </c>
      <c r="J318" s="180">
        <v>2.1554825858441308E-3</v>
      </c>
      <c r="K318" s="180">
        <v>2.2508292865696072E-3</v>
      </c>
      <c r="L318" s="180">
        <v>1.7099575851328929E-3</v>
      </c>
      <c r="M318" s="180">
        <v>2.4056181433013803E-3</v>
      </c>
      <c r="N318" s="180">
        <v>1.2533920720746924E-3</v>
      </c>
      <c r="O318" s="180">
        <v>1.4606469135339543E-3</v>
      </c>
      <c r="P318" s="180">
        <v>2.2308798805711167E-3</v>
      </c>
      <c r="Q318" s="180">
        <v>9.3173966010624539E-4</v>
      </c>
      <c r="R318" s="180">
        <v>3.3622126456479009E-3</v>
      </c>
      <c r="S318" s="180">
        <v>1.4043690490920693E-3</v>
      </c>
      <c r="T318" s="180">
        <v>5.9347717242683358E-4</v>
      </c>
      <c r="U318" s="180">
        <v>2.0888390371824788E-3</v>
      </c>
      <c r="V318" s="180">
        <v>5.7019303114958723E-4</v>
      </c>
      <c r="W318" s="180">
        <v>5.4513263389601688E-4</v>
      </c>
      <c r="X318" s="180">
        <v>1.0275296737018624E-3</v>
      </c>
      <c r="Y318" s="180">
        <v>1.0097860441379664E-3</v>
      </c>
      <c r="Z318" s="180">
        <v>1.4353906099659559E-3</v>
      </c>
      <c r="AA318" s="180">
        <v>1.3757321359017424E-4</v>
      </c>
      <c r="AB318" s="180">
        <v>7.9545047293496068E-4</v>
      </c>
      <c r="AC318" s="180">
        <v>5.5361049131124631E-4</v>
      </c>
      <c r="AD318" s="180">
        <v>8.8298395118505178E-4</v>
      </c>
      <c r="AE318" s="180">
        <v>1.5169272523521361E-3</v>
      </c>
      <c r="AF318" s="180">
        <v>2.033685246020378E-4</v>
      </c>
      <c r="AG318" s="180">
        <v>1.2306885914741903E-3</v>
      </c>
      <c r="AH318" s="180">
        <v>3.7610030291999273E-4</v>
      </c>
      <c r="AI318" s="181">
        <v>1.0970123689928199E-3</v>
      </c>
    </row>
    <row r="319" spans="2:35" x14ac:dyDescent="0.25">
      <c r="B319" s="163" t="str">
        <f>'Market Data'!$B$29</f>
        <v>INTC</v>
      </c>
      <c r="C319" s="160">
        <f>Statistics!$G$31</f>
        <v>1.4825313209679855E-2</v>
      </c>
      <c r="E319" s="168">
        <v>0</v>
      </c>
      <c r="F319" s="85" t="str">
        <v>INTC</v>
      </c>
      <c r="G319" s="179">
        <v>1.6293191413582805E-3</v>
      </c>
      <c r="H319" s="180">
        <v>2.0715314739138896E-3</v>
      </c>
      <c r="I319" s="180">
        <v>1.485647562986758E-3</v>
      </c>
      <c r="J319" s="180">
        <v>2.3005603160952529E-3</v>
      </c>
      <c r="K319" s="180">
        <v>2.2625583672846289E-3</v>
      </c>
      <c r="L319" s="180">
        <v>1.762362573764028E-3</v>
      </c>
      <c r="M319" s="180">
        <v>2.9333641814070907E-3</v>
      </c>
      <c r="N319" s="180">
        <v>1.4872846501875279E-3</v>
      </c>
      <c r="O319" s="180">
        <v>1.8413857882482649E-3</v>
      </c>
      <c r="P319" s="180">
        <v>1.7997270101458302E-3</v>
      </c>
      <c r="Q319" s="180">
        <v>9.2701062278089308E-4</v>
      </c>
      <c r="R319" s="180">
        <v>1.4043690490920693E-3</v>
      </c>
      <c r="S319" s="180">
        <v>3.8953291630483993E-3</v>
      </c>
      <c r="T319" s="180">
        <v>8.7155825849789608E-4</v>
      </c>
      <c r="U319" s="180">
        <v>1.6338310266769979E-3</v>
      </c>
      <c r="V319" s="180">
        <v>1.1107691361801554E-3</v>
      </c>
      <c r="W319" s="180">
        <v>9.1762089354393737E-4</v>
      </c>
      <c r="X319" s="180">
        <v>1.3291856750406272E-3</v>
      </c>
      <c r="Y319" s="180">
        <v>1.2481991200788169E-3</v>
      </c>
      <c r="Z319" s="180">
        <v>2.824290151917595E-3</v>
      </c>
      <c r="AA319" s="180">
        <v>5.7515792739731505E-4</v>
      </c>
      <c r="AB319" s="180">
        <v>9.9184976149502301E-4</v>
      </c>
      <c r="AC319" s="180">
        <v>7.9168442412031782E-4</v>
      </c>
      <c r="AD319" s="180">
        <v>5.6633014876153942E-4</v>
      </c>
      <c r="AE319" s="180">
        <v>1.2132957377483657E-3</v>
      </c>
      <c r="AF319" s="180">
        <v>8.2166255763751334E-4</v>
      </c>
      <c r="AG319" s="180">
        <v>1.8678530672680304E-3</v>
      </c>
      <c r="AH319" s="180">
        <v>-1.8556188989019865E-5</v>
      </c>
      <c r="AI319" s="181">
        <v>1.0791409093812321E-3</v>
      </c>
    </row>
    <row r="320" spans="2:35" x14ac:dyDescent="0.25">
      <c r="B320" s="163" t="str">
        <f>'Market Data'!$B$30</f>
        <v>JNJ</v>
      </c>
      <c r="C320" s="160">
        <f>Statistics!$G$32</f>
        <v>1.2075919577819831E-2</v>
      </c>
      <c r="E320" s="168">
        <v>0</v>
      </c>
      <c r="F320" s="85" t="str">
        <v>JNJ</v>
      </c>
      <c r="G320" s="179">
        <v>8.2631268301744008E-4</v>
      </c>
      <c r="H320" s="180">
        <v>7.3945969222275051E-4</v>
      </c>
      <c r="I320" s="180">
        <v>7.7470388279684329E-4</v>
      </c>
      <c r="J320" s="180">
        <v>9.0633949973445221E-4</v>
      </c>
      <c r="K320" s="180">
        <v>1.1094225673998865E-3</v>
      </c>
      <c r="L320" s="180">
        <v>1.0006982850928254E-3</v>
      </c>
      <c r="M320" s="180">
        <v>1.7073269232421356E-3</v>
      </c>
      <c r="N320" s="180">
        <v>7.6090581351824873E-4</v>
      </c>
      <c r="O320" s="180">
        <v>1.1338883047798758E-3</v>
      </c>
      <c r="P320" s="180">
        <v>7.4857834611503948E-4</v>
      </c>
      <c r="Q320" s="180">
        <v>6.2481040103688149E-4</v>
      </c>
      <c r="R320" s="180">
        <v>5.9347717242683358E-4</v>
      </c>
      <c r="S320" s="180">
        <v>8.7155825849789608E-4</v>
      </c>
      <c r="T320" s="180">
        <v>1.3437205064186324E-3</v>
      </c>
      <c r="U320" s="180">
        <v>9.2330996350035955E-4</v>
      </c>
      <c r="V320" s="180">
        <v>8.0248592661524116E-4</v>
      </c>
      <c r="W320" s="180">
        <v>7.2064842002941051E-4</v>
      </c>
      <c r="X320" s="180">
        <v>9.1647163555960687E-4</v>
      </c>
      <c r="Y320" s="180">
        <v>7.8932636294384688E-4</v>
      </c>
      <c r="Z320" s="180">
        <v>8.3950208317612799E-4</v>
      </c>
      <c r="AA320" s="180">
        <v>2.4076387457302071E-4</v>
      </c>
      <c r="AB320" s="180">
        <v>1.174922395291398E-3</v>
      </c>
      <c r="AC320" s="180">
        <v>7.8676359672877393E-4</v>
      </c>
      <c r="AD320" s="180">
        <v>4.4624886795118808E-4</v>
      </c>
      <c r="AE320" s="180">
        <v>1.0117367356107026E-3</v>
      </c>
      <c r="AF320" s="180">
        <v>7.3214708969514145E-4</v>
      </c>
      <c r="AG320" s="180">
        <v>8.2747273857601913E-4</v>
      </c>
      <c r="AH320" s="180">
        <v>7.1470891411086447E-4</v>
      </c>
      <c r="AI320" s="181">
        <v>7.4627799983375924E-4</v>
      </c>
    </row>
    <row r="321" spans="2:35" x14ac:dyDescent="0.25">
      <c r="B321" s="163" t="str">
        <f>'Market Data'!$B$31</f>
        <v>JPM</v>
      </c>
      <c r="C321" s="160">
        <f>Statistics!$G$33</f>
        <v>1.7183196749963128E-2</v>
      </c>
      <c r="E321" s="168">
        <v>0</v>
      </c>
      <c r="F321" s="85" t="str">
        <v>JPM</v>
      </c>
      <c r="G321" s="179">
        <v>1.2529926248616137E-3</v>
      </c>
      <c r="H321" s="180">
        <v>2.7840355446374721E-3</v>
      </c>
      <c r="I321" s="180">
        <v>1.8054441283061249E-3</v>
      </c>
      <c r="J321" s="180">
        <v>2.011937601179676E-3</v>
      </c>
      <c r="K321" s="180">
        <v>2.0831844183308271E-3</v>
      </c>
      <c r="L321" s="180">
        <v>2.159640132817216E-3</v>
      </c>
      <c r="M321" s="180">
        <v>2.9403656750226037E-3</v>
      </c>
      <c r="N321" s="180">
        <v>2.3150492241015347E-3</v>
      </c>
      <c r="O321" s="180">
        <v>1.9825602222543746E-3</v>
      </c>
      <c r="P321" s="180">
        <v>3.8267678235899111E-3</v>
      </c>
      <c r="Q321" s="180">
        <v>1.4284505514434026E-3</v>
      </c>
      <c r="R321" s="180">
        <v>2.0888390371824788E-3</v>
      </c>
      <c r="S321" s="180">
        <v>1.6338310266769979E-3</v>
      </c>
      <c r="T321" s="180">
        <v>9.2330996350035955E-4</v>
      </c>
      <c r="U321" s="180">
        <v>3.6504820104783621E-3</v>
      </c>
      <c r="V321" s="180">
        <v>6.292727988425526E-4</v>
      </c>
      <c r="W321" s="180">
        <v>1.135373183104091E-3</v>
      </c>
      <c r="X321" s="180">
        <v>1.3229022331511452E-3</v>
      </c>
      <c r="Y321" s="180">
        <v>9.9035410413519649E-4</v>
      </c>
      <c r="Z321" s="180">
        <v>2.1029083027690664E-3</v>
      </c>
      <c r="AA321" s="180">
        <v>6.7839144071882979E-4</v>
      </c>
      <c r="AB321" s="180">
        <v>1.3592270505613203E-3</v>
      </c>
      <c r="AC321" s="180">
        <v>7.2953612857905574E-4</v>
      </c>
      <c r="AD321" s="180">
        <v>1.2617149248905092E-3</v>
      </c>
      <c r="AE321" s="180">
        <v>1.8453743354725578E-3</v>
      </c>
      <c r="AF321" s="180">
        <v>3.9836144643633019E-4</v>
      </c>
      <c r="AG321" s="180">
        <v>1.9463933682734615E-3</v>
      </c>
      <c r="AH321" s="180">
        <v>7.503242005510376E-5</v>
      </c>
      <c r="AI321" s="181">
        <v>1.3958094738143344E-3</v>
      </c>
    </row>
    <row r="322" spans="2:35" x14ac:dyDescent="0.25">
      <c r="B322" s="163" t="str">
        <f>'Market Data'!$B$32</f>
        <v>KO</v>
      </c>
      <c r="C322" s="160">
        <f>Statistics!$G$34</f>
        <v>4.1810541872704362E-3</v>
      </c>
      <c r="E322" s="168">
        <v>6.8625035238865095E-2</v>
      </c>
      <c r="F322" s="85" t="str">
        <v>KO</v>
      </c>
      <c r="G322" s="179">
        <v>9.6129190129553134E-4</v>
      </c>
      <c r="H322" s="180">
        <v>5.6369017954212687E-4</v>
      </c>
      <c r="I322" s="180">
        <v>9.7196182882881919E-4</v>
      </c>
      <c r="J322" s="180">
        <v>6.586205973694774E-4</v>
      </c>
      <c r="K322" s="180">
        <v>1.0904984859812852E-3</v>
      </c>
      <c r="L322" s="180">
        <v>7.7350953916938299E-4</v>
      </c>
      <c r="M322" s="180">
        <v>1.3828838928124146E-3</v>
      </c>
      <c r="N322" s="180">
        <v>7.3157249166013263E-4</v>
      </c>
      <c r="O322" s="180">
        <v>1.0900315820250495E-3</v>
      </c>
      <c r="P322" s="180">
        <v>5.0884399749192373E-4</v>
      </c>
      <c r="Q322" s="180">
        <v>5.5799413673053339E-4</v>
      </c>
      <c r="R322" s="180">
        <v>5.7019303114958723E-4</v>
      </c>
      <c r="S322" s="180">
        <v>1.1107691361801554E-3</v>
      </c>
      <c r="T322" s="180">
        <v>8.0248592661524116E-4</v>
      </c>
      <c r="U322" s="180">
        <v>6.292727988425526E-4</v>
      </c>
      <c r="V322" s="180">
        <v>1.2210270669043683E-3</v>
      </c>
      <c r="W322" s="180">
        <v>7.9000312454904529E-4</v>
      </c>
      <c r="X322" s="180">
        <v>6.5400026561614926E-4</v>
      </c>
      <c r="Y322" s="180">
        <v>5.6925923112739025E-4</v>
      </c>
      <c r="Z322" s="180">
        <v>1.0711085481253278E-3</v>
      </c>
      <c r="AA322" s="180">
        <v>4.3589033448327737E-4</v>
      </c>
      <c r="AB322" s="180">
        <v>6.3614560547018231E-4</v>
      </c>
      <c r="AC322" s="180">
        <v>6.5740070509151668E-4</v>
      </c>
      <c r="AD322" s="180">
        <v>1.2737483924284157E-4</v>
      </c>
      <c r="AE322" s="180">
        <v>5.7087013169956707E-4</v>
      </c>
      <c r="AF322" s="180">
        <v>4.9096142938173941E-4</v>
      </c>
      <c r="AG322" s="180">
        <v>9.4999344105865064E-4</v>
      </c>
      <c r="AH322" s="180">
        <v>6.4703627119224946E-4</v>
      </c>
      <c r="AI322" s="181">
        <v>5.1805651820066112E-4</v>
      </c>
    </row>
    <row r="323" spans="2:35" x14ac:dyDescent="0.25">
      <c r="B323" s="163" t="str">
        <f>'Market Data'!$B$33</f>
        <v>MCD</v>
      </c>
      <c r="C323" s="160">
        <f>Statistics!$G$35</f>
        <v>8.998422120903465E-3</v>
      </c>
      <c r="E323" s="168">
        <v>8.3767928073632064E-2</v>
      </c>
      <c r="F323" s="85" t="str">
        <v>MCD</v>
      </c>
      <c r="G323" s="179">
        <v>4.3723596630614248E-4</v>
      </c>
      <c r="H323" s="180">
        <v>5.9016175595858627E-4</v>
      </c>
      <c r="I323" s="180">
        <v>1.004575731683145E-3</v>
      </c>
      <c r="J323" s="180">
        <v>1.2118483675212872E-3</v>
      </c>
      <c r="K323" s="180">
        <v>8.8656407550750189E-4</v>
      </c>
      <c r="L323" s="180">
        <v>1.2445101608031307E-3</v>
      </c>
      <c r="M323" s="180">
        <v>1.5566945864839937E-3</v>
      </c>
      <c r="N323" s="180">
        <v>1.0434476997331528E-3</v>
      </c>
      <c r="O323" s="180">
        <v>1.4080437366372094E-3</v>
      </c>
      <c r="P323" s="180">
        <v>1.1844149472533348E-3</v>
      </c>
      <c r="Q323" s="180">
        <v>7.381374461617429E-4</v>
      </c>
      <c r="R323" s="180">
        <v>5.4513263389601688E-4</v>
      </c>
      <c r="S323" s="180">
        <v>9.1762089354393737E-4</v>
      </c>
      <c r="T323" s="180">
        <v>7.2064842002941051E-4</v>
      </c>
      <c r="U323" s="180">
        <v>1.135373183104091E-3</v>
      </c>
      <c r="V323" s="180">
        <v>7.9000312454904529E-4</v>
      </c>
      <c r="W323" s="180">
        <v>1.7650690545216805E-3</v>
      </c>
      <c r="X323" s="180">
        <v>7.9590651205676567E-4</v>
      </c>
      <c r="Y323" s="180">
        <v>5.886623345512683E-4</v>
      </c>
      <c r="Z323" s="180">
        <v>1.2284698745461862E-3</v>
      </c>
      <c r="AA323" s="180">
        <v>4.3355644868225306E-4</v>
      </c>
      <c r="AB323" s="180">
        <v>9.4939047744066322E-4</v>
      </c>
      <c r="AC323" s="180">
        <v>4.0611550084338323E-4</v>
      </c>
      <c r="AD323" s="180">
        <v>3.5874031329227935E-4</v>
      </c>
      <c r="AE323" s="180">
        <v>8.7888532505727346E-4</v>
      </c>
      <c r="AF323" s="180">
        <v>6.7734327840461236E-4</v>
      </c>
      <c r="AG323" s="180">
        <v>1.0020182531469391E-3</v>
      </c>
      <c r="AH323" s="180">
        <v>4.237060092283065E-5</v>
      </c>
      <c r="AI323" s="181">
        <v>6.6389606634421081E-4</v>
      </c>
    </row>
    <row r="324" spans="2:35" x14ac:dyDescent="0.25">
      <c r="B324" s="163" t="str">
        <f>'Market Data'!$B$34</f>
        <v>MMM</v>
      </c>
      <c r="C324" s="160">
        <f>Statistics!$G$36</f>
        <v>1.5280500930100561E-2</v>
      </c>
      <c r="E324" s="168">
        <v>0</v>
      </c>
      <c r="F324" s="85" t="str">
        <v>MMM</v>
      </c>
      <c r="G324" s="179">
        <v>1.6042263123932821E-3</v>
      </c>
      <c r="H324" s="180">
        <v>1.3680882736390085E-3</v>
      </c>
      <c r="I324" s="180">
        <v>1.220072170107771E-3</v>
      </c>
      <c r="J324" s="180">
        <v>1.3778500117759705E-3</v>
      </c>
      <c r="K324" s="180">
        <v>1.6594658489014636E-3</v>
      </c>
      <c r="L324" s="180">
        <v>1.3396872809028706E-3</v>
      </c>
      <c r="M324" s="180">
        <v>2.4333011024343194E-3</v>
      </c>
      <c r="N324" s="180">
        <v>1.3935802423237448E-3</v>
      </c>
      <c r="O324" s="180">
        <v>1.6476299492810176E-3</v>
      </c>
      <c r="P324" s="180">
        <v>1.5580261625844892E-3</v>
      </c>
      <c r="Q324" s="180">
        <v>1.0633975936011025E-3</v>
      </c>
      <c r="R324" s="180">
        <v>1.0275296737018624E-3</v>
      </c>
      <c r="S324" s="180">
        <v>1.3291856750406272E-3</v>
      </c>
      <c r="T324" s="180">
        <v>9.1647163555960687E-4</v>
      </c>
      <c r="U324" s="180">
        <v>1.3229022331511452E-3</v>
      </c>
      <c r="V324" s="180">
        <v>6.5400026561614926E-4</v>
      </c>
      <c r="W324" s="180">
        <v>7.9590651205676567E-4</v>
      </c>
      <c r="X324" s="180">
        <v>1.9007159701372343E-3</v>
      </c>
      <c r="Y324" s="180">
        <v>9.3087542856500223E-4</v>
      </c>
      <c r="Z324" s="180">
        <v>9.5021437706372129E-4</v>
      </c>
      <c r="AA324" s="180">
        <v>7.5220949128439868E-4</v>
      </c>
      <c r="AB324" s="180">
        <v>1.1108584905280188E-3</v>
      </c>
      <c r="AC324" s="180">
        <v>7.8023777188204919E-4</v>
      </c>
      <c r="AD324" s="180">
        <v>9.8369986573183495E-4</v>
      </c>
      <c r="AE324" s="180">
        <v>1.8471574472775569E-3</v>
      </c>
      <c r="AF324" s="180">
        <v>5.9539589470078522E-4</v>
      </c>
      <c r="AG324" s="180">
        <v>1.59984129324471E-3</v>
      </c>
      <c r="AH324" s="180">
        <v>4.5051539698961655E-4</v>
      </c>
      <c r="AI324" s="181">
        <v>1.2697174541958882E-3</v>
      </c>
    </row>
    <row r="325" spans="2:35" x14ac:dyDescent="0.25">
      <c r="B325" s="163" t="str">
        <f>'Market Data'!$B$35</f>
        <v>MRK</v>
      </c>
      <c r="C325" s="160">
        <f>Statistics!$G$37</f>
        <v>1.1473476041634185E-2</v>
      </c>
      <c r="E325" s="168">
        <v>2.3503072698695546E-2</v>
      </c>
      <c r="F325" s="85" t="str">
        <v>MRK</v>
      </c>
      <c r="G325" s="179">
        <v>6.6280896407091964E-4</v>
      </c>
      <c r="H325" s="180">
        <v>9.5675499919051471E-4</v>
      </c>
      <c r="I325" s="180">
        <v>1.3506721993334096E-3</v>
      </c>
      <c r="J325" s="180">
        <v>1.6454661341138513E-3</v>
      </c>
      <c r="K325" s="180">
        <v>1.2877752599161352E-3</v>
      </c>
      <c r="L325" s="180">
        <v>1.0548817345930506E-3</v>
      </c>
      <c r="M325" s="180">
        <v>2.1034755337789339E-3</v>
      </c>
      <c r="N325" s="180">
        <v>1.1180874248259017E-3</v>
      </c>
      <c r="O325" s="180">
        <v>7.4080885300837902E-4</v>
      </c>
      <c r="P325" s="180">
        <v>9.5059394038900442E-4</v>
      </c>
      <c r="Q325" s="180">
        <v>7.161428946835201E-4</v>
      </c>
      <c r="R325" s="180">
        <v>1.0097860441379664E-3</v>
      </c>
      <c r="S325" s="180">
        <v>1.2481991200788169E-3</v>
      </c>
      <c r="T325" s="180">
        <v>7.8932636294384688E-4</v>
      </c>
      <c r="U325" s="180">
        <v>9.9035410413519649E-4</v>
      </c>
      <c r="V325" s="180">
        <v>5.6925923112739025E-4</v>
      </c>
      <c r="W325" s="180">
        <v>5.886623345512683E-4</v>
      </c>
      <c r="X325" s="180">
        <v>9.3087542856500223E-4</v>
      </c>
      <c r="Y325" s="180">
        <v>2.5431403633519077E-3</v>
      </c>
      <c r="Z325" s="180">
        <v>1.0039618395335291E-3</v>
      </c>
      <c r="AA325" s="180">
        <v>3.4083858597475385E-4</v>
      </c>
      <c r="AB325" s="180">
        <v>1.3412346285691251E-3</v>
      </c>
      <c r="AC325" s="180">
        <v>3.7529952314904947E-4</v>
      </c>
      <c r="AD325" s="180">
        <v>8.5985137540516086E-4</v>
      </c>
      <c r="AE325" s="180">
        <v>1.4646144344401168E-3</v>
      </c>
      <c r="AF325" s="180">
        <v>3.3006228708408361E-4</v>
      </c>
      <c r="AG325" s="180">
        <v>1.1984054366898813E-3</v>
      </c>
      <c r="AH325" s="180">
        <v>4.389896882024129E-4</v>
      </c>
      <c r="AI325" s="181">
        <v>5.8214330295854532E-4</v>
      </c>
    </row>
    <row r="326" spans="2:35" x14ac:dyDescent="0.25">
      <c r="B326" s="163" t="str">
        <f>'Market Data'!$B$36</f>
        <v>MSFT</v>
      </c>
      <c r="C326" s="160">
        <f>Statistics!$G$38</f>
        <v>2.1777833497491961E-2</v>
      </c>
      <c r="E326" s="168">
        <v>0</v>
      </c>
      <c r="F326" s="85" t="str">
        <v>MSFT</v>
      </c>
      <c r="G326" s="179">
        <v>1.7656054736670385E-3</v>
      </c>
      <c r="H326" s="180">
        <v>1.7453927826798744E-3</v>
      </c>
      <c r="I326" s="180">
        <v>1.4618979219237266E-3</v>
      </c>
      <c r="J326" s="180">
        <v>2.2842322526096018E-3</v>
      </c>
      <c r="K326" s="180">
        <v>2.1511833371391734E-3</v>
      </c>
      <c r="L326" s="180">
        <v>1.921523261676006E-3</v>
      </c>
      <c r="M326" s="180">
        <v>3.4647817866697963E-3</v>
      </c>
      <c r="N326" s="180">
        <v>1.7514488094562146E-3</v>
      </c>
      <c r="O326" s="180">
        <v>2.1782812682115105E-3</v>
      </c>
      <c r="P326" s="180">
        <v>1.9881521509949444E-3</v>
      </c>
      <c r="Q326" s="180">
        <v>1.0017697174583111E-3</v>
      </c>
      <c r="R326" s="180">
        <v>1.4353906099659559E-3</v>
      </c>
      <c r="S326" s="180">
        <v>2.824290151917595E-3</v>
      </c>
      <c r="T326" s="180">
        <v>8.3950208317612799E-4</v>
      </c>
      <c r="U326" s="180">
        <v>2.1029083027690664E-3</v>
      </c>
      <c r="V326" s="180">
        <v>1.0711085481253278E-3</v>
      </c>
      <c r="W326" s="180">
        <v>1.2284698745461862E-3</v>
      </c>
      <c r="X326" s="180">
        <v>9.5021437706372129E-4</v>
      </c>
      <c r="Y326" s="180">
        <v>1.0039618395335291E-3</v>
      </c>
      <c r="Z326" s="180">
        <v>4.5817164894349687E-3</v>
      </c>
      <c r="AA326" s="180">
        <v>9.1111393401995618E-4</v>
      </c>
      <c r="AB326" s="180">
        <v>1.1007292150403058E-3</v>
      </c>
      <c r="AC326" s="180">
        <v>1.0300601718935634E-3</v>
      </c>
      <c r="AD326" s="180">
        <v>2.4058610256342332E-4</v>
      </c>
      <c r="AE326" s="180">
        <v>9.3007091875184366E-4</v>
      </c>
      <c r="AF326" s="180">
        <v>7.4555370224549768E-4</v>
      </c>
      <c r="AG326" s="180">
        <v>1.5294825998788863E-3</v>
      </c>
      <c r="AH326" s="180">
        <v>-3.4970831020819231E-4</v>
      </c>
      <c r="AI326" s="181">
        <v>1.2219742467918569E-3</v>
      </c>
    </row>
    <row r="327" spans="2:35" x14ac:dyDescent="0.25">
      <c r="B327" s="163" t="str">
        <f>'Market Data'!$B$37</f>
        <v>NKE</v>
      </c>
      <c r="C327" s="160">
        <f>Statistics!$G$39</f>
        <v>1.5970247269241938E-2</v>
      </c>
      <c r="E327" s="168">
        <v>0.15369457808516046</v>
      </c>
      <c r="F327" s="85" t="str">
        <v>NKE</v>
      </c>
      <c r="G327" s="179">
        <v>7.4054258425286133E-4</v>
      </c>
      <c r="H327" s="180">
        <v>9.1418204127611028E-4</v>
      </c>
      <c r="I327" s="180">
        <v>1.1825978430535619E-3</v>
      </c>
      <c r="J327" s="180">
        <v>-1.1104731462091626E-4</v>
      </c>
      <c r="K327" s="180">
        <v>7.2136303147440504E-4</v>
      </c>
      <c r="L327" s="180">
        <v>-3.0145919518466895E-4</v>
      </c>
      <c r="M327" s="180">
        <v>1.371253710214986E-3</v>
      </c>
      <c r="N327" s="180">
        <v>1.1713887062549742E-3</v>
      </c>
      <c r="O327" s="180">
        <v>6.8149888740689005E-4</v>
      </c>
      <c r="P327" s="180">
        <v>9.2810945195530823E-4</v>
      </c>
      <c r="Q327" s="180">
        <v>7.3578315539153108E-4</v>
      </c>
      <c r="R327" s="180">
        <v>1.3757321359017424E-4</v>
      </c>
      <c r="S327" s="180">
        <v>5.7515792739731505E-4</v>
      </c>
      <c r="T327" s="180">
        <v>2.4076387457302071E-4</v>
      </c>
      <c r="U327" s="180">
        <v>6.7839144071882979E-4</v>
      </c>
      <c r="V327" s="180">
        <v>4.3589033448327737E-4</v>
      </c>
      <c r="W327" s="180">
        <v>4.3355644868225306E-4</v>
      </c>
      <c r="X327" s="180">
        <v>7.5220949128439868E-4</v>
      </c>
      <c r="Y327" s="180">
        <v>3.4083858597475385E-4</v>
      </c>
      <c r="Z327" s="180">
        <v>9.1111393401995618E-4</v>
      </c>
      <c r="AA327" s="180">
        <v>2.7193308407813446E-3</v>
      </c>
      <c r="AB327" s="180">
        <v>5.6615292191577104E-4</v>
      </c>
      <c r="AC327" s="180">
        <v>3.6538493696828688E-4</v>
      </c>
      <c r="AD327" s="180">
        <v>8.9669180264711685E-5</v>
      </c>
      <c r="AE327" s="180">
        <v>4.9140530374502923E-4</v>
      </c>
      <c r="AF327" s="180">
        <v>1.0278859564771125E-5</v>
      </c>
      <c r="AG327" s="180">
        <v>1.2162400994020978E-3</v>
      </c>
      <c r="AH327" s="180">
        <v>1.3266739677968515E-5</v>
      </c>
      <c r="AI327" s="181">
        <v>-1.9722713194093662E-4</v>
      </c>
    </row>
    <row r="328" spans="2:35" x14ac:dyDescent="0.25">
      <c r="B328" s="163" t="str">
        <f>'Market Data'!$B$38</f>
        <v>PFE</v>
      </c>
      <c r="C328" s="160">
        <f>Statistics!$G$40</f>
        <v>7.6042605716081235E-3</v>
      </c>
      <c r="E328" s="168">
        <v>0</v>
      </c>
      <c r="F328" s="85" t="str">
        <v>PFE</v>
      </c>
      <c r="G328" s="179">
        <v>1.105136574328315E-3</v>
      </c>
      <c r="H328" s="180">
        <v>1.0081234358528435E-3</v>
      </c>
      <c r="I328" s="180">
        <v>1.2950969606515986E-3</v>
      </c>
      <c r="J328" s="180">
        <v>7.9610645869862182E-4</v>
      </c>
      <c r="K328" s="180">
        <v>1.5185012123350332E-3</v>
      </c>
      <c r="L328" s="180">
        <v>1.0966581694716135E-3</v>
      </c>
      <c r="M328" s="180">
        <v>2.2541080192876768E-3</v>
      </c>
      <c r="N328" s="180">
        <v>1.4909638464124207E-3</v>
      </c>
      <c r="O328" s="180">
        <v>1.1596920910434683E-3</v>
      </c>
      <c r="P328" s="180">
        <v>1.2974763649140325E-3</v>
      </c>
      <c r="Q328" s="180">
        <v>8.5234066580948517E-4</v>
      </c>
      <c r="R328" s="180">
        <v>7.9545047293496068E-4</v>
      </c>
      <c r="S328" s="180">
        <v>9.9184976149502301E-4</v>
      </c>
      <c r="T328" s="180">
        <v>1.174922395291398E-3</v>
      </c>
      <c r="U328" s="180">
        <v>1.3592270505613203E-3</v>
      </c>
      <c r="V328" s="180">
        <v>6.3614560547018231E-4</v>
      </c>
      <c r="W328" s="180">
        <v>9.4939047744066322E-4</v>
      </c>
      <c r="X328" s="180">
        <v>1.1108584905280188E-3</v>
      </c>
      <c r="Y328" s="180">
        <v>1.3412346285691251E-3</v>
      </c>
      <c r="Z328" s="180">
        <v>1.1007292150403058E-3</v>
      </c>
      <c r="AA328" s="180">
        <v>5.6615292191577104E-4</v>
      </c>
      <c r="AB328" s="180">
        <v>2.4354805215546461E-3</v>
      </c>
      <c r="AC328" s="180">
        <v>7.7698221980775051E-4</v>
      </c>
      <c r="AD328" s="180">
        <v>7.5423895885674786E-4</v>
      </c>
      <c r="AE328" s="180">
        <v>1.3524566727664237E-3</v>
      </c>
      <c r="AF328" s="180">
        <v>6.9733723903610885E-4</v>
      </c>
      <c r="AG328" s="180">
        <v>1.6142857385330945E-3</v>
      </c>
      <c r="AH328" s="180">
        <v>6.1756439897017149E-4</v>
      </c>
      <c r="AI328" s="181">
        <v>8.1835922434987771E-4</v>
      </c>
    </row>
    <row r="329" spans="2:35" x14ac:dyDescent="0.25">
      <c r="B329" s="163" t="str">
        <f>'Market Data'!$B$39</f>
        <v>PG</v>
      </c>
      <c r="C329" s="160">
        <f>Statistics!$G$41</f>
        <v>6.7668222923833359E-3</v>
      </c>
      <c r="E329" s="168">
        <v>0.10084291432457984</v>
      </c>
      <c r="F329" s="85" t="str">
        <v>PG</v>
      </c>
      <c r="G329" s="179">
        <v>1.0336127768185608E-3</v>
      </c>
      <c r="H329" s="180">
        <v>4.150551569421239E-4</v>
      </c>
      <c r="I329" s="180">
        <v>5.997217417536032E-4</v>
      </c>
      <c r="J329" s="180">
        <v>4.9254664842985144E-4</v>
      </c>
      <c r="K329" s="180">
        <v>1.0690588122897406E-3</v>
      </c>
      <c r="L329" s="180">
        <v>8.4385070363078498E-4</v>
      </c>
      <c r="M329" s="180">
        <v>1.1783213677355128E-3</v>
      </c>
      <c r="N329" s="180">
        <v>6.6920552953337459E-4</v>
      </c>
      <c r="O329" s="180">
        <v>8.669689440805547E-4</v>
      </c>
      <c r="P329" s="180">
        <v>6.8796273406052837E-4</v>
      </c>
      <c r="Q329" s="180">
        <v>4.7474349038820928E-4</v>
      </c>
      <c r="R329" s="180">
        <v>5.5361049131124631E-4</v>
      </c>
      <c r="S329" s="180">
        <v>7.9168442412031782E-4</v>
      </c>
      <c r="T329" s="180">
        <v>7.8676359672877393E-4</v>
      </c>
      <c r="U329" s="180">
        <v>7.2953612857905574E-4</v>
      </c>
      <c r="V329" s="180">
        <v>6.5740070509151668E-4</v>
      </c>
      <c r="W329" s="180">
        <v>4.0611550084338323E-4</v>
      </c>
      <c r="X329" s="180">
        <v>7.8023777188204919E-4</v>
      </c>
      <c r="Y329" s="180">
        <v>3.7529952314904947E-4</v>
      </c>
      <c r="Z329" s="180">
        <v>1.0300601718935634E-3</v>
      </c>
      <c r="AA329" s="180">
        <v>3.6538493696828688E-4</v>
      </c>
      <c r="AB329" s="180">
        <v>7.7698221980775051E-4</v>
      </c>
      <c r="AC329" s="180">
        <v>1.4111752678343567E-3</v>
      </c>
      <c r="AD329" s="180">
        <v>1.723275330802805E-4</v>
      </c>
      <c r="AE329" s="180">
        <v>6.4008748533685535E-4</v>
      </c>
      <c r="AF329" s="180">
        <v>2.3535220881827705E-4</v>
      </c>
      <c r="AG329" s="180">
        <v>9.2172519542926422E-4</v>
      </c>
      <c r="AH329" s="180">
        <v>7.2490049760504278E-4</v>
      </c>
      <c r="AI329" s="181">
        <v>6.1092932367000222E-4</v>
      </c>
    </row>
    <row r="330" spans="2:35" x14ac:dyDescent="0.25">
      <c r="B330" s="163" t="str">
        <f>'Market Data'!$B$40</f>
        <v>UNH</v>
      </c>
      <c r="C330" s="160">
        <f>Statistics!$G$42</f>
        <v>2.4695057092687361E-2</v>
      </c>
      <c r="E330" s="168">
        <v>8.7907711704489438E-2</v>
      </c>
      <c r="F330" s="85" t="str">
        <v>UNH</v>
      </c>
      <c r="G330" s="179">
        <v>5.5673881663560775E-4</v>
      </c>
      <c r="H330" s="180">
        <v>9.035040942327959E-4</v>
      </c>
      <c r="I330" s="180">
        <v>6.5863568330466196E-4</v>
      </c>
      <c r="J330" s="180">
        <v>7.8373416165496384E-4</v>
      </c>
      <c r="K330" s="180">
        <v>1.0321561899434074E-3</v>
      </c>
      <c r="L330" s="180">
        <v>8.9699068571536217E-4</v>
      </c>
      <c r="M330" s="180">
        <v>1.3915459916452729E-3</v>
      </c>
      <c r="N330" s="180">
        <v>9.9320622386439117E-4</v>
      </c>
      <c r="O330" s="180">
        <v>6.9406421327386882E-4</v>
      </c>
      <c r="P330" s="180">
        <v>1.248419321363809E-3</v>
      </c>
      <c r="Q330" s="180">
        <v>6.4915062582396636E-4</v>
      </c>
      <c r="R330" s="180">
        <v>8.8298395118505178E-4</v>
      </c>
      <c r="S330" s="180">
        <v>5.6633014876153942E-4</v>
      </c>
      <c r="T330" s="180">
        <v>4.4624886795118808E-4</v>
      </c>
      <c r="U330" s="180">
        <v>1.2617149248905092E-3</v>
      </c>
      <c r="V330" s="180">
        <v>1.2737483924284157E-4</v>
      </c>
      <c r="W330" s="180">
        <v>3.5874031329227935E-4</v>
      </c>
      <c r="X330" s="180">
        <v>9.8369986573183495E-4</v>
      </c>
      <c r="Y330" s="180">
        <v>8.5985137540516086E-4</v>
      </c>
      <c r="Z330" s="180">
        <v>2.4058610256342332E-4</v>
      </c>
      <c r="AA330" s="180">
        <v>8.9669180264711685E-5</v>
      </c>
      <c r="AB330" s="180">
        <v>7.5423895885674786E-4</v>
      </c>
      <c r="AC330" s="180">
        <v>1.723275330802805E-4</v>
      </c>
      <c r="AD330" s="180">
        <v>1.9588021355587989E-3</v>
      </c>
      <c r="AE330" s="180">
        <v>1.3013762269017E-3</v>
      </c>
      <c r="AF330" s="180">
        <v>4.3562344006968111E-4</v>
      </c>
      <c r="AG330" s="180">
        <v>6.7255745531353401E-4</v>
      </c>
      <c r="AH330" s="180">
        <v>2.5472583633253342E-4</v>
      </c>
      <c r="AI330" s="181">
        <v>7.6037739981613735E-4</v>
      </c>
    </row>
    <row r="331" spans="2:35" x14ac:dyDescent="0.25">
      <c r="B331" s="163" t="str">
        <f>'Market Data'!$B$41</f>
        <v>UTX</v>
      </c>
      <c r="C331" s="160">
        <f>Statistics!$G$43</f>
        <v>7.3861111519648165E-3</v>
      </c>
      <c r="E331" s="168">
        <v>0</v>
      </c>
      <c r="F331" s="85" t="str">
        <v>UTX</v>
      </c>
      <c r="G331" s="179">
        <v>1.2367738317379871E-3</v>
      </c>
      <c r="H331" s="180">
        <v>1.9679940702890687E-3</v>
      </c>
      <c r="I331" s="180">
        <v>1.846395156096473E-3</v>
      </c>
      <c r="J331" s="180">
        <v>2.1924453554447642E-3</v>
      </c>
      <c r="K331" s="180">
        <v>2.0848208418056797E-3</v>
      </c>
      <c r="L331" s="180">
        <v>1.7655731333339048E-3</v>
      </c>
      <c r="M331" s="180">
        <v>3.4844332298577191E-3</v>
      </c>
      <c r="N331" s="180">
        <v>1.6618009644053405E-3</v>
      </c>
      <c r="O331" s="180">
        <v>1.9210155408337607E-3</v>
      </c>
      <c r="P331" s="180">
        <v>2.1674424403236793E-3</v>
      </c>
      <c r="Q331" s="180">
        <v>1.2386809813748902E-3</v>
      </c>
      <c r="R331" s="180">
        <v>1.5169272523521361E-3</v>
      </c>
      <c r="S331" s="180">
        <v>1.2132957377483657E-3</v>
      </c>
      <c r="T331" s="180">
        <v>1.0117367356107026E-3</v>
      </c>
      <c r="U331" s="180">
        <v>1.8453743354725578E-3</v>
      </c>
      <c r="V331" s="180">
        <v>5.7087013169956707E-4</v>
      </c>
      <c r="W331" s="180">
        <v>8.7888532505727346E-4</v>
      </c>
      <c r="X331" s="180">
        <v>1.8471574472775569E-3</v>
      </c>
      <c r="Y331" s="180">
        <v>1.4646144344401168E-3</v>
      </c>
      <c r="Z331" s="180">
        <v>9.3007091875184366E-4</v>
      </c>
      <c r="AA331" s="180">
        <v>4.9140530374502923E-4</v>
      </c>
      <c r="AB331" s="180">
        <v>1.3524566727664237E-3</v>
      </c>
      <c r="AC331" s="180">
        <v>6.4008748533685535E-4</v>
      </c>
      <c r="AD331" s="180">
        <v>1.3013762269017E-3</v>
      </c>
      <c r="AE331" s="180">
        <v>3.1502830070701034E-3</v>
      </c>
      <c r="AF331" s="180">
        <v>3.2120511051046262E-4</v>
      </c>
      <c r="AG331" s="180">
        <v>1.6964262161404888E-3</v>
      </c>
      <c r="AH331" s="180">
        <v>2.8814451862251201E-4</v>
      </c>
      <c r="AI331" s="181">
        <v>1.3259012920786922E-3</v>
      </c>
    </row>
    <row r="332" spans="2:35" x14ac:dyDescent="0.25">
      <c r="B332" s="163" t="str">
        <f>'Market Data'!$B$42</f>
        <v>VZ</v>
      </c>
      <c r="C332" s="160">
        <f>Statistics!$G$44</f>
        <v>5.0086030759070753E-3</v>
      </c>
      <c r="E332" s="168">
        <v>0.11460651697757128</v>
      </c>
      <c r="F332" s="85" t="str">
        <v>VZ</v>
      </c>
      <c r="G332" s="179">
        <v>1.8457278448214234E-4</v>
      </c>
      <c r="H332" s="180">
        <v>-7.7366109832012643E-5</v>
      </c>
      <c r="I332" s="180">
        <v>3.7914592931386057E-4</v>
      </c>
      <c r="J332" s="180">
        <v>6.8929109799853135E-4</v>
      </c>
      <c r="K332" s="180">
        <v>5.9888719676582812E-4</v>
      </c>
      <c r="L332" s="180">
        <v>7.5916190680994219E-4</v>
      </c>
      <c r="M332" s="180">
        <v>9.2727826439514978E-4</v>
      </c>
      <c r="N332" s="180">
        <v>5.8624704841600517E-4</v>
      </c>
      <c r="O332" s="180">
        <v>1.0256274934399997E-3</v>
      </c>
      <c r="P332" s="180">
        <v>3.7523862948950627E-4</v>
      </c>
      <c r="Q332" s="180">
        <v>1.1189073531181803E-4</v>
      </c>
      <c r="R332" s="180">
        <v>2.033685246020378E-4</v>
      </c>
      <c r="S332" s="180">
        <v>8.2166255763751334E-4</v>
      </c>
      <c r="T332" s="180">
        <v>7.3214708969514145E-4</v>
      </c>
      <c r="U332" s="180">
        <v>3.9836144643633019E-4</v>
      </c>
      <c r="V332" s="180">
        <v>4.9096142938173941E-4</v>
      </c>
      <c r="W332" s="180">
        <v>6.7734327840461236E-4</v>
      </c>
      <c r="X332" s="180">
        <v>5.9539589470078522E-4</v>
      </c>
      <c r="Y332" s="180">
        <v>3.3006228708408361E-4</v>
      </c>
      <c r="Z332" s="180">
        <v>7.4555370224549768E-4</v>
      </c>
      <c r="AA332" s="180">
        <v>1.0278859564771125E-5</v>
      </c>
      <c r="AB332" s="180">
        <v>6.9733723903610885E-4</v>
      </c>
      <c r="AC332" s="180">
        <v>2.3535220881827705E-4</v>
      </c>
      <c r="AD332" s="180">
        <v>4.3562344006968111E-4</v>
      </c>
      <c r="AE332" s="180">
        <v>3.2120511051046262E-4</v>
      </c>
      <c r="AF332" s="180">
        <v>2.0420562729853461E-3</v>
      </c>
      <c r="AG332" s="180">
        <v>3.5270826394507459E-4</v>
      </c>
      <c r="AH332" s="180">
        <v>4.5696587310639262E-4</v>
      </c>
      <c r="AI332" s="181">
        <v>6.4524949399266879E-4</v>
      </c>
    </row>
    <row r="333" spans="2:35" x14ac:dyDescent="0.25">
      <c r="B333" s="163" t="str">
        <f>'Market Data'!$B$43</f>
        <v>V</v>
      </c>
      <c r="C333" s="160">
        <f>Statistics!$G$45</f>
        <v>1.7947618128132319E-2</v>
      </c>
      <c r="E333" s="168">
        <v>0</v>
      </c>
      <c r="F333" s="85" t="str">
        <v>V</v>
      </c>
      <c r="G333" s="179">
        <v>1.5697677901095443E-3</v>
      </c>
      <c r="H333" s="180">
        <v>2.1563583115517065E-3</v>
      </c>
      <c r="I333" s="180">
        <v>2.2475777063178958E-3</v>
      </c>
      <c r="J333" s="180">
        <v>1.4624027030174886E-3</v>
      </c>
      <c r="K333" s="180">
        <v>2.8598074505702059E-3</v>
      </c>
      <c r="L333" s="180">
        <v>9.2897312946466114E-4</v>
      </c>
      <c r="M333" s="180">
        <v>3.0677861856869904E-3</v>
      </c>
      <c r="N333" s="180">
        <v>2.2204011828610088E-3</v>
      </c>
      <c r="O333" s="180">
        <v>1.7646874198991678E-3</v>
      </c>
      <c r="P333" s="180">
        <v>2.0541307067505868E-3</v>
      </c>
      <c r="Q333" s="180">
        <v>1.2055891827737501E-3</v>
      </c>
      <c r="R333" s="180">
        <v>1.2306885914741903E-3</v>
      </c>
      <c r="S333" s="180">
        <v>1.8678530672680304E-3</v>
      </c>
      <c r="T333" s="180">
        <v>8.2747273857601913E-4</v>
      </c>
      <c r="U333" s="180">
        <v>1.9463933682734615E-3</v>
      </c>
      <c r="V333" s="180">
        <v>9.4999344105865064E-4</v>
      </c>
      <c r="W333" s="180">
        <v>1.0020182531469391E-3</v>
      </c>
      <c r="X333" s="180">
        <v>1.59984129324471E-3</v>
      </c>
      <c r="Y333" s="180">
        <v>1.1984054366898813E-3</v>
      </c>
      <c r="Z333" s="180">
        <v>1.5294825998788863E-3</v>
      </c>
      <c r="AA333" s="180">
        <v>1.2162400994020978E-3</v>
      </c>
      <c r="AB333" s="180">
        <v>1.6142857385330945E-3</v>
      </c>
      <c r="AC333" s="180">
        <v>9.2172519542926422E-4</v>
      </c>
      <c r="AD333" s="180">
        <v>6.7255745531353401E-4</v>
      </c>
      <c r="AE333" s="180">
        <v>1.6964262161404888E-3</v>
      </c>
      <c r="AF333" s="180">
        <v>3.5270826394507459E-4</v>
      </c>
      <c r="AG333" s="180">
        <v>3.6944718915923875E-3</v>
      </c>
      <c r="AH333" s="180">
        <v>2.1280259291490004E-4</v>
      </c>
      <c r="AI333" s="181">
        <v>9.4116112769672574E-4</v>
      </c>
    </row>
    <row r="334" spans="2:35" x14ac:dyDescent="0.25">
      <c r="B334" s="163" t="str">
        <f>'Market Data'!$B$44</f>
        <v>WMT</v>
      </c>
      <c r="C334" s="160">
        <f>Statistics!$G$46</f>
        <v>1.8437214178450567E-3</v>
      </c>
      <c r="E334" s="168">
        <v>0.18481143721670662</v>
      </c>
      <c r="F334" s="85" t="str">
        <v>WMT</v>
      </c>
      <c r="G334" s="179">
        <v>5.7975796375205426E-4</v>
      </c>
      <c r="H334" s="180">
        <v>2.6973274792062105E-5</v>
      </c>
      <c r="I334" s="180">
        <v>1.7979190170774528E-4</v>
      </c>
      <c r="J334" s="180">
        <v>-2.1581932882750213E-4</v>
      </c>
      <c r="K334" s="180">
        <v>3.2563207166723412E-4</v>
      </c>
      <c r="L334" s="180">
        <v>1.437380584121094E-4</v>
      </c>
      <c r="M334" s="180">
        <v>-2.3301122426120984E-5</v>
      </c>
      <c r="N334" s="180">
        <v>-1.1672694641114529E-4</v>
      </c>
      <c r="O334" s="180">
        <v>3.1986346053900631E-5</v>
      </c>
      <c r="P334" s="180">
        <v>-5.4295264980806504E-5</v>
      </c>
      <c r="Q334" s="180">
        <v>1.9815526434870993E-4</v>
      </c>
      <c r="R334" s="180">
        <v>3.7610030291999273E-4</v>
      </c>
      <c r="S334" s="180">
        <v>-1.8556188989019865E-5</v>
      </c>
      <c r="T334" s="180">
        <v>7.1470891411086447E-4</v>
      </c>
      <c r="U334" s="180">
        <v>7.503242005510376E-5</v>
      </c>
      <c r="V334" s="180">
        <v>6.4703627119224946E-4</v>
      </c>
      <c r="W334" s="180">
        <v>4.237060092283065E-5</v>
      </c>
      <c r="X334" s="180">
        <v>4.5051539698961655E-4</v>
      </c>
      <c r="Y334" s="180">
        <v>4.389896882024129E-4</v>
      </c>
      <c r="Z334" s="180">
        <v>-3.4970831020819231E-4</v>
      </c>
      <c r="AA334" s="180">
        <v>1.3266739677968515E-5</v>
      </c>
      <c r="AB334" s="180">
        <v>6.1756439897017149E-4</v>
      </c>
      <c r="AC334" s="180">
        <v>7.2490049760504278E-4</v>
      </c>
      <c r="AD334" s="180">
        <v>2.5472583633253342E-4</v>
      </c>
      <c r="AE334" s="180">
        <v>2.8814451862251201E-4</v>
      </c>
      <c r="AF334" s="180">
        <v>4.5696587310639262E-4</v>
      </c>
      <c r="AG334" s="180">
        <v>2.1280259291490004E-4</v>
      </c>
      <c r="AH334" s="180">
        <v>1.9253008332035728E-3</v>
      </c>
      <c r="AI334" s="181">
        <v>9.9417778748729687E-5</v>
      </c>
    </row>
    <row r="335" spans="2:35" x14ac:dyDescent="0.25">
      <c r="B335" s="164" t="str">
        <f>'Market Data'!$B$45</f>
        <v>XOM</v>
      </c>
      <c r="C335" s="165">
        <f>Statistics!$G$47</f>
        <v>1.7101166353118678E-3</v>
      </c>
      <c r="E335" s="169">
        <v>0.14069490353890246</v>
      </c>
      <c r="F335" s="86" t="str">
        <v>XOM</v>
      </c>
      <c r="G335" s="179">
        <v>8.3126780280069973E-4</v>
      </c>
      <c r="H335" s="180">
        <v>9.0240454872836753E-4</v>
      </c>
      <c r="I335" s="180">
        <v>5.5785917505375118E-4</v>
      </c>
      <c r="J335" s="180">
        <v>1.368945659107327E-3</v>
      </c>
      <c r="K335" s="180">
        <v>1.3701802479257339E-3</v>
      </c>
      <c r="L335" s="180">
        <v>1.9286286807754067E-3</v>
      </c>
      <c r="M335" s="180">
        <v>2.1182301102402332E-3</v>
      </c>
      <c r="N335" s="180">
        <v>1.3292278052638991E-3</v>
      </c>
      <c r="O335" s="180">
        <v>1.6264073394302158E-3</v>
      </c>
      <c r="P335" s="180">
        <v>1.4387650786059658E-3</v>
      </c>
      <c r="Q335" s="180">
        <v>5.7016164369997474E-4</v>
      </c>
      <c r="R335" s="180">
        <v>1.0970123689928199E-3</v>
      </c>
      <c r="S335" s="180">
        <v>1.0791409093812321E-3</v>
      </c>
      <c r="T335" s="180">
        <v>7.4627799983375924E-4</v>
      </c>
      <c r="U335" s="180">
        <v>1.3958094738143344E-3</v>
      </c>
      <c r="V335" s="180">
        <v>5.1805651820066112E-4</v>
      </c>
      <c r="W335" s="180">
        <v>6.6389606634421081E-4</v>
      </c>
      <c r="X335" s="180">
        <v>1.2697174541958882E-3</v>
      </c>
      <c r="Y335" s="180">
        <v>5.8214330295854532E-4</v>
      </c>
      <c r="Z335" s="180">
        <v>1.2219742467918569E-3</v>
      </c>
      <c r="AA335" s="180">
        <v>-1.9722713194093662E-4</v>
      </c>
      <c r="AB335" s="180">
        <v>8.1835922434987771E-4</v>
      </c>
      <c r="AC335" s="180">
        <v>6.1092932367000222E-4</v>
      </c>
      <c r="AD335" s="180">
        <v>7.6037739981613735E-4</v>
      </c>
      <c r="AE335" s="180">
        <v>1.3259012920786922E-3</v>
      </c>
      <c r="AF335" s="180">
        <v>6.4524949399266879E-4</v>
      </c>
      <c r="AG335" s="180">
        <v>9.4116112769672574E-4</v>
      </c>
      <c r="AH335" s="180">
        <v>9.9417778748729687E-5</v>
      </c>
      <c r="AI335" s="181">
        <v>1.845802781732033E-3</v>
      </c>
    </row>
    <row r="336" spans="2:35" x14ac:dyDescent="0.25">
      <c r="B336" s="3"/>
      <c r="C336" s="3"/>
      <c r="D336" s="3"/>
      <c r="E336" s="182">
        <f>SUM(E307:E335)</f>
        <v>1.0000000000000002</v>
      </c>
      <c r="F336" s="3"/>
      <c r="G336" s="184">
        <f>_xll.SumProduct2(TR5_PORTFOLIO_WEIGHTS,G307:G335)*G305</f>
        <v>0</v>
      </c>
      <c r="H336" s="185">
        <f>_xll.SumProduct2(TR5_PORTFOLIO_WEIGHTS,H307:H335)*H305</f>
        <v>1.9791837641739581E-6</v>
      </c>
      <c r="I336" s="185">
        <f>_xll.SumProduct2(TR5_PORTFOLIO_WEIGHTS,I307:I335)*I305</f>
        <v>0</v>
      </c>
      <c r="J336" s="185">
        <f>_xll.SumProduct2(TR5_PORTFOLIO_WEIGHTS,J307:J335)*J305</f>
        <v>0</v>
      </c>
      <c r="K336" s="185">
        <f>_xll.SumProduct2(TR5_PORTFOLIO_WEIGHTS,K307:K335)*K305</f>
        <v>0</v>
      </c>
      <c r="L336" s="185">
        <f>_xll.SumProduct2(TR5_PORTFOLIO_WEIGHTS,L307:L335)*L305</f>
        <v>0</v>
      </c>
      <c r="M336" s="185">
        <f>_xll.SumProduct2(TR5_PORTFOLIO_WEIGHTS,M307:M335)*M305</f>
        <v>0</v>
      </c>
      <c r="N336" s="185">
        <f>_xll.SumProduct2(TR5_PORTFOLIO_WEIGHTS,N307:N335)*N305</f>
        <v>0</v>
      </c>
      <c r="O336" s="185">
        <f>_xll.SumProduct2(TR5_PORTFOLIO_WEIGHTS,O307:O335)*O305</f>
        <v>0</v>
      </c>
      <c r="P336" s="185">
        <f>_xll.SumProduct2(TR5_PORTFOLIO_WEIGHTS,P307:P335)*P305</f>
        <v>0</v>
      </c>
      <c r="Q336" s="185">
        <f>_xll.SumProduct2(TR5_PORTFOLIO_WEIGHTS,Q307:Q335)*Q305</f>
        <v>1.0429761090955605E-5</v>
      </c>
      <c r="R336" s="185">
        <f>_xll.SumProduct2(TR5_PORTFOLIO_WEIGHTS,R307:R335)*R305</f>
        <v>1.0836181426378131E-5</v>
      </c>
      <c r="S336" s="185">
        <f>_xll.SumProduct2(TR5_PORTFOLIO_WEIGHTS,S307:S335)*S305</f>
        <v>0</v>
      </c>
      <c r="T336" s="185">
        <f>_xll.SumProduct2(TR5_PORTFOLIO_WEIGHTS,T307:T335)*T305</f>
        <v>0</v>
      </c>
      <c r="U336" s="185">
        <f>_xll.SumProduct2(TR5_PORTFOLIO_WEIGHTS,U307:U335)*U305</f>
        <v>0</v>
      </c>
      <c r="V336" s="185">
        <f>_xll.SumProduct2(TR5_PORTFOLIO_WEIGHTS,V307:V335)*V305</f>
        <v>3.9802064560555784E-5</v>
      </c>
      <c r="W336" s="185">
        <f>_xll.SumProduct2(TR5_PORTFOLIO_WEIGHTS,W307:W335)*W305</f>
        <v>4.6955652091662962E-5</v>
      </c>
      <c r="X336" s="185">
        <f>_xll.SumProduct2(TR5_PORTFOLIO_WEIGHTS,X307:X335)*X305</f>
        <v>0</v>
      </c>
      <c r="Y336" s="185">
        <f>_xll.SumProduct2(TR5_PORTFOLIO_WEIGHTS,Y307:Y335)*Y305</f>
        <v>1.2944292434571782E-5</v>
      </c>
      <c r="Z336" s="185">
        <f>_xll.SumProduct2(TR5_PORTFOLIO_WEIGHTS,Z307:Z335)*Z305</f>
        <v>0</v>
      </c>
      <c r="AA336" s="185">
        <f>_xll.SumProduct2(TR5_PORTFOLIO_WEIGHTS,AA307:AA335)*AA305</f>
        <v>8.1937969853840872E-5</v>
      </c>
      <c r="AB336" s="185">
        <f>_xll.SumProduct2(TR5_PORTFOLIO_WEIGHTS,AB307:AB335)*AB305</f>
        <v>0</v>
      </c>
      <c r="AC336" s="185">
        <f>_xll.SumProduct2(TR5_PORTFOLIO_WEIGHTS,AC307:AC335)*AC305</f>
        <v>5.7421397088713851E-5</v>
      </c>
      <c r="AD336" s="185">
        <f>_xll.SumProduct2(TR5_PORTFOLIO_WEIGHTS,AD307:AD335)*AD305</f>
        <v>4.3816317582128986E-5</v>
      </c>
      <c r="AE336" s="185">
        <f>_xll.SumProduct2(TR5_PORTFOLIO_WEIGHTS,AE307:AE335)*AE305</f>
        <v>0</v>
      </c>
      <c r="AF336" s="185">
        <f>_xll.SumProduct2(TR5_PORTFOLIO_WEIGHTS,AF307:AF335)*AF305</f>
        <v>6.6095854368402722E-5</v>
      </c>
      <c r="AG336" s="185">
        <f>_xll.SumProduct2(TR5_PORTFOLIO_WEIGHTS,AG307:AG335)*AG305</f>
        <v>0</v>
      </c>
      <c r="AH336" s="185">
        <f>_xll.SumProduct2(TR5_PORTFOLIO_WEIGHTS,AH307:AH335)*AH305</f>
        <v>1.088260734674407E-4</v>
      </c>
      <c r="AI336" s="189">
        <f>_xll.SumProduct2(TR5_PORTFOLIO_WEIGHTS,AI307:AI335)*AI305</f>
        <v>8.2927161047805165E-5</v>
      </c>
    </row>
    <row r="337" spans="2:35" x14ac:dyDescent="0.25">
      <c r="B337" s="3"/>
      <c r="C337" s="3"/>
      <c r="D337" s="3"/>
      <c r="E337" s="3"/>
      <c r="F337" s="3"/>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row>
    <row r="338" spans="2:35" ht="20.25" thickBot="1" x14ac:dyDescent="0.35">
      <c r="B338" s="153" t="str">
        <f>ROUND(TR6_PORTFOLIO_TARGET_RETURN*100, LABEL_ROUNDING) &amp; "% Target Return Portfolio (TR6)"</f>
        <v>0.978% Target Return Portfolio (TR6)</v>
      </c>
      <c r="C338" s="153"/>
      <c r="D338" s="153"/>
      <c r="E338" s="154"/>
      <c r="F338" s="153"/>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row>
    <row r="339" spans="2:35" ht="15.75" thickTop="1" x14ac:dyDescent="0.25">
      <c r="B339" s="156" t="s">
        <v>70</v>
      </c>
      <c r="C339" s="159">
        <f>TR6_PORTFOLIO_TARGET_RETURN</f>
        <v>9.7784730035111959E-3</v>
      </c>
    </row>
    <row r="340" spans="2:35" x14ac:dyDescent="0.25">
      <c r="B340" s="157" t="s">
        <v>60</v>
      </c>
      <c r="C340" s="160">
        <f>_xll.SumProduct2(C345:C373,E345:E373)-RISK_FREE_RATE</f>
        <v>9.7790414416588471E-3</v>
      </c>
    </row>
    <row r="341" spans="2:35" x14ac:dyDescent="0.25">
      <c r="B341" s="157" t="s">
        <v>62</v>
      </c>
      <c r="C341" s="160">
        <f>SQRT(SUM(G374:AI374))</f>
        <v>2.3620557242974804E-2</v>
      </c>
    </row>
    <row r="342" spans="2:35" x14ac:dyDescent="0.25">
      <c r="B342" s="158" t="s">
        <v>103</v>
      </c>
      <c r="C342" s="161" t="str">
        <f>_xll.TimeSeries.CovarianceMatrixCalculator.apply(COVARIANCE_MATRIX_CALCULATOR,'Efficient Frontier'!B345:B373,Statistics!$F$19:$F$47)</f>
        <v>»LabelledMatrix-16705291694770987819</v>
      </c>
      <c r="D342" t="s">
        <v>77</v>
      </c>
    </row>
    <row r="343" spans="2:35" x14ac:dyDescent="0.25">
      <c r="F343" s="111" t="s">
        <v>69</v>
      </c>
      <c r="G343" s="170">
        <f t="array" ref="G343:AI343">TRANSPOSE(E345:E373)</f>
        <v>0</v>
      </c>
      <c r="H343" s="171">
        <v>0</v>
      </c>
      <c r="I343" s="171">
        <v>0</v>
      </c>
      <c r="J343" s="171">
        <v>0</v>
      </c>
      <c r="K343" s="171">
        <v>0</v>
      </c>
      <c r="L343" s="171">
        <v>0</v>
      </c>
      <c r="M343" s="171">
        <v>0</v>
      </c>
      <c r="N343" s="171">
        <v>0</v>
      </c>
      <c r="O343" s="171">
        <v>0</v>
      </c>
      <c r="P343" s="171">
        <v>0</v>
      </c>
      <c r="Q343" s="171">
        <v>4.4929678969355166E-2</v>
      </c>
      <c r="R343" s="171">
        <v>5.2334655432905678E-4</v>
      </c>
      <c r="S343" s="171">
        <v>0</v>
      </c>
      <c r="T343" s="171">
        <v>0</v>
      </c>
      <c r="U343" s="171">
        <v>0</v>
      </c>
      <c r="V343" s="171">
        <v>6.7483188462791666E-2</v>
      </c>
      <c r="W343" s="171">
        <v>8.0714957398234505E-2</v>
      </c>
      <c r="X343" s="171">
        <v>0</v>
      </c>
      <c r="Y343" s="171">
        <v>2.2144359452158854E-2</v>
      </c>
      <c r="Z343" s="171">
        <v>0</v>
      </c>
      <c r="AA343" s="171">
        <v>0.15344967576717156</v>
      </c>
      <c r="AB343" s="171">
        <v>0</v>
      </c>
      <c r="AC343" s="171">
        <v>0.116350763416577</v>
      </c>
      <c r="AD343" s="171">
        <v>0.1401925169213486</v>
      </c>
      <c r="AE343" s="171">
        <v>0</v>
      </c>
      <c r="AF343" s="171">
        <v>0.11079757204891995</v>
      </c>
      <c r="AG343" s="171">
        <v>0</v>
      </c>
      <c r="AH343" s="171">
        <v>0.15914772786928819</v>
      </c>
      <c r="AI343" s="172">
        <v>0.10426621313982556</v>
      </c>
    </row>
    <row r="344" spans="2:35" x14ac:dyDescent="0.25">
      <c r="C344" s="111" t="s">
        <v>63</v>
      </c>
      <c r="E344" s="89" t="s">
        <v>69</v>
      </c>
      <c r="F344" s="166" t="str">
        <f t="array" ref="F344:AI373">_xll.Matrix.ExpandAsArray(C342)</f>
        <v/>
      </c>
      <c r="G344" s="173" t="str">
        <v>AAPL</v>
      </c>
      <c r="H344" s="174" t="str">
        <v>AXP</v>
      </c>
      <c r="I344" s="174" t="str">
        <v>BA</v>
      </c>
      <c r="J344" s="174" t="str">
        <v>CAT</v>
      </c>
      <c r="K344" s="174" t="str">
        <v>CSCO</v>
      </c>
      <c r="L344" s="174" t="str">
        <v>CVX</v>
      </c>
      <c r="M344" s="174" t="str">
        <v>DD</v>
      </c>
      <c r="N344" s="174" t="str">
        <v>DIS</v>
      </c>
      <c r="O344" s="174" t="str">
        <v>GE</v>
      </c>
      <c r="P344" s="174" t="str">
        <v>GS</v>
      </c>
      <c r="Q344" s="174" t="str">
        <v>HD</v>
      </c>
      <c r="R344" s="174" t="str">
        <v>IBM</v>
      </c>
      <c r="S344" s="174" t="str">
        <v>INTC</v>
      </c>
      <c r="T344" s="174" t="str">
        <v>JNJ</v>
      </c>
      <c r="U344" s="174" t="str">
        <v>JPM</v>
      </c>
      <c r="V344" s="174" t="str">
        <v>KO</v>
      </c>
      <c r="W344" s="174" t="str">
        <v>MCD</v>
      </c>
      <c r="X344" s="174" t="str">
        <v>MMM</v>
      </c>
      <c r="Y344" s="174" t="str">
        <v>MRK</v>
      </c>
      <c r="Z344" s="174" t="str">
        <v>MSFT</v>
      </c>
      <c r="AA344" s="174" t="str">
        <v>NKE</v>
      </c>
      <c r="AB344" s="174" t="str">
        <v>PFE</v>
      </c>
      <c r="AC344" s="174" t="str">
        <v>PG</v>
      </c>
      <c r="AD344" s="174" t="str">
        <v>UNH</v>
      </c>
      <c r="AE344" s="174" t="str">
        <v>UTX</v>
      </c>
      <c r="AF344" s="174" t="str">
        <v>VZ</v>
      </c>
      <c r="AG344" s="174" t="str">
        <v>V</v>
      </c>
      <c r="AH344" s="174" t="str">
        <v>WMT</v>
      </c>
      <c r="AI344" s="175" t="str">
        <v>XOM</v>
      </c>
    </row>
    <row r="345" spans="2:35" x14ac:dyDescent="0.25">
      <c r="B345" s="162" t="str">
        <f>'Market Data'!$B$17</f>
        <v>AAPL</v>
      </c>
      <c r="C345" s="159">
        <f>Statistics!$G$19</f>
        <v>2.1230184800142136E-2</v>
      </c>
      <c r="E345" s="167">
        <v>0</v>
      </c>
      <c r="F345" s="84" t="str">
        <v>AAPL</v>
      </c>
      <c r="G345" s="176">
        <v>4.5162973293162668E-3</v>
      </c>
      <c r="H345" s="177">
        <v>1.6284380645241216E-3</v>
      </c>
      <c r="I345" s="177">
        <v>1.6201491796022521E-3</v>
      </c>
      <c r="J345" s="177">
        <v>1.5690359790962263E-3</v>
      </c>
      <c r="K345" s="177">
        <v>2.3505409053430782E-3</v>
      </c>
      <c r="L345" s="177">
        <v>1.1773098260505132E-3</v>
      </c>
      <c r="M345" s="177">
        <v>2.5889638042653502E-3</v>
      </c>
      <c r="N345" s="177">
        <v>1.366655807124157E-3</v>
      </c>
      <c r="O345" s="177">
        <v>1.5698375611055285E-3</v>
      </c>
      <c r="P345" s="177">
        <v>1.8109156333145874E-3</v>
      </c>
      <c r="Q345" s="177">
        <v>9.8639311096076088E-4</v>
      </c>
      <c r="R345" s="177">
        <v>1.7737023799007877E-3</v>
      </c>
      <c r="S345" s="177">
        <v>1.6293191413582805E-3</v>
      </c>
      <c r="T345" s="177">
        <v>8.2631268301744008E-4</v>
      </c>
      <c r="U345" s="177">
        <v>1.2529926248616137E-3</v>
      </c>
      <c r="V345" s="177">
        <v>9.6129190129553134E-4</v>
      </c>
      <c r="W345" s="177">
        <v>4.3723596630614248E-4</v>
      </c>
      <c r="X345" s="177">
        <v>1.6042263123932821E-3</v>
      </c>
      <c r="Y345" s="177">
        <v>6.6280896407091964E-4</v>
      </c>
      <c r="Z345" s="177">
        <v>1.7656054736670385E-3</v>
      </c>
      <c r="AA345" s="177">
        <v>7.4054258425286133E-4</v>
      </c>
      <c r="AB345" s="177">
        <v>1.105136574328315E-3</v>
      </c>
      <c r="AC345" s="177">
        <v>1.0336127768185608E-3</v>
      </c>
      <c r="AD345" s="177">
        <v>5.5673881663560775E-4</v>
      </c>
      <c r="AE345" s="177">
        <v>1.2367738317379871E-3</v>
      </c>
      <c r="AF345" s="177">
        <v>1.8457278448214234E-4</v>
      </c>
      <c r="AG345" s="177">
        <v>1.5697677901095443E-3</v>
      </c>
      <c r="AH345" s="177">
        <v>5.7975796375205426E-4</v>
      </c>
      <c r="AI345" s="178">
        <v>8.3126780280069973E-4</v>
      </c>
    </row>
    <row r="346" spans="2:35" x14ac:dyDescent="0.25">
      <c r="B346" s="163" t="str">
        <f>'Market Data'!$B$18</f>
        <v>AXP</v>
      </c>
      <c r="C346" s="160">
        <f>Statistics!$G$20</f>
        <v>6.4918343965214677E-3</v>
      </c>
      <c r="E346" s="168">
        <v>0</v>
      </c>
      <c r="F346" s="85" t="str">
        <v>AXP</v>
      </c>
      <c r="G346" s="179">
        <v>1.6284380645241216E-3</v>
      </c>
      <c r="H346" s="180">
        <v>4.0660324753009668E-3</v>
      </c>
      <c r="I346" s="180">
        <v>2.3214948032735548E-3</v>
      </c>
      <c r="J346" s="180">
        <v>2.4672804057197504E-3</v>
      </c>
      <c r="K346" s="180">
        <v>2.2861035048804129E-3</v>
      </c>
      <c r="L346" s="180">
        <v>1.4106472819975181E-3</v>
      </c>
      <c r="M346" s="180">
        <v>3.0070268955997704E-3</v>
      </c>
      <c r="N346" s="180">
        <v>1.9718583562846406E-3</v>
      </c>
      <c r="O346" s="180">
        <v>1.6460552176854309E-3</v>
      </c>
      <c r="P346" s="180">
        <v>3.1197862990926528E-3</v>
      </c>
      <c r="Q346" s="180">
        <v>1.285962047454306E-3</v>
      </c>
      <c r="R346" s="180">
        <v>1.960684724858895E-3</v>
      </c>
      <c r="S346" s="180">
        <v>2.0715314739138896E-3</v>
      </c>
      <c r="T346" s="180">
        <v>7.3945969222275051E-4</v>
      </c>
      <c r="U346" s="180">
        <v>2.7840355446374721E-3</v>
      </c>
      <c r="V346" s="180">
        <v>5.6369017954212687E-4</v>
      </c>
      <c r="W346" s="180">
        <v>5.9016175595858627E-4</v>
      </c>
      <c r="X346" s="180">
        <v>1.3680882736390085E-3</v>
      </c>
      <c r="Y346" s="180">
        <v>9.5675499919051471E-4</v>
      </c>
      <c r="Z346" s="180">
        <v>1.7453927826798744E-3</v>
      </c>
      <c r="AA346" s="180">
        <v>9.1418204127611028E-4</v>
      </c>
      <c r="AB346" s="180">
        <v>1.0081234358528435E-3</v>
      </c>
      <c r="AC346" s="180">
        <v>4.150551569421239E-4</v>
      </c>
      <c r="AD346" s="180">
        <v>9.035040942327959E-4</v>
      </c>
      <c r="AE346" s="180">
        <v>1.9679940702890687E-3</v>
      </c>
      <c r="AF346" s="180">
        <v>-7.7366109832012643E-5</v>
      </c>
      <c r="AG346" s="180">
        <v>2.1563583115517065E-3</v>
      </c>
      <c r="AH346" s="180">
        <v>2.6973274792062105E-5</v>
      </c>
      <c r="AI346" s="181">
        <v>9.0240454872836753E-4</v>
      </c>
    </row>
    <row r="347" spans="2:35" x14ac:dyDescent="0.25">
      <c r="B347" s="163" t="str">
        <f>'Market Data'!$B$19</f>
        <v>BA</v>
      </c>
      <c r="C347" s="160">
        <f>Statistics!$G$21</f>
        <v>1.9250861766613322E-2</v>
      </c>
      <c r="E347" s="168">
        <v>0</v>
      </c>
      <c r="F347" s="85" t="str">
        <v>BA</v>
      </c>
      <c r="G347" s="179">
        <v>1.6201491796022521E-3</v>
      </c>
      <c r="H347" s="180">
        <v>2.3214948032735548E-3</v>
      </c>
      <c r="I347" s="180">
        <v>3.7402935775721971E-3</v>
      </c>
      <c r="J347" s="180">
        <v>1.6046317611050844E-3</v>
      </c>
      <c r="K347" s="180">
        <v>2.1240240973260023E-3</v>
      </c>
      <c r="L347" s="180">
        <v>1.3419066335272889E-3</v>
      </c>
      <c r="M347" s="180">
        <v>3.1629198402818382E-3</v>
      </c>
      <c r="N347" s="180">
        <v>2.193611301570318E-3</v>
      </c>
      <c r="O347" s="180">
        <v>1.7334051959416068E-3</v>
      </c>
      <c r="P347" s="180">
        <v>2.2391121271409182E-3</v>
      </c>
      <c r="Q347" s="180">
        <v>1.2911501083222776E-3</v>
      </c>
      <c r="R347" s="180">
        <v>1.1336433634722555E-3</v>
      </c>
      <c r="S347" s="180">
        <v>1.485647562986758E-3</v>
      </c>
      <c r="T347" s="180">
        <v>7.7470388279684329E-4</v>
      </c>
      <c r="U347" s="180">
        <v>1.8054441283061249E-3</v>
      </c>
      <c r="V347" s="180">
        <v>9.7196182882881919E-4</v>
      </c>
      <c r="W347" s="180">
        <v>1.004575731683145E-3</v>
      </c>
      <c r="X347" s="180">
        <v>1.220072170107771E-3</v>
      </c>
      <c r="Y347" s="180">
        <v>1.3506721993334096E-3</v>
      </c>
      <c r="Z347" s="180">
        <v>1.4618979219237266E-3</v>
      </c>
      <c r="AA347" s="180">
        <v>1.1825978430535619E-3</v>
      </c>
      <c r="AB347" s="180">
        <v>1.2950969606515986E-3</v>
      </c>
      <c r="AC347" s="180">
        <v>5.997217417536032E-4</v>
      </c>
      <c r="AD347" s="180">
        <v>6.5863568330466196E-4</v>
      </c>
      <c r="AE347" s="180">
        <v>1.846395156096473E-3</v>
      </c>
      <c r="AF347" s="180">
        <v>3.7914592931386057E-4</v>
      </c>
      <c r="AG347" s="180">
        <v>2.2475777063178958E-3</v>
      </c>
      <c r="AH347" s="180">
        <v>1.7979190170774528E-4</v>
      </c>
      <c r="AI347" s="181">
        <v>5.5785917505375118E-4</v>
      </c>
    </row>
    <row r="348" spans="2:35" x14ac:dyDescent="0.25">
      <c r="B348" s="163" t="str">
        <f>'Market Data'!$B$20</f>
        <v>CAT</v>
      </c>
      <c r="C348" s="160">
        <f>Statistics!$G$22</f>
        <v>6.3545919720494892E-3</v>
      </c>
      <c r="E348" s="168">
        <v>0</v>
      </c>
      <c r="F348" s="85" t="str">
        <v>CAT</v>
      </c>
      <c r="G348" s="179">
        <v>1.5690359790962263E-3</v>
      </c>
      <c r="H348" s="180">
        <v>2.4672804057197504E-3</v>
      </c>
      <c r="I348" s="180">
        <v>1.6046317611050844E-3</v>
      </c>
      <c r="J348" s="180">
        <v>4.5013491323716076E-3</v>
      </c>
      <c r="K348" s="180">
        <v>1.8532157140411887E-3</v>
      </c>
      <c r="L348" s="180">
        <v>2.2352946064681648E-3</v>
      </c>
      <c r="M348" s="180">
        <v>3.0429489894058951E-3</v>
      </c>
      <c r="N348" s="180">
        <v>1.6981712196612736E-3</v>
      </c>
      <c r="O348" s="180">
        <v>2.2046623152336968E-3</v>
      </c>
      <c r="P348" s="180">
        <v>2.3825247137119567E-3</v>
      </c>
      <c r="Q348" s="180">
        <v>1.0587514228509517E-3</v>
      </c>
      <c r="R348" s="180">
        <v>2.1554825858441308E-3</v>
      </c>
      <c r="S348" s="180">
        <v>2.3005603160952529E-3</v>
      </c>
      <c r="T348" s="180">
        <v>9.0633949973445221E-4</v>
      </c>
      <c r="U348" s="180">
        <v>2.011937601179676E-3</v>
      </c>
      <c r="V348" s="180">
        <v>6.586205973694774E-4</v>
      </c>
      <c r="W348" s="180">
        <v>1.2118483675212872E-3</v>
      </c>
      <c r="X348" s="180">
        <v>1.3778500117759705E-3</v>
      </c>
      <c r="Y348" s="180">
        <v>1.6454661341138513E-3</v>
      </c>
      <c r="Z348" s="180">
        <v>2.2842322526096018E-3</v>
      </c>
      <c r="AA348" s="180">
        <v>-1.1104731462091626E-4</v>
      </c>
      <c r="AB348" s="180">
        <v>7.9610645869862182E-4</v>
      </c>
      <c r="AC348" s="180">
        <v>4.9254664842985144E-4</v>
      </c>
      <c r="AD348" s="180">
        <v>7.8373416165496384E-4</v>
      </c>
      <c r="AE348" s="180">
        <v>2.1924453554447642E-3</v>
      </c>
      <c r="AF348" s="180">
        <v>6.8929109799853135E-4</v>
      </c>
      <c r="AG348" s="180">
        <v>1.4624027030174886E-3</v>
      </c>
      <c r="AH348" s="180">
        <v>-2.1581932882750213E-4</v>
      </c>
      <c r="AI348" s="181">
        <v>1.368945659107327E-3</v>
      </c>
    </row>
    <row r="349" spans="2:35" x14ac:dyDescent="0.25">
      <c r="B349" s="163" t="str">
        <f>'Market Data'!$B$21</f>
        <v>CSCO</v>
      </c>
      <c r="C349" s="160">
        <f>Statistics!$G$23</f>
        <v>1.4928779568119917E-2</v>
      </c>
      <c r="E349" s="168">
        <v>0</v>
      </c>
      <c r="F349" s="85" t="str">
        <v>CSCO</v>
      </c>
      <c r="G349" s="179">
        <v>2.3505409053430782E-3</v>
      </c>
      <c r="H349" s="180">
        <v>2.2861035048804129E-3</v>
      </c>
      <c r="I349" s="180">
        <v>2.1240240973260023E-3</v>
      </c>
      <c r="J349" s="180">
        <v>1.8532157140411887E-3</v>
      </c>
      <c r="K349" s="180">
        <v>4.2943797540477393E-3</v>
      </c>
      <c r="L349" s="180">
        <v>1.6495950515362169E-3</v>
      </c>
      <c r="M349" s="180">
        <v>3.7036865533827041E-3</v>
      </c>
      <c r="N349" s="180">
        <v>1.9090150380186609E-3</v>
      </c>
      <c r="O349" s="180">
        <v>2.0168425927536027E-3</v>
      </c>
      <c r="P349" s="180">
        <v>2.2177683830845976E-3</v>
      </c>
      <c r="Q349" s="180">
        <v>9.8504335267051509E-4</v>
      </c>
      <c r="R349" s="180">
        <v>2.2508292865696072E-3</v>
      </c>
      <c r="S349" s="180">
        <v>2.2625583672846289E-3</v>
      </c>
      <c r="T349" s="180">
        <v>1.1094225673998865E-3</v>
      </c>
      <c r="U349" s="180">
        <v>2.0831844183308271E-3</v>
      </c>
      <c r="V349" s="180">
        <v>1.0904984859812852E-3</v>
      </c>
      <c r="W349" s="180">
        <v>8.8656407550750189E-4</v>
      </c>
      <c r="X349" s="180">
        <v>1.6594658489014636E-3</v>
      </c>
      <c r="Y349" s="180">
        <v>1.2877752599161352E-3</v>
      </c>
      <c r="Z349" s="180">
        <v>2.1511833371391734E-3</v>
      </c>
      <c r="AA349" s="180">
        <v>7.2136303147440504E-4</v>
      </c>
      <c r="AB349" s="180">
        <v>1.5185012123350332E-3</v>
      </c>
      <c r="AC349" s="180">
        <v>1.0690588122897406E-3</v>
      </c>
      <c r="AD349" s="180">
        <v>1.0321561899434074E-3</v>
      </c>
      <c r="AE349" s="180">
        <v>2.0848208418056797E-3</v>
      </c>
      <c r="AF349" s="180">
        <v>5.9888719676582812E-4</v>
      </c>
      <c r="AG349" s="180">
        <v>2.8598074505702059E-3</v>
      </c>
      <c r="AH349" s="180">
        <v>3.2563207166723412E-4</v>
      </c>
      <c r="AI349" s="181">
        <v>1.3701802479257339E-3</v>
      </c>
    </row>
    <row r="350" spans="2:35" x14ac:dyDescent="0.25">
      <c r="B350" s="163" t="str">
        <f>'Market Data'!$B$22</f>
        <v>CVX</v>
      </c>
      <c r="C350" s="160">
        <f>Statistics!$G$24</f>
        <v>2.6845541907593424E-3</v>
      </c>
      <c r="E350" s="168">
        <v>0</v>
      </c>
      <c r="F350" s="85" t="str">
        <v>CVX</v>
      </c>
      <c r="G350" s="179">
        <v>1.1773098260505132E-3</v>
      </c>
      <c r="H350" s="180">
        <v>1.4106472819975181E-3</v>
      </c>
      <c r="I350" s="180">
        <v>1.3419066335272889E-3</v>
      </c>
      <c r="J350" s="180">
        <v>2.2352946064681648E-3</v>
      </c>
      <c r="K350" s="180">
        <v>1.6495950515362169E-3</v>
      </c>
      <c r="L350" s="180">
        <v>3.2764948408559465E-3</v>
      </c>
      <c r="M350" s="180">
        <v>2.8277959806832817E-3</v>
      </c>
      <c r="N350" s="180">
        <v>1.8200348202442435E-3</v>
      </c>
      <c r="O350" s="180">
        <v>2.0997855192430963E-3</v>
      </c>
      <c r="P350" s="180">
        <v>2.495859527554455E-3</v>
      </c>
      <c r="Q350" s="180">
        <v>7.9860489883547216E-4</v>
      </c>
      <c r="R350" s="180">
        <v>1.7099575851328929E-3</v>
      </c>
      <c r="S350" s="180">
        <v>1.762362573764028E-3</v>
      </c>
      <c r="T350" s="180">
        <v>1.0006982850928254E-3</v>
      </c>
      <c r="U350" s="180">
        <v>2.159640132817216E-3</v>
      </c>
      <c r="V350" s="180">
        <v>7.7350953916938299E-4</v>
      </c>
      <c r="W350" s="180">
        <v>1.2445101608031307E-3</v>
      </c>
      <c r="X350" s="180">
        <v>1.3396872809028706E-3</v>
      </c>
      <c r="Y350" s="180">
        <v>1.0548817345930506E-3</v>
      </c>
      <c r="Z350" s="180">
        <v>1.921523261676006E-3</v>
      </c>
      <c r="AA350" s="180">
        <v>-3.0145919518466895E-4</v>
      </c>
      <c r="AB350" s="180">
        <v>1.0966581694716135E-3</v>
      </c>
      <c r="AC350" s="180">
        <v>8.4385070363078498E-4</v>
      </c>
      <c r="AD350" s="180">
        <v>8.9699068571536217E-4</v>
      </c>
      <c r="AE350" s="180">
        <v>1.7655731333339048E-3</v>
      </c>
      <c r="AF350" s="180">
        <v>7.5916190680994219E-4</v>
      </c>
      <c r="AG350" s="180">
        <v>9.2897312946466114E-4</v>
      </c>
      <c r="AH350" s="180">
        <v>1.437380584121094E-4</v>
      </c>
      <c r="AI350" s="181">
        <v>1.9286286807754067E-3</v>
      </c>
    </row>
    <row r="351" spans="2:35" x14ac:dyDescent="0.25">
      <c r="B351" s="163" t="str">
        <f>'Market Data'!$B$23</f>
        <v>DD</v>
      </c>
      <c r="C351" s="160">
        <f>Statistics!$G$25</f>
        <v>1.7349865519574785E-2</v>
      </c>
      <c r="E351" s="168">
        <v>0</v>
      </c>
      <c r="F351" s="85" t="str">
        <v>DD</v>
      </c>
      <c r="G351" s="179">
        <v>2.5889638042653502E-3</v>
      </c>
      <c r="H351" s="180">
        <v>3.0070268955997704E-3</v>
      </c>
      <c r="I351" s="180">
        <v>3.1629198402818382E-3</v>
      </c>
      <c r="J351" s="180">
        <v>3.0429489894058951E-3</v>
      </c>
      <c r="K351" s="180">
        <v>3.7036865533827041E-3</v>
      </c>
      <c r="L351" s="180">
        <v>2.8277959806832817E-3</v>
      </c>
      <c r="M351" s="180">
        <v>7.2090294001774871E-3</v>
      </c>
      <c r="N351" s="180">
        <v>3.2246456006375726E-3</v>
      </c>
      <c r="O351" s="180">
        <v>3.2408092269649337E-3</v>
      </c>
      <c r="P351" s="180">
        <v>3.1194558916632768E-3</v>
      </c>
      <c r="Q351" s="180">
        <v>2.0138415935295195E-3</v>
      </c>
      <c r="R351" s="180">
        <v>2.4056181433013803E-3</v>
      </c>
      <c r="S351" s="180">
        <v>2.9333641814070907E-3</v>
      </c>
      <c r="T351" s="180">
        <v>1.7073269232421356E-3</v>
      </c>
      <c r="U351" s="180">
        <v>2.9403656750226037E-3</v>
      </c>
      <c r="V351" s="180">
        <v>1.3828838928124146E-3</v>
      </c>
      <c r="W351" s="180">
        <v>1.5566945864839937E-3</v>
      </c>
      <c r="X351" s="180">
        <v>2.4333011024343194E-3</v>
      </c>
      <c r="Y351" s="180">
        <v>2.1034755337789339E-3</v>
      </c>
      <c r="Z351" s="180">
        <v>3.4647817866697963E-3</v>
      </c>
      <c r="AA351" s="180">
        <v>1.371253710214986E-3</v>
      </c>
      <c r="AB351" s="180">
        <v>2.2541080192876768E-3</v>
      </c>
      <c r="AC351" s="180">
        <v>1.1783213677355128E-3</v>
      </c>
      <c r="AD351" s="180">
        <v>1.3915459916452729E-3</v>
      </c>
      <c r="AE351" s="180">
        <v>3.4844332298577191E-3</v>
      </c>
      <c r="AF351" s="180">
        <v>9.2727826439514978E-4</v>
      </c>
      <c r="AG351" s="180">
        <v>3.0677861856869904E-3</v>
      </c>
      <c r="AH351" s="180">
        <v>-2.3301122426120984E-5</v>
      </c>
      <c r="AI351" s="181">
        <v>2.1182301102402332E-3</v>
      </c>
    </row>
    <row r="352" spans="2:35" x14ac:dyDescent="0.25">
      <c r="B352" s="163" t="str">
        <f>'Market Data'!$B$24</f>
        <v>DIS</v>
      </c>
      <c r="C352" s="160">
        <f>Statistics!$G$26</f>
        <v>1.7109009470709015E-2</v>
      </c>
      <c r="E352" s="168">
        <v>0</v>
      </c>
      <c r="F352" s="85" t="str">
        <v>DIS</v>
      </c>
      <c r="G352" s="179">
        <v>1.366655807124157E-3</v>
      </c>
      <c r="H352" s="180">
        <v>1.9718583562846406E-3</v>
      </c>
      <c r="I352" s="180">
        <v>2.193611301570318E-3</v>
      </c>
      <c r="J352" s="180">
        <v>1.6981712196612736E-3</v>
      </c>
      <c r="K352" s="180">
        <v>1.9090150380186609E-3</v>
      </c>
      <c r="L352" s="180">
        <v>1.8200348202442435E-3</v>
      </c>
      <c r="M352" s="180">
        <v>3.2246456006375726E-3</v>
      </c>
      <c r="N352" s="180">
        <v>3.2225637954133132E-3</v>
      </c>
      <c r="O352" s="180">
        <v>1.7980110839806059E-3</v>
      </c>
      <c r="P352" s="180">
        <v>2.5910429203650125E-3</v>
      </c>
      <c r="Q352" s="180">
        <v>1.4438567521116873E-3</v>
      </c>
      <c r="R352" s="180">
        <v>1.2533920720746924E-3</v>
      </c>
      <c r="S352" s="180">
        <v>1.4872846501875279E-3</v>
      </c>
      <c r="T352" s="180">
        <v>7.6090581351824873E-4</v>
      </c>
      <c r="U352" s="180">
        <v>2.3150492241015347E-3</v>
      </c>
      <c r="V352" s="180">
        <v>7.3157249166013263E-4</v>
      </c>
      <c r="W352" s="180">
        <v>1.0434476997331528E-3</v>
      </c>
      <c r="X352" s="180">
        <v>1.3935802423237448E-3</v>
      </c>
      <c r="Y352" s="180">
        <v>1.1180874248259017E-3</v>
      </c>
      <c r="Z352" s="180">
        <v>1.7514488094562146E-3</v>
      </c>
      <c r="AA352" s="180">
        <v>1.1713887062549742E-3</v>
      </c>
      <c r="AB352" s="180">
        <v>1.4909638464124207E-3</v>
      </c>
      <c r="AC352" s="180">
        <v>6.6920552953337459E-4</v>
      </c>
      <c r="AD352" s="180">
        <v>9.9320622386439117E-4</v>
      </c>
      <c r="AE352" s="180">
        <v>1.6618009644053405E-3</v>
      </c>
      <c r="AF352" s="180">
        <v>5.8624704841600517E-4</v>
      </c>
      <c r="AG352" s="180">
        <v>2.2204011828610088E-3</v>
      </c>
      <c r="AH352" s="180">
        <v>-1.1672694641114529E-4</v>
      </c>
      <c r="AI352" s="181">
        <v>1.3292278052638991E-3</v>
      </c>
    </row>
    <row r="353" spans="2:35" x14ac:dyDescent="0.25">
      <c r="B353" s="163" t="str">
        <f>'Market Data'!$B$25</f>
        <v>GE</v>
      </c>
      <c r="C353" s="160">
        <f>Statistics!$G$27</f>
        <v>9.2719197536449416E-3</v>
      </c>
      <c r="E353" s="168">
        <v>0</v>
      </c>
      <c r="F353" s="85" t="str">
        <v>GE</v>
      </c>
      <c r="G353" s="179">
        <v>1.5698375611055285E-3</v>
      </c>
      <c r="H353" s="180">
        <v>1.6460552176854309E-3</v>
      </c>
      <c r="I353" s="180">
        <v>1.7334051959416068E-3</v>
      </c>
      <c r="J353" s="180">
        <v>2.2046623152336968E-3</v>
      </c>
      <c r="K353" s="180">
        <v>2.0168425927536027E-3</v>
      </c>
      <c r="L353" s="180">
        <v>2.0997855192430963E-3</v>
      </c>
      <c r="M353" s="180">
        <v>3.2408092269649337E-3</v>
      </c>
      <c r="N353" s="180">
        <v>1.7980110839806059E-3</v>
      </c>
      <c r="O353" s="180">
        <v>2.8739818723832944E-3</v>
      </c>
      <c r="P353" s="180">
        <v>2.2255962061739098E-3</v>
      </c>
      <c r="Q353" s="180">
        <v>1.1779071347684854E-3</v>
      </c>
      <c r="R353" s="180">
        <v>1.4606469135339543E-3</v>
      </c>
      <c r="S353" s="180">
        <v>1.8413857882482649E-3</v>
      </c>
      <c r="T353" s="180">
        <v>1.1338883047798758E-3</v>
      </c>
      <c r="U353" s="180">
        <v>1.9825602222543746E-3</v>
      </c>
      <c r="V353" s="180">
        <v>1.0900315820250495E-3</v>
      </c>
      <c r="W353" s="180">
        <v>1.4080437366372094E-3</v>
      </c>
      <c r="X353" s="180">
        <v>1.6476299492810176E-3</v>
      </c>
      <c r="Y353" s="180">
        <v>7.4080885300837902E-4</v>
      </c>
      <c r="Z353" s="180">
        <v>2.1782812682115105E-3</v>
      </c>
      <c r="AA353" s="180">
        <v>6.8149888740689005E-4</v>
      </c>
      <c r="AB353" s="180">
        <v>1.1596920910434683E-3</v>
      </c>
      <c r="AC353" s="180">
        <v>8.669689440805547E-4</v>
      </c>
      <c r="AD353" s="180">
        <v>6.9406421327386882E-4</v>
      </c>
      <c r="AE353" s="180">
        <v>1.9210155408337607E-3</v>
      </c>
      <c r="AF353" s="180">
        <v>1.0256274934399997E-3</v>
      </c>
      <c r="AG353" s="180">
        <v>1.7646874198991678E-3</v>
      </c>
      <c r="AH353" s="180">
        <v>3.1986346053900631E-5</v>
      </c>
      <c r="AI353" s="181">
        <v>1.6264073394302158E-3</v>
      </c>
    </row>
    <row r="354" spans="2:35" x14ac:dyDescent="0.25">
      <c r="B354" s="163" t="str">
        <f>'Market Data'!$B$26</f>
        <v>GS</v>
      </c>
      <c r="C354" s="160">
        <f>Statistics!$G$28</f>
        <v>1.2775975133106521E-2</v>
      </c>
      <c r="E354" s="168">
        <v>0</v>
      </c>
      <c r="F354" s="85" t="str">
        <v>GS</v>
      </c>
      <c r="G354" s="179">
        <v>1.8109156333145874E-3</v>
      </c>
      <c r="H354" s="180">
        <v>3.1197862990926528E-3</v>
      </c>
      <c r="I354" s="180">
        <v>2.2391121271409182E-3</v>
      </c>
      <c r="J354" s="180">
        <v>2.3825247137119567E-3</v>
      </c>
      <c r="K354" s="180">
        <v>2.2177683830845976E-3</v>
      </c>
      <c r="L354" s="180">
        <v>2.495859527554455E-3</v>
      </c>
      <c r="M354" s="180">
        <v>3.1194558916632768E-3</v>
      </c>
      <c r="N354" s="180">
        <v>2.5910429203650125E-3</v>
      </c>
      <c r="O354" s="180">
        <v>2.2255962061739098E-3</v>
      </c>
      <c r="P354" s="180">
        <v>4.8815099105356504E-3</v>
      </c>
      <c r="Q354" s="180">
        <v>1.5442152510598698E-3</v>
      </c>
      <c r="R354" s="180">
        <v>2.2308798805711167E-3</v>
      </c>
      <c r="S354" s="180">
        <v>1.7997270101458302E-3</v>
      </c>
      <c r="T354" s="180">
        <v>7.4857834611503948E-4</v>
      </c>
      <c r="U354" s="180">
        <v>3.8267678235899111E-3</v>
      </c>
      <c r="V354" s="180">
        <v>5.0884399749192373E-4</v>
      </c>
      <c r="W354" s="180">
        <v>1.1844149472533348E-3</v>
      </c>
      <c r="X354" s="180">
        <v>1.5580261625844892E-3</v>
      </c>
      <c r="Y354" s="180">
        <v>9.5059394038900442E-4</v>
      </c>
      <c r="Z354" s="180">
        <v>1.9881521509949444E-3</v>
      </c>
      <c r="AA354" s="180">
        <v>9.2810945195530823E-4</v>
      </c>
      <c r="AB354" s="180">
        <v>1.2974763649140325E-3</v>
      </c>
      <c r="AC354" s="180">
        <v>6.8796273406052837E-4</v>
      </c>
      <c r="AD354" s="180">
        <v>1.248419321363809E-3</v>
      </c>
      <c r="AE354" s="180">
        <v>2.1674424403236793E-3</v>
      </c>
      <c r="AF354" s="180">
        <v>3.7523862948950627E-4</v>
      </c>
      <c r="AG354" s="180">
        <v>2.0541307067505868E-3</v>
      </c>
      <c r="AH354" s="180">
        <v>-5.4295264980806504E-5</v>
      </c>
      <c r="AI354" s="181">
        <v>1.4387650786059658E-3</v>
      </c>
    </row>
    <row r="355" spans="2:35" x14ac:dyDescent="0.25">
      <c r="B355" s="163" t="str">
        <f>'Market Data'!$B$27</f>
        <v>HD</v>
      </c>
      <c r="C355" s="160">
        <f>Statistics!$G$29</f>
        <v>1.8352985528230569E-2</v>
      </c>
      <c r="E355" s="168">
        <v>4.4929678969355166E-2</v>
      </c>
      <c r="F355" s="85" t="str">
        <v>HD</v>
      </c>
      <c r="G355" s="179">
        <v>9.8639311096076088E-4</v>
      </c>
      <c r="H355" s="180">
        <v>1.285962047454306E-3</v>
      </c>
      <c r="I355" s="180">
        <v>1.2911501083222776E-3</v>
      </c>
      <c r="J355" s="180">
        <v>1.0587514228509517E-3</v>
      </c>
      <c r="K355" s="180">
        <v>9.8504335267051509E-4</v>
      </c>
      <c r="L355" s="180">
        <v>7.9860489883547216E-4</v>
      </c>
      <c r="M355" s="180">
        <v>2.0138415935295195E-3</v>
      </c>
      <c r="N355" s="180">
        <v>1.4438567521116873E-3</v>
      </c>
      <c r="O355" s="180">
        <v>1.1779071347684854E-3</v>
      </c>
      <c r="P355" s="180">
        <v>1.5442152510598698E-3</v>
      </c>
      <c r="Q355" s="180">
        <v>1.8880219117441428E-3</v>
      </c>
      <c r="R355" s="180">
        <v>9.3173966010624539E-4</v>
      </c>
      <c r="S355" s="180">
        <v>9.2701062278089308E-4</v>
      </c>
      <c r="T355" s="180">
        <v>6.2481040103688149E-4</v>
      </c>
      <c r="U355" s="180">
        <v>1.4284505514434026E-3</v>
      </c>
      <c r="V355" s="180">
        <v>5.5799413673053339E-4</v>
      </c>
      <c r="W355" s="180">
        <v>7.381374461617429E-4</v>
      </c>
      <c r="X355" s="180">
        <v>1.0633975936011025E-3</v>
      </c>
      <c r="Y355" s="180">
        <v>7.161428946835201E-4</v>
      </c>
      <c r="Z355" s="180">
        <v>1.0017697174583111E-3</v>
      </c>
      <c r="AA355" s="180">
        <v>7.3578315539153108E-4</v>
      </c>
      <c r="AB355" s="180">
        <v>8.5234066580948517E-4</v>
      </c>
      <c r="AC355" s="180">
        <v>4.7474349038820928E-4</v>
      </c>
      <c r="AD355" s="180">
        <v>6.4915062582396636E-4</v>
      </c>
      <c r="AE355" s="180">
        <v>1.2386809813748902E-3</v>
      </c>
      <c r="AF355" s="180">
        <v>1.1189073531181803E-4</v>
      </c>
      <c r="AG355" s="180">
        <v>1.2055891827737501E-3</v>
      </c>
      <c r="AH355" s="180">
        <v>1.9815526434870993E-4</v>
      </c>
      <c r="AI355" s="181">
        <v>5.7016164369997474E-4</v>
      </c>
    </row>
    <row r="356" spans="2:35" x14ac:dyDescent="0.25">
      <c r="B356" s="163" t="str">
        <f>'Market Data'!$B$28</f>
        <v>IBM</v>
      </c>
      <c r="C356" s="160">
        <f>Statistics!$G$30</f>
        <v>-1.0805706759468385E-4</v>
      </c>
      <c r="E356" s="168">
        <v>5.2334655432905678E-4</v>
      </c>
      <c r="F356" s="85" t="str">
        <v>IBM</v>
      </c>
      <c r="G356" s="179">
        <v>1.7737023799007877E-3</v>
      </c>
      <c r="H356" s="180">
        <v>1.960684724858895E-3</v>
      </c>
      <c r="I356" s="180">
        <v>1.1336433634722555E-3</v>
      </c>
      <c r="J356" s="180">
        <v>2.1554825858441308E-3</v>
      </c>
      <c r="K356" s="180">
        <v>2.2508292865696072E-3</v>
      </c>
      <c r="L356" s="180">
        <v>1.7099575851328929E-3</v>
      </c>
      <c r="M356" s="180">
        <v>2.4056181433013803E-3</v>
      </c>
      <c r="N356" s="180">
        <v>1.2533920720746924E-3</v>
      </c>
      <c r="O356" s="180">
        <v>1.4606469135339543E-3</v>
      </c>
      <c r="P356" s="180">
        <v>2.2308798805711167E-3</v>
      </c>
      <c r="Q356" s="180">
        <v>9.3173966010624539E-4</v>
      </c>
      <c r="R356" s="180">
        <v>3.3622126456479009E-3</v>
      </c>
      <c r="S356" s="180">
        <v>1.4043690490920693E-3</v>
      </c>
      <c r="T356" s="180">
        <v>5.9347717242683358E-4</v>
      </c>
      <c r="U356" s="180">
        <v>2.0888390371824788E-3</v>
      </c>
      <c r="V356" s="180">
        <v>5.7019303114958723E-4</v>
      </c>
      <c r="W356" s="180">
        <v>5.4513263389601688E-4</v>
      </c>
      <c r="X356" s="180">
        <v>1.0275296737018624E-3</v>
      </c>
      <c r="Y356" s="180">
        <v>1.0097860441379664E-3</v>
      </c>
      <c r="Z356" s="180">
        <v>1.4353906099659559E-3</v>
      </c>
      <c r="AA356" s="180">
        <v>1.3757321359017424E-4</v>
      </c>
      <c r="AB356" s="180">
        <v>7.9545047293496068E-4</v>
      </c>
      <c r="AC356" s="180">
        <v>5.5361049131124631E-4</v>
      </c>
      <c r="AD356" s="180">
        <v>8.8298395118505178E-4</v>
      </c>
      <c r="AE356" s="180">
        <v>1.5169272523521361E-3</v>
      </c>
      <c r="AF356" s="180">
        <v>2.033685246020378E-4</v>
      </c>
      <c r="AG356" s="180">
        <v>1.2306885914741903E-3</v>
      </c>
      <c r="AH356" s="180">
        <v>3.7610030291999273E-4</v>
      </c>
      <c r="AI356" s="181">
        <v>1.0970123689928199E-3</v>
      </c>
    </row>
    <row r="357" spans="2:35" x14ac:dyDescent="0.25">
      <c r="B357" s="163" t="str">
        <f>'Market Data'!$B$29</f>
        <v>INTC</v>
      </c>
      <c r="C357" s="160">
        <f>Statistics!$G$31</f>
        <v>1.4825313209679855E-2</v>
      </c>
      <c r="E357" s="168">
        <v>0</v>
      </c>
      <c r="F357" s="85" t="str">
        <v>INTC</v>
      </c>
      <c r="G357" s="179">
        <v>1.6293191413582805E-3</v>
      </c>
      <c r="H357" s="180">
        <v>2.0715314739138896E-3</v>
      </c>
      <c r="I357" s="180">
        <v>1.485647562986758E-3</v>
      </c>
      <c r="J357" s="180">
        <v>2.3005603160952529E-3</v>
      </c>
      <c r="K357" s="180">
        <v>2.2625583672846289E-3</v>
      </c>
      <c r="L357" s="180">
        <v>1.762362573764028E-3</v>
      </c>
      <c r="M357" s="180">
        <v>2.9333641814070907E-3</v>
      </c>
      <c r="N357" s="180">
        <v>1.4872846501875279E-3</v>
      </c>
      <c r="O357" s="180">
        <v>1.8413857882482649E-3</v>
      </c>
      <c r="P357" s="180">
        <v>1.7997270101458302E-3</v>
      </c>
      <c r="Q357" s="180">
        <v>9.2701062278089308E-4</v>
      </c>
      <c r="R357" s="180">
        <v>1.4043690490920693E-3</v>
      </c>
      <c r="S357" s="180">
        <v>3.8953291630483993E-3</v>
      </c>
      <c r="T357" s="180">
        <v>8.7155825849789608E-4</v>
      </c>
      <c r="U357" s="180">
        <v>1.6338310266769979E-3</v>
      </c>
      <c r="V357" s="180">
        <v>1.1107691361801554E-3</v>
      </c>
      <c r="W357" s="180">
        <v>9.1762089354393737E-4</v>
      </c>
      <c r="X357" s="180">
        <v>1.3291856750406272E-3</v>
      </c>
      <c r="Y357" s="180">
        <v>1.2481991200788169E-3</v>
      </c>
      <c r="Z357" s="180">
        <v>2.824290151917595E-3</v>
      </c>
      <c r="AA357" s="180">
        <v>5.7515792739731505E-4</v>
      </c>
      <c r="AB357" s="180">
        <v>9.9184976149502301E-4</v>
      </c>
      <c r="AC357" s="180">
        <v>7.9168442412031782E-4</v>
      </c>
      <c r="AD357" s="180">
        <v>5.6633014876153942E-4</v>
      </c>
      <c r="AE357" s="180">
        <v>1.2132957377483657E-3</v>
      </c>
      <c r="AF357" s="180">
        <v>8.2166255763751334E-4</v>
      </c>
      <c r="AG357" s="180">
        <v>1.8678530672680304E-3</v>
      </c>
      <c r="AH357" s="180">
        <v>-1.8556188989019865E-5</v>
      </c>
      <c r="AI357" s="181">
        <v>1.0791409093812321E-3</v>
      </c>
    </row>
    <row r="358" spans="2:35" x14ac:dyDescent="0.25">
      <c r="B358" s="163" t="str">
        <f>'Market Data'!$B$30</f>
        <v>JNJ</v>
      </c>
      <c r="C358" s="160">
        <f>Statistics!$G$32</f>
        <v>1.2075919577819831E-2</v>
      </c>
      <c r="E358" s="168">
        <v>0</v>
      </c>
      <c r="F358" s="85" t="str">
        <v>JNJ</v>
      </c>
      <c r="G358" s="179">
        <v>8.2631268301744008E-4</v>
      </c>
      <c r="H358" s="180">
        <v>7.3945969222275051E-4</v>
      </c>
      <c r="I358" s="180">
        <v>7.7470388279684329E-4</v>
      </c>
      <c r="J358" s="180">
        <v>9.0633949973445221E-4</v>
      </c>
      <c r="K358" s="180">
        <v>1.1094225673998865E-3</v>
      </c>
      <c r="L358" s="180">
        <v>1.0006982850928254E-3</v>
      </c>
      <c r="M358" s="180">
        <v>1.7073269232421356E-3</v>
      </c>
      <c r="N358" s="180">
        <v>7.6090581351824873E-4</v>
      </c>
      <c r="O358" s="180">
        <v>1.1338883047798758E-3</v>
      </c>
      <c r="P358" s="180">
        <v>7.4857834611503948E-4</v>
      </c>
      <c r="Q358" s="180">
        <v>6.2481040103688149E-4</v>
      </c>
      <c r="R358" s="180">
        <v>5.9347717242683358E-4</v>
      </c>
      <c r="S358" s="180">
        <v>8.7155825849789608E-4</v>
      </c>
      <c r="T358" s="180">
        <v>1.3437205064186324E-3</v>
      </c>
      <c r="U358" s="180">
        <v>9.2330996350035955E-4</v>
      </c>
      <c r="V358" s="180">
        <v>8.0248592661524116E-4</v>
      </c>
      <c r="W358" s="180">
        <v>7.2064842002941051E-4</v>
      </c>
      <c r="X358" s="180">
        <v>9.1647163555960687E-4</v>
      </c>
      <c r="Y358" s="180">
        <v>7.8932636294384688E-4</v>
      </c>
      <c r="Z358" s="180">
        <v>8.3950208317612799E-4</v>
      </c>
      <c r="AA358" s="180">
        <v>2.4076387457302071E-4</v>
      </c>
      <c r="AB358" s="180">
        <v>1.174922395291398E-3</v>
      </c>
      <c r="AC358" s="180">
        <v>7.8676359672877393E-4</v>
      </c>
      <c r="AD358" s="180">
        <v>4.4624886795118808E-4</v>
      </c>
      <c r="AE358" s="180">
        <v>1.0117367356107026E-3</v>
      </c>
      <c r="AF358" s="180">
        <v>7.3214708969514145E-4</v>
      </c>
      <c r="AG358" s="180">
        <v>8.2747273857601913E-4</v>
      </c>
      <c r="AH358" s="180">
        <v>7.1470891411086447E-4</v>
      </c>
      <c r="AI358" s="181">
        <v>7.4627799983375924E-4</v>
      </c>
    </row>
    <row r="359" spans="2:35" x14ac:dyDescent="0.25">
      <c r="B359" s="163" t="str">
        <f>'Market Data'!$B$31</f>
        <v>JPM</v>
      </c>
      <c r="C359" s="160">
        <f>Statistics!$G$33</f>
        <v>1.7183196749963128E-2</v>
      </c>
      <c r="E359" s="168">
        <v>0</v>
      </c>
      <c r="F359" s="85" t="str">
        <v>JPM</v>
      </c>
      <c r="G359" s="179">
        <v>1.2529926248616137E-3</v>
      </c>
      <c r="H359" s="180">
        <v>2.7840355446374721E-3</v>
      </c>
      <c r="I359" s="180">
        <v>1.8054441283061249E-3</v>
      </c>
      <c r="J359" s="180">
        <v>2.011937601179676E-3</v>
      </c>
      <c r="K359" s="180">
        <v>2.0831844183308271E-3</v>
      </c>
      <c r="L359" s="180">
        <v>2.159640132817216E-3</v>
      </c>
      <c r="M359" s="180">
        <v>2.9403656750226037E-3</v>
      </c>
      <c r="N359" s="180">
        <v>2.3150492241015347E-3</v>
      </c>
      <c r="O359" s="180">
        <v>1.9825602222543746E-3</v>
      </c>
      <c r="P359" s="180">
        <v>3.8267678235899111E-3</v>
      </c>
      <c r="Q359" s="180">
        <v>1.4284505514434026E-3</v>
      </c>
      <c r="R359" s="180">
        <v>2.0888390371824788E-3</v>
      </c>
      <c r="S359" s="180">
        <v>1.6338310266769979E-3</v>
      </c>
      <c r="T359" s="180">
        <v>9.2330996350035955E-4</v>
      </c>
      <c r="U359" s="180">
        <v>3.6504820104783621E-3</v>
      </c>
      <c r="V359" s="180">
        <v>6.292727988425526E-4</v>
      </c>
      <c r="W359" s="180">
        <v>1.135373183104091E-3</v>
      </c>
      <c r="X359" s="180">
        <v>1.3229022331511452E-3</v>
      </c>
      <c r="Y359" s="180">
        <v>9.9035410413519649E-4</v>
      </c>
      <c r="Z359" s="180">
        <v>2.1029083027690664E-3</v>
      </c>
      <c r="AA359" s="180">
        <v>6.7839144071882979E-4</v>
      </c>
      <c r="AB359" s="180">
        <v>1.3592270505613203E-3</v>
      </c>
      <c r="AC359" s="180">
        <v>7.2953612857905574E-4</v>
      </c>
      <c r="AD359" s="180">
        <v>1.2617149248905092E-3</v>
      </c>
      <c r="AE359" s="180">
        <v>1.8453743354725578E-3</v>
      </c>
      <c r="AF359" s="180">
        <v>3.9836144643633019E-4</v>
      </c>
      <c r="AG359" s="180">
        <v>1.9463933682734615E-3</v>
      </c>
      <c r="AH359" s="180">
        <v>7.503242005510376E-5</v>
      </c>
      <c r="AI359" s="181">
        <v>1.3958094738143344E-3</v>
      </c>
    </row>
    <row r="360" spans="2:35" x14ac:dyDescent="0.25">
      <c r="B360" s="163" t="str">
        <f>'Market Data'!$B$32</f>
        <v>KO</v>
      </c>
      <c r="C360" s="160">
        <f>Statistics!$G$34</f>
        <v>4.1810541872704362E-3</v>
      </c>
      <c r="E360" s="168">
        <v>6.7483188462791666E-2</v>
      </c>
      <c r="F360" s="85" t="str">
        <v>KO</v>
      </c>
      <c r="G360" s="179">
        <v>9.6129190129553134E-4</v>
      </c>
      <c r="H360" s="180">
        <v>5.6369017954212687E-4</v>
      </c>
      <c r="I360" s="180">
        <v>9.7196182882881919E-4</v>
      </c>
      <c r="J360" s="180">
        <v>6.586205973694774E-4</v>
      </c>
      <c r="K360" s="180">
        <v>1.0904984859812852E-3</v>
      </c>
      <c r="L360" s="180">
        <v>7.7350953916938299E-4</v>
      </c>
      <c r="M360" s="180">
        <v>1.3828838928124146E-3</v>
      </c>
      <c r="N360" s="180">
        <v>7.3157249166013263E-4</v>
      </c>
      <c r="O360" s="180">
        <v>1.0900315820250495E-3</v>
      </c>
      <c r="P360" s="180">
        <v>5.0884399749192373E-4</v>
      </c>
      <c r="Q360" s="180">
        <v>5.5799413673053339E-4</v>
      </c>
      <c r="R360" s="180">
        <v>5.7019303114958723E-4</v>
      </c>
      <c r="S360" s="180">
        <v>1.1107691361801554E-3</v>
      </c>
      <c r="T360" s="180">
        <v>8.0248592661524116E-4</v>
      </c>
      <c r="U360" s="180">
        <v>6.292727988425526E-4</v>
      </c>
      <c r="V360" s="180">
        <v>1.2210270669043683E-3</v>
      </c>
      <c r="W360" s="180">
        <v>7.9000312454904529E-4</v>
      </c>
      <c r="X360" s="180">
        <v>6.5400026561614926E-4</v>
      </c>
      <c r="Y360" s="180">
        <v>5.6925923112739025E-4</v>
      </c>
      <c r="Z360" s="180">
        <v>1.0711085481253278E-3</v>
      </c>
      <c r="AA360" s="180">
        <v>4.3589033448327737E-4</v>
      </c>
      <c r="AB360" s="180">
        <v>6.3614560547018231E-4</v>
      </c>
      <c r="AC360" s="180">
        <v>6.5740070509151668E-4</v>
      </c>
      <c r="AD360" s="180">
        <v>1.2737483924284157E-4</v>
      </c>
      <c r="AE360" s="180">
        <v>5.7087013169956707E-4</v>
      </c>
      <c r="AF360" s="180">
        <v>4.9096142938173941E-4</v>
      </c>
      <c r="AG360" s="180">
        <v>9.4999344105865064E-4</v>
      </c>
      <c r="AH360" s="180">
        <v>6.4703627119224946E-4</v>
      </c>
      <c r="AI360" s="181">
        <v>5.1805651820066112E-4</v>
      </c>
    </row>
    <row r="361" spans="2:35" x14ac:dyDescent="0.25">
      <c r="B361" s="163" t="str">
        <f>'Market Data'!$B$33</f>
        <v>MCD</v>
      </c>
      <c r="C361" s="160">
        <f>Statistics!$G$35</f>
        <v>8.998422120903465E-3</v>
      </c>
      <c r="E361" s="168">
        <v>8.0714957398234505E-2</v>
      </c>
      <c r="F361" s="85" t="str">
        <v>MCD</v>
      </c>
      <c r="G361" s="179">
        <v>4.3723596630614248E-4</v>
      </c>
      <c r="H361" s="180">
        <v>5.9016175595858627E-4</v>
      </c>
      <c r="I361" s="180">
        <v>1.004575731683145E-3</v>
      </c>
      <c r="J361" s="180">
        <v>1.2118483675212872E-3</v>
      </c>
      <c r="K361" s="180">
        <v>8.8656407550750189E-4</v>
      </c>
      <c r="L361" s="180">
        <v>1.2445101608031307E-3</v>
      </c>
      <c r="M361" s="180">
        <v>1.5566945864839937E-3</v>
      </c>
      <c r="N361" s="180">
        <v>1.0434476997331528E-3</v>
      </c>
      <c r="O361" s="180">
        <v>1.4080437366372094E-3</v>
      </c>
      <c r="P361" s="180">
        <v>1.1844149472533348E-3</v>
      </c>
      <c r="Q361" s="180">
        <v>7.381374461617429E-4</v>
      </c>
      <c r="R361" s="180">
        <v>5.4513263389601688E-4</v>
      </c>
      <c r="S361" s="180">
        <v>9.1762089354393737E-4</v>
      </c>
      <c r="T361" s="180">
        <v>7.2064842002941051E-4</v>
      </c>
      <c r="U361" s="180">
        <v>1.135373183104091E-3</v>
      </c>
      <c r="V361" s="180">
        <v>7.9000312454904529E-4</v>
      </c>
      <c r="W361" s="180">
        <v>1.7650690545216805E-3</v>
      </c>
      <c r="X361" s="180">
        <v>7.9590651205676567E-4</v>
      </c>
      <c r="Y361" s="180">
        <v>5.886623345512683E-4</v>
      </c>
      <c r="Z361" s="180">
        <v>1.2284698745461862E-3</v>
      </c>
      <c r="AA361" s="180">
        <v>4.3355644868225306E-4</v>
      </c>
      <c r="AB361" s="180">
        <v>9.4939047744066322E-4</v>
      </c>
      <c r="AC361" s="180">
        <v>4.0611550084338323E-4</v>
      </c>
      <c r="AD361" s="180">
        <v>3.5874031329227935E-4</v>
      </c>
      <c r="AE361" s="180">
        <v>8.7888532505727346E-4</v>
      </c>
      <c r="AF361" s="180">
        <v>6.7734327840461236E-4</v>
      </c>
      <c r="AG361" s="180">
        <v>1.0020182531469391E-3</v>
      </c>
      <c r="AH361" s="180">
        <v>4.237060092283065E-5</v>
      </c>
      <c r="AI361" s="181">
        <v>6.6389606634421081E-4</v>
      </c>
    </row>
    <row r="362" spans="2:35" x14ac:dyDescent="0.25">
      <c r="B362" s="163" t="str">
        <f>'Market Data'!$B$34</f>
        <v>MMM</v>
      </c>
      <c r="C362" s="160">
        <f>Statistics!$G$36</f>
        <v>1.5280500930100561E-2</v>
      </c>
      <c r="E362" s="168">
        <v>0</v>
      </c>
      <c r="F362" s="85" t="str">
        <v>MMM</v>
      </c>
      <c r="G362" s="179">
        <v>1.6042263123932821E-3</v>
      </c>
      <c r="H362" s="180">
        <v>1.3680882736390085E-3</v>
      </c>
      <c r="I362" s="180">
        <v>1.220072170107771E-3</v>
      </c>
      <c r="J362" s="180">
        <v>1.3778500117759705E-3</v>
      </c>
      <c r="K362" s="180">
        <v>1.6594658489014636E-3</v>
      </c>
      <c r="L362" s="180">
        <v>1.3396872809028706E-3</v>
      </c>
      <c r="M362" s="180">
        <v>2.4333011024343194E-3</v>
      </c>
      <c r="N362" s="180">
        <v>1.3935802423237448E-3</v>
      </c>
      <c r="O362" s="180">
        <v>1.6476299492810176E-3</v>
      </c>
      <c r="P362" s="180">
        <v>1.5580261625844892E-3</v>
      </c>
      <c r="Q362" s="180">
        <v>1.0633975936011025E-3</v>
      </c>
      <c r="R362" s="180">
        <v>1.0275296737018624E-3</v>
      </c>
      <c r="S362" s="180">
        <v>1.3291856750406272E-3</v>
      </c>
      <c r="T362" s="180">
        <v>9.1647163555960687E-4</v>
      </c>
      <c r="U362" s="180">
        <v>1.3229022331511452E-3</v>
      </c>
      <c r="V362" s="180">
        <v>6.5400026561614926E-4</v>
      </c>
      <c r="W362" s="180">
        <v>7.9590651205676567E-4</v>
      </c>
      <c r="X362" s="180">
        <v>1.9007159701372343E-3</v>
      </c>
      <c r="Y362" s="180">
        <v>9.3087542856500223E-4</v>
      </c>
      <c r="Z362" s="180">
        <v>9.5021437706372129E-4</v>
      </c>
      <c r="AA362" s="180">
        <v>7.5220949128439868E-4</v>
      </c>
      <c r="AB362" s="180">
        <v>1.1108584905280188E-3</v>
      </c>
      <c r="AC362" s="180">
        <v>7.8023777188204919E-4</v>
      </c>
      <c r="AD362" s="180">
        <v>9.8369986573183495E-4</v>
      </c>
      <c r="AE362" s="180">
        <v>1.8471574472775569E-3</v>
      </c>
      <c r="AF362" s="180">
        <v>5.9539589470078522E-4</v>
      </c>
      <c r="AG362" s="180">
        <v>1.59984129324471E-3</v>
      </c>
      <c r="AH362" s="180">
        <v>4.5051539698961655E-4</v>
      </c>
      <c r="AI362" s="181">
        <v>1.2697174541958882E-3</v>
      </c>
    </row>
    <row r="363" spans="2:35" x14ac:dyDescent="0.25">
      <c r="B363" s="163" t="str">
        <f>'Market Data'!$B$35</f>
        <v>MRK</v>
      </c>
      <c r="C363" s="160">
        <f>Statistics!$G$37</f>
        <v>1.1473476041634185E-2</v>
      </c>
      <c r="E363" s="168">
        <v>2.2144359452158854E-2</v>
      </c>
      <c r="F363" s="85" t="str">
        <v>MRK</v>
      </c>
      <c r="G363" s="179">
        <v>6.6280896407091964E-4</v>
      </c>
      <c r="H363" s="180">
        <v>9.5675499919051471E-4</v>
      </c>
      <c r="I363" s="180">
        <v>1.3506721993334096E-3</v>
      </c>
      <c r="J363" s="180">
        <v>1.6454661341138513E-3</v>
      </c>
      <c r="K363" s="180">
        <v>1.2877752599161352E-3</v>
      </c>
      <c r="L363" s="180">
        <v>1.0548817345930506E-3</v>
      </c>
      <c r="M363" s="180">
        <v>2.1034755337789339E-3</v>
      </c>
      <c r="N363" s="180">
        <v>1.1180874248259017E-3</v>
      </c>
      <c r="O363" s="180">
        <v>7.4080885300837902E-4</v>
      </c>
      <c r="P363" s="180">
        <v>9.5059394038900442E-4</v>
      </c>
      <c r="Q363" s="180">
        <v>7.161428946835201E-4</v>
      </c>
      <c r="R363" s="180">
        <v>1.0097860441379664E-3</v>
      </c>
      <c r="S363" s="180">
        <v>1.2481991200788169E-3</v>
      </c>
      <c r="T363" s="180">
        <v>7.8932636294384688E-4</v>
      </c>
      <c r="U363" s="180">
        <v>9.9035410413519649E-4</v>
      </c>
      <c r="V363" s="180">
        <v>5.6925923112739025E-4</v>
      </c>
      <c r="W363" s="180">
        <v>5.886623345512683E-4</v>
      </c>
      <c r="X363" s="180">
        <v>9.3087542856500223E-4</v>
      </c>
      <c r="Y363" s="180">
        <v>2.5431403633519077E-3</v>
      </c>
      <c r="Z363" s="180">
        <v>1.0039618395335291E-3</v>
      </c>
      <c r="AA363" s="180">
        <v>3.4083858597475385E-4</v>
      </c>
      <c r="AB363" s="180">
        <v>1.3412346285691251E-3</v>
      </c>
      <c r="AC363" s="180">
        <v>3.7529952314904947E-4</v>
      </c>
      <c r="AD363" s="180">
        <v>8.5985137540516086E-4</v>
      </c>
      <c r="AE363" s="180">
        <v>1.4646144344401168E-3</v>
      </c>
      <c r="AF363" s="180">
        <v>3.3006228708408361E-4</v>
      </c>
      <c r="AG363" s="180">
        <v>1.1984054366898813E-3</v>
      </c>
      <c r="AH363" s="180">
        <v>4.389896882024129E-4</v>
      </c>
      <c r="AI363" s="181">
        <v>5.8214330295854532E-4</v>
      </c>
    </row>
    <row r="364" spans="2:35" x14ac:dyDescent="0.25">
      <c r="B364" s="163" t="str">
        <f>'Market Data'!$B$36</f>
        <v>MSFT</v>
      </c>
      <c r="C364" s="160">
        <f>Statistics!$G$38</f>
        <v>2.1777833497491961E-2</v>
      </c>
      <c r="E364" s="168">
        <v>0</v>
      </c>
      <c r="F364" s="85" t="str">
        <v>MSFT</v>
      </c>
      <c r="G364" s="179">
        <v>1.7656054736670385E-3</v>
      </c>
      <c r="H364" s="180">
        <v>1.7453927826798744E-3</v>
      </c>
      <c r="I364" s="180">
        <v>1.4618979219237266E-3</v>
      </c>
      <c r="J364" s="180">
        <v>2.2842322526096018E-3</v>
      </c>
      <c r="K364" s="180">
        <v>2.1511833371391734E-3</v>
      </c>
      <c r="L364" s="180">
        <v>1.921523261676006E-3</v>
      </c>
      <c r="M364" s="180">
        <v>3.4647817866697963E-3</v>
      </c>
      <c r="N364" s="180">
        <v>1.7514488094562146E-3</v>
      </c>
      <c r="O364" s="180">
        <v>2.1782812682115105E-3</v>
      </c>
      <c r="P364" s="180">
        <v>1.9881521509949444E-3</v>
      </c>
      <c r="Q364" s="180">
        <v>1.0017697174583111E-3</v>
      </c>
      <c r="R364" s="180">
        <v>1.4353906099659559E-3</v>
      </c>
      <c r="S364" s="180">
        <v>2.824290151917595E-3</v>
      </c>
      <c r="T364" s="180">
        <v>8.3950208317612799E-4</v>
      </c>
      <c r="U364" s="180">
        <v>2.1029083027690664E-3</v>
      </c>
      <c r="V364" s="180">
        <v>1.0711085481253278E-3</v>
      </c>
      <c r="W364" s="180">
        <v>1.2284698745461862E-3</v>
      </c>
      <c r="X364" s="180">
        <v>9.5021437706372129E-4</v>
      </c>
      <c r="Y364" s="180">
        <v>1.0039618395335291E-3</v>
      </c>
      <c r="Z364" s="180">
        <v>4.5817164894349687E-3</v>
      </c>
      <c r="AA364" s="180">
        <v>9.1111393401995618E-4</v>
      </c>
      <c r="AB364" s="180">
        <v>1.1007292150403058E-3</v>
      </c>
      <c r="AC364" s="180">
        <v>1.0300601718935634E-3</v>
      </c>
      <c r="AD364" s="180">
        <v>2.4058610256342332E-4</v>
      </c>
      <c r="AE364" s="180">
        <v>9.3007091875184366E-4</v>
      </c>
      <c r="AF364" s="180">
        <v>7.4555370224549768E-4</v>
      </c>
      <c r="AG364" s="180">
        <v>1.5294825998788863E-3</v>
      </c>
      <c r="AH364" s="180">
        <v>-3.4970831020819231E-4</v>
      </c>
      <c r="AI364" s="181">
        <v>1.2219742467918569E-3</v>
      </c>
    </row>
    <row r="365" spans="2:35" x14ac:dyDescent="0.25">
      <c r="B365" s="163" t="str">
        <f>'Market Data'!$B$37</f>
        <v>NKE</v>
      </c>
      <c r="C365" s="160">
        <f>Statistics!$G$39</f>
        <v>1.5970247269241938E-2</v>
      </c>
      <c r="E365" s="168">
        <v>0.15344967576717156</v>
      </c>
      <c r="F365" s="85" t="str">
        <v>NKE</v>
      </c>
      <c r="G365" s="179">
        <v>7.4054258425286133E-4</v>
      </c>
      <c r="H365" s="180">
        <v>9.1418204127611028E-4</v>
      </c>
      <c r="I365" s="180">
        <v>1.1825978430535619E-3</v>
      </c>
      <c r="J365" s="180">
        <v>-1.1104731462091626E-4</v>
      </c>
      <c r="K365" s="180">
        <v>7.2136303147440504E-4</v>
      </c>
      <c r="L365" s="180">
        <v>-3.0145919518466895E-4</v>
      </c>
      <c r="M365" s="180">
        <v>1.371253710214986E-3</v>
      </c>
      <c r="N365" s="180">
        <v>1.1713887062549742E-3</v>
      </c>
      <c r="O365" s="180">
        <v>6.8149888740689005E-4</v>
      </c>
      <c r="P365" s="180">
        <v>9.2810945195530823E-4</v>
      </c>
      <c r="Q365" s="180">
        <v>7.3578315539153108E-4</v>
      </c>
      <c r="R365" s="180">
        <v>1.3757321359017424E-4</v>
      </c>
      <c r="S365" s="180">
        <v>5.7515792739731505E-4</v>
      </c>
      <c r="T365" s="180">
        <v>2.4076387457302071E-4</v>
      </c>
      <c r="U365" s="180">
        <v>6.7839144071882979E-4</v>
      </c>
      <c r="V365" s="180">
        <v>4.3589033448327737E-4</v>
      </c>
      <c r="W365" s="180">
        <v>4.3355644868225306E-4</v>
      </c>
      <c r="X365" s="180">
        <v>7.5220949128439868E-4</v>
      </c>
      <c r="Y365" s="180">
        <v>3.4083858597475385E-4</v>
      </c>
      <c r="Z365" s="180">
        <v>9.1111393401995618E-4</v>
      </c>
      <c r="AA365" s="180">
        <v>2.7193308407813446E-3</v>
      </c>
      <c r="AB365" s="180">
        <v>5.6615292191577104E-4</v>
      </c>
      <c r="AC365" s="180">
        <v>3.6538493696828688E-4</v>
      </c>
      <c r="AD365" s="180">
        <v>8.9669180264711685E-5</v>
      </c>
      <c r="AE365" s="180">
        <v>4.9140530374502923E-4</v>
      </c>
      <c r="AF365" s="180">
        <v>1.0278859564771125E-5</v>
      </c>
      <c r="AG365" s="180">
        <v>1.2162400994020978E-3</v>
      </c>
      <c r="AH365" s="180">
        <v>1.3266739677968515E-5</v>
      </c>
      <c r="AI365" s="181">
        <v>-1.9722713194093662E-4</v>
      </c>
    </row>
    <row r="366" spans="2:35" x14ac:dyDescent="0.25">
      <c r="B366" s="163" t="str">
        <f>'Market Data'!$B$38</f>
        <v>PFE</v>
      </c>
      <c r="C366" s="160">
        <f>Statistics!$G$40</f>
        <v>7.6042605716081235E-3</v>
      </c>
      <c r="E366" s="168">
        <v>0</v>
      </c>
      <c r="F366" s="85" t="str">
        <v>PFE</v>
      </c>
      <c r="G366" s="179">
        <v>1.105136574328315E-3</v>
      </c>
      <c r="H366" s="180">
        <v>1.0081234358528435E-3</v>
      </c>
      <c r="I366" s="180">
        <v>1.2950969606515986E-3</v>
      </c>
      <c r="J366" s="180">
        <v>7.9610645869862182E-4</v>
      </c>
      <c r="K366" s="180">
        <v>1.5185012123350332E-3</v>
      </c>
      <c r="L366" s="180">
        <v>1.0966581694716135E-3</v>
      </c>
      <c r="M366" s="180">
        <v>2.2541080192876768E-3</v>
      </c>
      <c r="N366" s="180">
        <v>1.4909638464124207E-3</v>
      </c>
      <c r="O366" s="180">
        <v>1.1596920910434683E-3</v>
      </c>
      <c r="P366" s="180">
        <v>1.2974763649140325E-3</v>
      </c>
      <c r="Q366" s="180">
        <v>8.5234066580948517E-4</v>
      </c>
      <c r="R366" s="180">
        <v>7.9545047293496068E-4</v>
      </c>
      <c r="S366" s="180">
        <v>9.9184976149502301E-4</v>
      </c>
      <c r="T366" s="180">
        <v>1.174922395291398E-3</v>
      </c>
      <c r="U366" s="180">
        <v>1.3592270505613203E-3</v>
      </c>
      <c r="V366" s="180">
        <v>6.3614560547018231E-4</v>
      </c>
      <c r="W366" s="180">
        <v>9.4939047744066322E-4</v>
      </c>
      <c r="X366" s="180">
        <v>1.1108584905280188E-3</v>
      </c>
      <c r="Y366" s="180">
        <v>1.3412346285691251E-3</v>
      </c>
      <c r="Z366" s="180">
        <v>1.1007292150403058E-3</v>
      </c>
      <c r="AA366" s="180">
        <v>5.6615292191577104E-4</v>
      </c>
      <c r="AB366" s="180">
        <v>2.4354805215546461E-3</v>
      </c>
      <c r="AC366" s="180">
        <v>7.7698221980775051E-4</v>
      </c>
      <c r="AD366" s="180">
        <v>7.5423895885674786E-4</v>
      </c>
      <c r="AE366" s="180">
        <v>1.3524566727664237E-3</v>
      </c>
      <c r="AF366" s="180">
        <v>6.9733723903610885E-4</v>
      </c>
      <c r="AG366" s="180">
        <v>1.6142857385330945E-3</v>
      </c>
      <c r="AH366" s="180">
        <v>6.1756439897017149E-4</v>
      </c>
      <c r="AI366" s="181">
        <v>8.1835922434987771E-4</v>
      </c>
    </row>
    <row r="367" spans="2:35" x14ac:dyDescent="0.25">
      <c r="B367" s="163" t="str">
        <f>'Market Data'!$B$39</f>
        <v>PG</v>
      </c>
      <c r="C367" s="160">
        <f>Statistics!$G$41</f>
        <v>6.7668222923833359E-3</v>
      </c>
      <c r="E367" s="168">
        <v>0.116350763416577</v>
      </c>
      <c r="F367" s="85" t="str">
        <v>PG</v>
      </c>
      <c r="G367" s="179">
        <v>1.0336127768185608E-3</v>
      </c>
      <c r="H367" s="180">
        <v>4.150551569421239E-4</v>
      </c>
      <c r="I367" s="180">
        <v>5.997217417536032E-4</v>
      </c>
      <c r="J367" s="180">
        <v>4.9254664842985144E-4</v>
      </c>
      <c r="K367" s="180">
        <v>1.0690588122897406E-3</v>
      </c>
      <c r="L367" s="180">
        <v>8.4385070363078498E-4</v>
      </c>
      <c r="M367" s="180">
        <v>1.1783213677355128E-3</v>
      </c>
      <c r="N367" s="180">
        <v>6.6920552953337459E-4</v>
      </c>
      <c r="O367" s="180">
        <v>8.669689440805547E-4</v>
      </c>
      <c r="P367" s="180">
        <v>6.8796273406052837E-4</v>
      </c>
      <c r="Q367" s="180">
        <v>4.7474349038820928E-4</v>
      </c>
      <c r="R367" s="180">
        <v>5.5361049131124631E-4</v>
      </c>
      <c r="S367" s="180">
        <v>7.9168442412031782E-4</v>
      </c>
      <c r="T367" s="180">
        <v>7.8676359672877393E-4</v>
      </c>
      <c r="U367" s="180">
        <v>7.2953612857905574E-4</v>
      </c>
      <c r="V367" s="180">
        <v>6.5740070509151668E-4</v>
      </c>
      <c r="W367" s="180">
        <v>4.0611550084338323E-4</v>
      </c>
      <c r="X367" s="180">
        <v>7.8023777188204919E-4</v>
      </c>
      <c r="Y367" s="180">
        <v>3.7529952314904947E-4</v>
      </c>
      <c r="Z367" s="180">
        <v>1.0300601718935634E-3</v>
      </c>
      <c r="AA367" s="180">
        <v>3.6538493696828688E-4</v>
      </c>
      <c r="AB367" s="180">
        <v>7.7698221980775051E-4</v>
      </c>
      <c r="AC367" s="180">
        <v>1.4111752678343567E-3</v>
      </c>
      <c r="AD367" s="180">
        <v>1.723275330802805E-4</v>
      </c>
      <c r="AE367" s="180">
        <v>6.4008748533685535E-4</v>
      </c>
      <c r="AF367" s="180">
        <v>2.3535220881827705E-4</v>
      </c>
      <c r="AG367" s="180">
        <v>9.2172519542926422E-4</v>
      </c>
      <c r="AH367" s="180">
        <v>7.2490049760504278E-4</v>
      </c>
      <c r="AI367" s="181">
        <v>6.1092932367000222E-4</v>
      </c>
    </row>
    <row r="368" spans="2:35" x14ac:dyDescent="0.25">
      <c r="B368" s="163" t="str">
        <f>'Market Data'!$B$40</f>
        <v>UNH</v>
      </c>
      <c r="C368" s="160">
        <f>Statistics!$G$42</f>
        <v>2.4695057092687361E-2</v>
      </c>
      <c r="E368" s="168">
        <v>0.1401925169213486</v>
      </c>
      <c r="F368" s="85" t="str">
        <v>UNH</v>
      </c>
      <c r="G368" s="179">
        <v>5.5673881663560775E-4</v>
      </c>
      <c r="H368" s="180">
        <v>9.035040942327959E-4</v>
      </c>
      <c r="I368" s="180">
        <v>6.5863568330466196E-4</v>
      </c>
      <c r="J368" s="180">
        <v>7.8373416165496384E-4</v>
      </c>
      <c r="K368" s="180">
        <v>1.0321561899434074E-3</v>
      </c>
      <c r="L368" s="180">
        <v>8.9699068571536217E-4</v>
      </c>
      <c r="M368" s="180">
        <v>1.3915459916452729E-3</v>
      </c>
      <c r="N368" s="180">
        <v>9.9320622386439117E-4</v>
      </c>
      <c r="O368" s="180">
        <v>6.9406421327386882E-4</v>
      </c>
      <c r="P368" s="180">
        <v>1.248419321363809E-3</v>
      </c>
      <c r="Q368" s="180">
        <v>6.4915062582396636E-4</v>
      </c>
      <c r="R368" s="180">
        <v>8.8298395118505178E-4</v>
      </c>
      <c r="S368" s="180">
        <v>5.6633014876153942E-4</v>
      </c>
      <c r="T368" s="180">
        <v>4.4624886795118808E-4</v>
      </c>
      <c r="U368" s="180">
        <v>1.2617149248905092E-3</v>
      </c>
      <c r="V368" s="180">
        <v>1.2737483924284157E-4</v>
      </c>
      <c r="W368" s="180">
        <v>3.5874031329227935E-4</v>
      </c>
      <c r="X368" s="180">
        <v>9.8369986573183495E-4</v>
      </c>
      <c r="Y368" s="180">
        <v>8.5985137540516086E-4</v>
      </c>
      <c r="Z368" s="180">
        <v>2.4058610256342332E-4</v>
      </c>
      <c r="AA368" s="180">
        <v>8.9669180264711685E-5</v>
      </c>
      <c r="AB368" s="180">
        <v>7.5423895885674786E-4</v>
      </c>
      <c r="AC368" s="180">
        <v>1.723275330802805E-4</v>
      </c>
      <c r="AD368" s="180">
        <v>1.9588021355587989E-3</v>
      </c>
      <c r="AE368" s="180">
        <v>1.3013762269017E-3</v>
      </c>
      <c r="AF368" s="180">
        <v>4.3562344006968111E-4</v>
      </c>
      <c r="AG368" s="180">
        <v>6.7255745531353401E-4</v>
      </c>
      <c r="AH368" s="180">
        <v>2.5472583633253342E-4</v>
      </c>
      <c r="AI368" s="181">
        <v>7.6037739981613735E-4</v>
      </c>
    </row>
    <row r="369" spans="2:35" x14ac:dyDescent="0.25">
      <c r="B369" s="163" t="str">
        <f>'Market Data'!$B$41</f>
        <v>UTX</v>
      </c>
      <c r="C369" s="160">
        <f>Statistics!$G$43</f>
        <v>7.3861111519648165E-3</v>
      </c>
      <c r="E369" s="168">
        <v>0</v>
      </c>
      <c r="F369" s="85" t="str">
        <v>UTX</v>
      </c>
      <c r="G369" s="179">
        <v>1.2367738317379871E-3</v>
      </c>
      <c r="H369" s="180">
        <v>1.9679940702890687E-3</v>
      </c>
      <c r="I369" s="180">
        <v>1.846395156096473E-3</v>
      </c>
      <c r="J369" s="180">
        <v>2.1924453554447642E-3</v>
      </c>
      <c r="K369" s="180">
        <v>2.0848208418056797E-3</v>
      </c>
      <c r="L369" s="180">
        <v>1.7655731333339048E-3</v>
      </c>
      <c r="M369" s="180">
        <v>3.4844332298577191E-3</v>
      </c>
      <c r="N369" s="180">
        <v>1.6618009644053405E-3</v>
      </c>
      <c r="O369" s="180">
        <v>1.9210155408337607E-3</v>
      </c>
      <c r="P369" s="180">
        <v>2.1674424403236793E-3</v>
      </c>
      <c r="Q369" s="180">
        <v>1.2386809813748902E-3</v>
      </c>
      <c r="R369" s="180">
        <v>1.5169272523521361E-3</v>
      </c>
      <c r="S369" s="180">
        <v>1.2132957377483657E-3</v>
      </c>
      <c r="T369" s="180">
        <v>1.0117367356107026E-3</v>
      </c>
      <c r="U369" s="180">
        <v>1.8453743354725578E-3</v>
      </c>
      <c r="V369" s="180">
        <v>5.7087013169956707E-4</v>
      </c>
      <c r="W369" s="180">
        <v>8.7888532505727346E-4</v>
      </c>
      <c r="X369" s="180">
        <v>1.8471574472775569E-3</v>
      </c>
      <c r="Y369" s="180">
        <v>1.4646144344401168E-3</v>
      </c>
      <c r="Z369" s="180">
        <v>9.3007091875184366E-4</v>
      </c>
      <c r="AA369" s="180">
        <v>4.9140530374502923E-4</v>
      </c>
      <c r="AB369" s="180">
        <v>1.3524566727664237E-3</v>
      </c>
      <c r="AC369" s="180">
        <v>6.4008748533685535E-4</v>
      </c>
      <c r="AD369" s="180">
        <v>1.3013762269017E-3</v>
      </c>
      <c r="AE369" s="180">
        <v>3.1502830070701034E-3</v>
      </c>
      <c r="AF369" s="180">
        <v>3.2120511051046262E-4</v>
      </c>
      <c r="AG369" s="180">
        <v>1.6964262161404888E-3</v>
      </c>
      <c r="AH369" s="180">
        <v>2.8814451862251201E-4</v>
      </c>
      <c r="AI369" s="181">
        <v>1.3259012920786922E-3</v>
      </c>
    </row>
    <row r="370" spans="2:35" x14ac:dyDescent="0.25">
      <c r="B370" s="163" t="str">
        <f>'Market Data'!$B$42</f>
        <v>VZ</v>
      </c>
      <c r="C370" s="160">
        <f>Statistics!$G$44</f>
        <v>5.0086030759070753E-3</v>
      </c>
      <c r="E370" s="168">
        <v>0.11079757204891995</v>
      </c>
      <c r="F370" s="85" t="str">
        <v>VZ</v>
      </c>
      <c r="G370" s="179">
        <v>1.8457278448214234E-4</v>
      </c>
      <c r="H370" s="180">
        <v>-7.7366109832012643E-5</v>
      </c>
      <c r="I370" s="180">
        <v>3.7914592931386057E-4</v>
      </c>
      <c r="J370" s="180">
        <v>6.8929109799853135E-4</v>
      </c>
      <c r="K370" s="180">
        <v>5.9888719676582812E-4</v>
      </c>
      <c r="L370" s="180">
        <v>7.5916190680994219E-4</v>
      </c>
      <c r="M370" s="180">
        <v>9.2727826439514978E-4</v>
      </c>
      <c r="N370" s="180">
        <v>5.8624704841600517E-4</v>
      </c>
      <c r="O370" s="180">
        <v>1.0256274934399997E-3</v>
      </c>
      <c r="P370" s="180">
        <v>3.7523862948950627E-4</v>
      </c>
      <c r="Q370" s="180">
        <v>1.1189073531181803E-4</v>
      </c>
      <c r="R370" s="180">
        <v>2.033685246020378E-4</v>
      </c>
      <c r="S370" s="180">
        <v>8.2166255763751334E-4</v>
      </c>
      <c r="T370" s="180">
        <v>7.3214708969514145E-4</v>
      </c>
      <c r="U370" s="180">
        <v>3.9836144643633019E-4</v>
      </c>
      <c r="V370" s="180">
        <v>4.9096142938173941E-4</v>
      </c>
      <c r="W370" s="180">
        <v>6.7734327840461236E-4</v>
      </c>
      <c r="X370" s="180">
        <v>5.9539589470078522E-4</v>
      </c>
      <c r="Y370" s="180">
        <v>3.3006228708408361E-4</v>
      </c>
      <c r="Z370" s="180">
        <v>7.4555370224549768E-4</v>
      </c>
      <c r="AA370" s="180">
        <v>1.0278859564771125E-5</v>
      </c>
      <c r="AB370" s="180">
        <v>6.9733723903610885E-4</v>
      </c>
      <c r="AC370" s="180">
        <v>2.3535220881827705E-4</v>
      </c>
      <c r="AD370" s="180">
        <v>4.3562344006968111E-4</v>
      </c>
      <c r="AE370" s="180">
        <v>3.2120511051046262E-4</v>
      </c>
      <c r="AF370" s="180">
        <v>2.0420562729853461E-3</v>
      </c>
      <c r="AG370" s="180">
        <v>3.5270826394507459E-4</v>
      </c>
      <c r="AH370" s="180">
        <v>4.5696587310639262E-4</v>
      </c>
      <c r="AI370" s="181">
        <v>6.4524949399266879E-4</v>
      </c>
    </row>
    <row r="371" spans="2:35" x14ac:dyDescent="0.25">
      <c r="B371" s="163" t="str">
        <f>'Market Data'!$B$43</f>
        <v>V</v>
      </c>
      <c r="C371" s="160">
        <f>Statistics!$G$45</f>
        <v>1.7947618128132319E-2</v>
      </c>
      <c r="E371" s="168">
        <v>0</v>
      </c>
      <c r="F371" s="85" t="str">
        <v>V</v>
      </c>
      <c r="G371" s="179">
        <v>1.5697677901095443E-3</v>
      </c>
      <c r="H371" s="180">
        <v>2.1563583115517065E-3</v>
      </c>
      <c r="I371" s="180">
        <v>2.2475777063178958E-3</v>
      </c>
      <c r="J371" s="180">
        <v>1.4624027030174886E-3</v>
      </c>
      <c r="K371" s="180">
        <v>2.8598074505702059E-3</v>
      </c>
      <c r="L371" s="180">
        <v>9.2897312946466114E-4</v>
      </c>
      <c r="M371" s="180">
        <v>3.0677861856869904E-3</v>
      </c>
      <c r="N371" s="180">
        <v>2.2204011828610088E-3</v>
      </c>
      <c r="O371" s="180">
        <v>1.7646874198991678E-3</v>
      </c>
      <c r="P371" s="180">
        <v>2.0541307067505868E-3</v>
      </c>
      <c r="Q371" s="180">
        <v>1.2055891827737501E-3</v>
      </c>
      <c r="R371" s="180">
        <v>1.2306885914741903E-3</v>
      </c>
      <c r="S371" s="180">
        <v>1.8678530672680304E-3</v>
      </c>
      <c r="T371" s="180">
        <v>8.2747273857601913E-4</v>
      </c>
      <c r="U371" s="180">
        <v>1.9463933682734615E-3</v>
      </c>
      <c r="V371" s="180">
        <v>9.4999344105865064E-4</v>
      </c>
      <c r="W371" s="180">
        <v>1.0020182531469391E-3</v>
      </c>
      <c r="X371" s="180">
        <v>1.59984129324471E-3</v>
      </c>
      <c r="Y371" s="180">
        <v>1.1984054366898813E-3</v>
      </c>
      <c r="Z371" s="180">
        <v>1.5294825998788863E-3</v>
      </c>
      <c r="AA371" s="180">
        <v>1.2162400994020978E-3</v>
      </c>
      <c r="AB371" s="180">
        <v>1.6142857385330945E-3</v>
      </c>
      <c r="AC371" s="180">
        <v>9.2172519542926422E-4</v>
      </c>
      <c r="AD371" s="180">
        <v>6.7255745531353401E-4</v>
      </c>
      <c r="AE371" s="180">
        <v>1.6964262161404888E-3</v>
      </c>
      <c r="AF371" s="180">
        <v>3.5270826394507459E-4</v>
      </c>
      <c r="AG371" s="180">
        <v>3.6944718915923875E-3</v>
      </c>
      <c r="AH371" s="180">
        <v>2.1280259291490004E-4</v>
      </c>
      <c r="AI371" s="181">
        <v>9.4116112769672574E-4</v>
      </c>
    </row>
    <row r="372" spans="2:35" x14ac:dyDescent="0.25">
      <c r="B372" s="163" t="str">
        <f>'Market Data'!$B$44</f>
        <v>WMT</v>
      </c>
      <c r="C372" s="160">
        <f>Statistics!$G$46</f>
        <v>1.8437214178450567E-3</v>
      </c>
      <c r="E372" s="168">
        <v>0.15914772786928819</v>
      </c>
      <c r="F372" s="85" t="str">
        <v>WMT</v>
      </c>
      <c r="G372" s="179">
        <v>5.7975796375205426E-4</v>
      </c>
      <c r="H372" s="180">
        <v>2.6973274792062105E-5</v>
      </c>
      <c r="I372" s="180">
        <v>1.7979190170774528E-4</v>
      </c>
      <c r="J372" s="180">
        <v>-2.1581932882750213E-4</v>
      </c>
      <c r="K372" s="180">
        <v>3.2563207166723412E-4</v>
      </c>
      <c r="L372" s="180">
        <v>1.437380584121094E-4</v>
      </c>
      <c r="M372" s="180">
        <v>-2.3301122426120984E-5</v>
      </c>
      <c r="N372" s="180">
        <v>-1.1672694641114529E-4</v>
      </c>
      <c r="O372" s="180">
        <v>3.1986346053900631E-5</v>
      </c>
      <c r="P372" s="180">
        <v>-5.4295264980806504E-5</v>
      </c>
      <c r="Q372" s="180">
        <v>1.9815526434870993E-4</v>
      </c>
      <c r="R372" s="180">
        <v>3.7610030291999273E-4</v>
      </c>
      <c r="S372" s="180">
        <v>-1.8556188989019865E-5</v>
      </c>
      <c r="T372" s="180">
        <v>7.1470891411086447E-4</v>
      </c>
      <c r="U372" s="180">
        <v>7.503242005510376E-5</v>
      </c>
      <c r="V372" s="180">
        <v>6.4703627119224946E-4</v>
      </c>
      <c r="W372" s="180">
        <v>4.237060092283065E-5</v>
      </c>
      <c r="X372" s="180">
        <v>4.5051539698961655E-4</v>
      </c>
      <c r="Y372" s="180">
        <v>4.389896882024129E-4</v>
      </c>
      <c r="Z372" s="180">
        <v>-3.4970831020819231E-4</v>
      </c>
      <c r="AA372" s="180">
        <v>1.3266739677968515E-5</v>
      </c>
      <c r="AB372" s="180">
        <v>6.1756439897017149E-4</v>
      </c>
      <c r="AC372" s="180">
        <v>7.2490049760504278E-4</v>
      </c>
      <c r="AD372" s="180">
        <v>2.5472583633253342E-4</v>
      </c>
      <c r="AE372" s="180">
        <v>2.8814451862251201E-4</v>
      </c>
      <c r="AF372" s="180">
        <v>4.5696587310639262E-4</v>
      </c>
      <c r="AG372" s="180">
        <v>2.1280259291490004E-4</v>
      </c>
      <c r="AH372" s="180">
        <v>1.9253008332035728E-3</v>
      </c>
      <c r="AI372" s="181">
        <v>9.9417778748729687E-5</v>
      </c>
    </row>
    <row r="373" spans="2:35" x14ac:dyDescent="0.25">
      <c r="B373" s="164" t="str">
        <f>'Market Data'!$B$45</f>
        <v>XOM</v>
      </c>
      <c r="C373" s="165">
        <f>Statistics!$G$47</f>
        <v>1.7101166353118678E-3</v>
      </c>
      <c r="E373" s="169">
        <v>0.10426621313982556</v>
      </c>
      <c r="F373" s="86" t="str">
        <v>XOM</v>
      </c>
      <c r="G373" s="179">
        <v>8.3126780280069973E-4</v>
      </c>
      <c r="H373" s="180">
        <v>9.0240454872836753E-4</v>
      </c>
      <c r="I373" s="180">
        <v>5.5785917505375118E-4</v>
      </c>
      <c r="J373" s="180">
        <v>1.368945659107327E-3</v>
      </c>
      <c r="K373" s="180">
        <v>1.3701802479257339E-3</v>
      </c>
      <c r="L373" s="180">
        <v>1.9286286807754067E-3</v>
      </c>
      <c r="M373" s="180">
        <v>2.1182301102402332E-3</v>
      </c>
      <c r="N373" s="180">
        <v>1.3292278052638991E-3</v>
      </c>
      <c r="O373" s="180">
        <v>1.6264073394302158E-3</v>
      </c>
      <c r="P373" s="180">
        <v>1.4387650786059658E-3</v>
      </c>
      <c r="Q373" s="180">
        <v>5.7016164369997474E-4</v>
      </c>
      <c r="R373" s="180">
        <v>1.0970123689928199E-3</v>
      </c>
      <c r="S373" s="180">
        <v>1.0791409093812321E-3</v>
      </c>
      <c r="T373" s="180">
        <v>7.4627799983375924E-4</v>
      </c>
      <c r="U373" s="180">
        <v>1.3958094738143344E-3</v>
      </c>
      <c r="V373" s="180">
        <v>5.1805651820066112E-4</v>
      </c>
      <c r="W373" s="180">
        <v>6.6389606634421081E-4</v>
      </c>
      <c r="X373" s="180">
        <v>1.2697174541958882E-3</v>
      </c>
      <c r="Y373" s="180">
        <v>5.8214330295854532E-4</v>
      </c>
      <c r="Z373" s="180">
        <v>1.2219742467918569E-3</v>
      </c>
      <c r="AA373" s="180">
        <v>-1.9722713194093662E-4</v>
      </c>
      <c r="AB373" s="180">
        <v>8.1835922434987771E-4</v>
      </c>
      <c r="AC373" s="180">
        <v>6.1092932367000222E-4</v>
      </c>
      <c r="AD373" s="180">
        <v>7.6037739981613735E-4</v>
      </c>
      <c r="AE373" s="180">
        <v>1.3259012920786922E-3</v>
      </c>
      <c r="AF373" s="180">
        <v>6.4524949399266879E-4</v>
      </c>
      <c r="AG373" s="180">
        <v>9.4116112769672574E-4</v>
      </c>
      <c r="AH373" s="180">
        <v>9.9417778748729687E-5</v>
      </c>
      <c r="AI373" s="181">
        <v>1.845802781732033E-3</v>
      </c>
    </row>
    <row r="374" spans="2:35" x14ac:dyDescent="0.25">
      <c r="B374" s="3"/>
      <c r="C374" s="3"/>
      <c r="D374" s="3"/>
      <c r="E374" s="182">
        <f>SUM(E345:E373)</f>
        <v>1.0000000000000002</v>
      </c>
      <c r="F374" s="3"/>
      <c r="G374" s="184">
        <f>_xll.SumProduct2(TR6_PORTFOLIO_WEIGHTS,G345:G373)*G343</f>
        <v>0</v>
      </c>
      <c r="H374" s="185">
        <f>_xll.SumProduct2(TR6_PORTFOLIO_WEIGHTS,H345:H373)*H343</f>
        <v>0</v>
      </c>
      <c r="I374" s="185">
        <f>_xll.SumProduct2(TR6_PORTFOLIO_WEIGHTS,I345:I373)*I343</f>
        <v>0</v>
      </c>
      <c r="J374" s="185">
        <f>_xll.SumProduct2(TR6_PORTFOLIO_WEIGHTS,J345:J373)*J343</f>
        <v>0</v>
      </c>
      <c r="K374" s="185">
        <f>_xll.SumProduct2(TR6_PORTFOLIO_WEIGHTS,K345:K373)*K343</f>
        <v>0</v>
      </c>
      <c r="L374" s="185">
        <f>_xll.SumProduct2(TR6_PORTFOLIO_WEIGHTS,L345:L373)*L343</f>
        <v>0</v>
      </c>
      <c r="M374" s="185">
        <f>_xll.SumProduct2(TR6_PORTFOLIO_WEIGHTS,M345:M373)*M343</f>
        <v>0</v>
      </c>
      <c r="N374" s="185">
        <f>_xll.SumProduct2(TR6_PORTFOLIO_WEIGHTS,N345:N373)*N343</f>
        <v>0</v>
      </c>
      <c r="O374" s="185">
        <f>_xll.SumProduct2(TR6_PORTFOLIO_WEIGHTS,O345:O373)*O343</f>
        <v>0</v>
      </c>
      <c r="P374" s="185">
        <f>_xll.SumProduct2(TR6_PORTFOLIO_WEIGHTS,P345:P373)*P343</f>
        <v>0</v>
      </c>
      <c r="Q374" s="185">
        <f>_xll.SumProduct2(TR6_PORTFOLIO_WEIGHTS,Q345:Q373)*Q343</f>
        <v>2.5202791867911504E-5</v>
      </c>
      <c r="R374" s="185">
        <f>_xll.SumProduct2(TR6_PORTFOLIO_WEIGHTS,R345:R373)*R343</f>
        <v>2.9021822908254394E-7</v>
      </c>
      <c r="S374" s="185">
        <f>_xll.SumProduct2(TR6_PORTFOLIO_WEIGHTS,S345:S373)*S343</f>
        <v>0</v>
      </c>
      <c r="T374" s="185">
        <f>_xll.SumProduct2(TR6_PORTFOLIO_WEIGHTS,T345:T373)*T343</f>
        <v>0</v>
      </c>
      <c r="U374" s="185">
        <f>_xll.SumProduct2(TR6_PORTFOLIO_WEIGHTS,U345:U373)*U343</f>
        <v>0</v>
      </c>
      <c r="V374" s="185">
        <f>_xll.SumProduct2(TR6_PORTFOLIO_WEIGHTS,V345:V373)*V343</f>
        <v>3.7571902018904939E-5</v>
      </c>
      <c r="W374" s="185">
        <f>_xll.SumProduct2(TR6_PORTFOLIO_WEIGHTS,W345:W373)*W343</f>
        <v>4.4986584996961137E-5</v>
      </c>
      <c r="X374" s="185">
        <f>_xll.SumProduct2(TR6_PORTFOLIO_WEIGHTS,X345:X373)*X343</f>
        <v>0</v>
      </c>
      <c r="Y374" s="185">
        <f>_xll.SumProduct2(TR6_PORTFOLIO_WEIGHTS,Y345:Y373)*Y343</f>
        <v>1.2369726479237541E-5</v>
      </c>
      <c r="Z374" s="185">
        <f>_xll.SumProduct2(TR6_PORTFOLIO_WEIGHTS,Z345:Z373)*Z343</f>
        <v>0</v>
      </c>
      <c r="AA374" s="185">
        <f>_xll.SumProduct2(TR6_PORTFOLIO_WEIGHTS,AA345:AA373)*AA343</f>
        <v>8.5953029732701864E-5</v>
      </c>
      <c r="AB374" s="185">
        <f>_xll.SumProduct2(TR6_PORTFOLIO_WEIGHTS,AB345:AB373)*AB343</f>
        <v>0</v>
      </c>
      <c r="AC374" s="185">
        <f>_xll.SumProduct2(TR6_PORTFOLIO_WEIGHTS,AC345:AC373)*AC343</f>
        <v>6.4764816356394816E-5</v>
      </c>
      <c r="AD374" s="185">
        <f>_xll.SumProduct2(TR6_PORTFOLIO_WEIGHTS,AD345:AD373)*AD343</f>
        <v>7.8890078153831075E-5</v>
      </c>
      <c r="AE374" s="185">
        <f>_xll.SumProduct2(TR6_PORTFOLIO_WEIGHTS,AE345:AE373)*AE343</f>
        <v>0</v>
      </c>
      <c r="AF374" s="185">
        <f>_xll.SumProduct2(TR6_PORTFOLIO_WEIGHTS,AF345:AF373)*AF343</f>
        <v>6.1662789198914261E-5</v>
      </c>
      <c r="AG374" s="185">
        <f>_xll.SumProduct2(TR6_PORTFOLIO_WEIGHTS,AG345:AG373)*AG343</f>
        <v>0</v>
      </c>
      <c r="AH374" s="185">
        <f>_xll.SumProduct2(TR6_PORTFOLIO_WEIGHTS,AH345:AH373)*AH343</f>
        <v>8.839034209536412E-5</v>
      </c>
      <c r="AI374" s="189">
        <f>_xll.SumProduct2(TR6_PORTFOLIO_WEIGHTS,AI345:AI373)*AI343</f>
        <v>5.7848445339345742E-5</v>
      </c>
    </row>
    <row r="375" spans="2:35" x14ac:dyDescent="0.25">
      <c r="C375" s="5"/>
      <c r="E375" s="5"/>
      <c r="L375" s="6"/>
      <c r="Q375" s="6"/>
      <c r="T375" s="6"/>
      <c r="U375" s="6"/>
      <c r="V375" s="6"/>
      <c r="W375" s="6"/>
      <c r="X375" s="6"/>
      <c r="Y375" s="6"/>
      <c r="AA375" s="6"/>
      <c r="AB375" s="6"/>
      <c r="AC375" s="6"/>
      <c r="AD375" s="6"/>
      <c r="AE375" s="6"/>
      <c r="AF375" s="6"/>
      <c r="AG375" s="6"/>
      <c r="AH375" s="6"/>
      <c r="AI375" s="6"/>
    </row>
    <row r="376" spans="2:35" ht="20.25" thickBot="1" x14ac:dyDescent="0.35">
      <c r="B376" s="153" t="str">
        <f>ROUND(TR7_PORTFOLIO_TARGET_RETURN*100, LABEL_ROUNDING) &amp; "% Target Return Portfolio (TR7)"</f>
        <v>1.143% Target Return Portfolio (TR7)</v>
      </c>
      <c r="C376" s="153"/>
      <c r="D376" s="153"/>
      <c r="E376" s="154"/>
      <c r="F376" s="153"/>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row>
    <row r="377" spans="2:35" ht="15.75" thickTop="1" x14ac:dyDescent="0.25">
      <c r="B377" s="156" t="s">
        <v>70</v>
      </c>
      <c r="C377" s="159">
        <f>TR7_PORTFOLIO_TARGET_RETURN</f>
        <v>1.1432013947529998E-2</v>
      </c>
    </row>
    <row r="378" spans="2:35" x14ac:dyDescent="0.25">
      <c r="B378" s="157" t="s">
        <v>60</v>
      </c>
      <c r="C378" s="160">
        <f>_xll.SumProduct2(C383:C411,E383:E411)-RISK_FREE_RATE</f>
        <v>1.1432543897086898E-2</v>
      </c>
    </row>
    <row r="379" spans="2:35" x14ac:dyDescent="0.25">
      <c r="B379" s="157" t="s">
        <v>62</v>
      </c>
      <c r="C379" s="160">
        <f>SQRT(SUM(G412:AI412))</f>
        <v>2.3814409336992921E-2</v>
      </c>
    </row>
    <row r="380" spans="2:35" x14ac:dyDescent="0.25">
      <c r="B380" s="158" t="s">
        <v>103</v>
      </c>
      <c r="C380" s="161" t="str">
        <f>_xll.TimeSeries.CovarianceMatrixCalculator.apply(COVARIANCE_MATRIX_CALCULATOR,'Efficient Frontier'!B383:B411,Statistics!$F$19:$F$47)</f>
        <v>»LabelledMatrix-16705291694770987824</v>
      </c>
      <c r="D380" t="s">
        <v>77</v>
      </c>
    </row>
    <row r="381" spans="2:35" x14ac:dyDescent="0.25">
      <c r="F381" s="111" t="s">
        <v>69</v>
      </c>
      <c r="G381" s="170">
        <f t="array" ref="G381:AI381">TRANSPOSE(E383:E411)</f>
        <v>0</v>
      </c>
      <c r="H381" s="171">
        <v>0</v>
      </c>
      <c r="I381" s="171">
        <v>0</v>
      </c>
      <c r="J381" s="171">
        <v>0</v>
      </c>
      <c r="K381" s="171">
        <v>0</v>
      </c>
      <c r="L381" s="171">
        <v>0</v>
      </c>
      <c r="M381" s="171">
        <v>0</v>
      </c>
      <c r="N381" s="171">
        <v>0</v>
      </c>
      <c r="O381" s="171">
        <v>0</v>
      </c>
      <c r="P381" s="171">
        <v>0</v>
      </c>
      <c r="Q381" s="171">
        <v>6.7134220107278472E-2</v>
      </c>
      <c r="R381" s="171">
        <v>0</v>
      </c>
      <c r="S381" s="171">
        <v>0</v>
      </c>
      <c r="T381" s="171">
        <v>0</v>
      </c>
      <c r="U381" s="171">
        <v>0</v>
      </c>
      <c r="V381" s="171">
        <v>6.0882583661481728E-2</v>
      </c>
      <c r="W381" s="171">
        <v>7.9053042197518991E-2</v>
      </c>
      <c r="X381" s="171">
        <v>0</v>
      </c>
      <c r="Y381" s="171">
        <v>1.6725738885566426E-2</v>
      </c>
      <c r="Z381" s="171">
        <v>0</v>
      </c>
      <c r="AA381" s="171">
        <v>0.1528365080424256</v>
      </c>
      <c r="AB381" s="171">
        <v>0</v>
      </c>
      <c r="AC381" s="171">
        <v>0.13522767311821959</v>
      </c>
      <c r="AD381" s="171">
        <v>0.19604792577690516</v>
      </c>
      <c r="AE381" s="171">
        <v>0</v>
      </c>
      <c r="AF381" s="171">
        <v>0.11015381298355019</v>
      </c>
      <c r="AG381" s="171">
        <v>0</v>
      </c>
      <c r="AH381" s="171">
        <v>0.12852667642417809</v>
      </c>
      <c r="AI381" s="172">
        <v>5.3411818802875669E-2</v>
      </c>
    </row>
    <row r="382" spans="2:35" x14ac:dyDescent="0.25">
      <c r="C382" s="111" t="s">
        <v>63</v>
      </c>
      <c r="E382" s="89" t="s">
        <v>69</v>
      </c>
      <c r="F382" s="166" t="str">
        <f t="array" ref="F382:AI411">_xll.Matrix.ExpandAsArray(C380)</f>
        <v/>
      </c>
      <c r="G382" s="173" t="str">
        <v>AAPL</v>
      </c>
      <c r="H382" s="174" t="str">
        <v>AXP</v>
      </c>
      <c r="I382" s="174" t="str">
        <v>BA</v>
      </c>
      <c r="J382" s="174" t="str">
        <v>CAT</v>
      </c>
      <c r="K382" s="174" t="str">
        <v>CSCO</v>
      </c>
      <c r="L382" s="174" t="str">
        <v>CVX</v>
      </c>
      <c r="M382" s="174" t="str">
        <v>DD</v>
      </c>
      <c r="N382" s="174" t="str">
        <v>DIS</v>
      </c>
      <c r="O382" s="174" t="str">
        <v>GE</v>
      </c>
      <c r="P382" s="174" t="str">
        <v>GS</v>
      </c>
      <c r="Q382" s="174" t="str">
        <v>HD</v>
      </c>
      <c r="R382" s="174" t="str">
        <v>IBM</v>
      </c>
      <c r="S382" s="174" t="str">
        <v>INTC</v>
      </c>
      <c r="T382" s="174" t="str">
        <v>JNJ</v>
      </c>
      <c r="U382" s="174" t="str">
        <v>JPM</v>
      </c>
      <c r="V382" s="174" t="str">
        <v>KO</v>
      </c>
      <c r="W382" s="174" t="str">
        <v>MCD</v>
      </c>
      <c r="X382" s="174" t="str">
        <v>MMM</v>
      </c>
      <c r="Y382" s="174" t="str">
        <v>MRK</v>
      </c>
      <c r="Z382" s="174" t="str">
        <v>MSFT</v>
      </c>
      <c r="AA382" s="174" t="str">
        <v>NKE</v>
      </c>
      <c r="AB382" s="174" t="str">
        <v>PFE</v>
      </c>
      <c r="AC382" s="174" t="str">
        <v>PG</v>
      </c>
      <c r="AD382" s="174" t="str">
        <v>UNH</v>
      </c>
      <c r="AE382" s="174" t="str">
        <v>UTX</v>
      </c>
      <c r="AF382" s="174" t="str">
        <v>VZ</v>
      </c>
      <c r="AG382" s="174" t="str">
        <v>V</v>
      </c>
      <c r="AH382" s="174" t="str">
        <v>WMT</v>
      </c>
      <c r="AI382" s="175" t="str">
        <v>XOM</v>
      </c>
    </row>
    <row r="383" spans="2:35" x14ac:dyDescent="0.25">
      <c r="B383" s="162" t="str">
        <f>'Market Data'!$B$17</f>
        <v>AAPL</v>
      </c>
      <c r="C383" s="159">
        <f>Statistics!$G$19</f>
        <v>2.1230184800142136E-2</v>
      </c>
      <c r="E383" s="167">
        <v>0</v>
      </c>
      <c r="F383" s="204" t="str">
        <v>AAPL</v>
      </c>
      <c r="G383" s="176">
        <v>4.5162973293162668E-3</v>
      </c>
      <c r="H383" s="177">
        <v>1.6284380645241216E-3</v>
      </c>
      <c r="I383" s="177">
        <v>1.6201491796022521E-3</v>
      </c>
      <c r="J383" s="177">
        <v>1.5690359790962263E-3</v>
      </c>
      <c r="K383" s="177">
        <v>2.3505409053430782E-3</v>
      </c>
      <c r="L383" s="177">
        <v>1.1773098260505132E-3</v>
      </c>
      <c r="M383" s="177">
        <v>2.5889638042653502E-3</v>
      </c>
      <c r="N383" s="177">
        <v>1.366655807124157E-3</v>
      </c>
      <c r="O383" s="177">
        <v>1.5698375611055285E-3</v>
      </c>
      <c r="P383" s="177">
        <v>1.8109156333145874E-3</v>
      </c>
      <c r="Q383" s="177">
        <v>9.8639311096076088E-4</v>
      </c>
      <c r="R383" s="177">
        <v>1.7737023799007877E-3</v>
      </c>
      <c r="S383" s="177">
        <v>1.6293191413582805E-3</v>
      </c>
      <c r="T383" s="177">
        <v>8.2631268301744008E-4</v>
      </c>
      <c r="U383" s="177">
        <v>1.2529926248616137E-3</v>
      </c>
      <c r="V383" s="177">
        <v>9.6129190129553134E-4</v>
      </c>
      <c r="W383" s="177">
        <v>4.3723596630614248E-4</v>
      </c>
      <c r="X383" s="177">
        <v>1.6042263123932821E-3</v>
      </c>
      <c r="Y383" s="177">
        <v>6.6280896407091964E-4</v>
      </c>
      <c r="Z383" s="177">
        <v>1.7656054736670385E-3</v>
      </c>
      <c r="AA383" s="177">
        <v>7.4054258425286133E-4</v>
      </c>
      <c r="AB383" s="177">
        <v>1.105136574328315E-3</v>
      </c>
      <c r="AC383" s="177">
        <v>1.0336127768185608E-3</v>
      </c>
      <c r="AD383" s="177">
        <v>5.5673881663560775E-4</v>
      </c>
      <c r="AE383" s="177">
        <v>1.2367738317379871E-3</v>
      </c>
      <c r="AF383" s="177">
        <v>1.8457278448214234E-4</v>
      </c>
      <c r="AG383" s="177">
        <v>1.5697677901095443E-3</v>
      </c>
      <c r="AH383" s="177">
        <v>5.7975796375205426E-4</v>
      </c>
      <c r="AI383" s="178">
        <v>8.3126780280069973E-4</v>
      </c>
    </row>
    <row r="384" spans="2:35" x14ac:dyDescent="0.25">
      <c r="B384" s="163" t="str">
        <f>'Market Data'!$B$18</f>
        <v>AXP</v>
      </c>
      <c r="C384" s="160">
        <f>Statistics!$G$20</f>
        <v>6.4918343965214677E-3</v>
      </c>
      <c r="E384" s="168">
        <v>0</v>
      </c>
      <c r="F384" s="205" t="str">
        <v>AXP</v>
      </c>
      <c r="G384" s="179">
        <v>1.6284380645241216E-3</v>
      </c>
      <c r="H384" s="180">
        <v>4.0660324753009668E-3</v>
      </c>
      <c r="I384" s="180">
        <v>2.3214948032735548E-3</v>
      </c>
      <c r="J384" s="180">
        <v>2.4672804057197504E-3</v>
      </c>
      <c r="K384" s="180">
        <v>2.2861035048804129E-3</v>
      </c>
      <c r="L384" s="180">
        <v>1.4106472819975181E-3</v>
      </c>
      <c r="M384" s="180">
        <v>3.0070268955997704E-3</v>
      </c>
      <c r="N384" s="180">
        <v>1.9718583562846406E-3</v>
      </c>
      <c r="O384" s="180">
        <v>1.6460552176854309E-3</v>
      </c>
      <c r="P384" s="180">
        <v>3.1197862990926528E-3</v>
      </c>
      <c r="Q384" s="180">
        <v>1.285962047454306E-3</v>
      </c>
      <c r="R384" s="180">
        <v>1.960684724858895E-3</v>
      </c>
      <c r="S384" s="180">
        <v>2.0715314739138896E-3</v>
      </c>
      <c r="T384" s="180">
        <v>7.3945969222275051E-4</v>
      </c>
      <c r="U384" s="180">
        <v>2.7840355446374721E-3</v>
      </c>
      <c r="V384" s="180">
        <v>5.6369017954212687E-4</v>
      </c>
      <c r="W384" s="180">
        <v>5.9016175595858627E-4</v>
      </c>
      <c r="X384" s="180">
        <v>1.3680882736390085E-3</v>
      </c>
      <c r="Y384" s="180">
        <v>9.5675499919051471E-4</v>
      </c>
      <c r="Z384" s="180">
        <v>1.7453927826798744E-3</v>
      </c>
      <c r="AA384" s="180">
        <v>9.1418204127611028E-4</v>
      </c>
      <c r="AB384" s="180">
        <v>1.0081234358528435E-3</v>
      </c>
      <c r="AC384" s="180">
        <v>4.150551569421239E-4</v>
      </c>
      <c r="AD384" s="180">
        <v>9.035040942327959E-4</v>
      </c>
      <c r="AE384" s="180">
        <v>1.9679940702890687E-3</v>
      </c>
      <c r="AF384" s="180">
        <v>-7.7366109832012643E-5</v>
      </c>
      <c r="AG384" s="180">
        <v>2.1563583115517065E-3</v>
      </c>
      <c r="AH384" s="180">
        <v>2.6973274792062105E-5</v>
      </c>
      <c r="AI384" s="181">
        <v>9.0240454872836753E-4</v>
      </c>
    </row>
    <row r="385" spans="2:35" x14ac:dyDescent="0.25">
      <c r="B385" s="163" t="str">
        <f>'Market Data'!$B$19</f>
        <v>BA</v>
      </c>
      <c r="C385" s="160">
        <f>Statistics!$G$21</f>
        <v>1.9250861766613322E-2</v>
      </c>
      <c r="E385" s="168">
        <v>0</v>
      </c>
      <c r="F385" s="205" t="str">
        <v>BA</v>
      </c>
      <c r="G385" s="179">
        <v>1.6201491796022521E-3</v>
      </c>
      <c r="H385" s="180">
        <v>2.3214948032735548E-3</v>
      </c>
      <c r="I385" s="180">
        <v>3.7402935775721971E-3</v>
      </c>
      <c r="J385" s="180">
        <v>1.6046317611050844E-3</v>
      </c>
      <c r="K385" s="180">
        <v>2.1240240973260023E-3</v>
      </c>
      <c r="L385" s="180">
        <v>1.3419066335272889E-3</v>
      </c>
      <c r="M385" s="180">
        <v>3.1629198402818382E-3</v>
      </c>
      <c r="N385" s="180">
        <v>2.193611301570318E-3</v>
      </c>
      <c r="O385" s="180">
        <v>1.7334051959416068E-3</v>
      </c>
      <c r="P385" s="180">
        <v>2.2391121271409182E-3</v>
      </c>
      <c r="Q385" s="180">
        <v>1.2911501083222776E-3</v>
      </c>
      <c r="R385" s="180">
        <v>1.1336433634722555E-3</v>
      </c>
      <c r="S385" s="180">
        <v>1.485647562986758E-3</v>
      </c>
      <c r="T385" s="180">
        <v>7.7470388279684329E-4</v>
      </c>
      <c r="U385" s="180">
        <v>1.8054441283061249E-3</v>
      </c>
      <c r="V385" s="180">
        <v>9.7196182882881919E-4</v>
      </c>
      <c r="W385" s="180">
        <v>1.004575731683145E-3</v>
      </c>
      <c r="X385" s="180">
        <v>1.220072170107771E-3</v>
      </c>
      <c r="Y385" s="180">
        <v>1.3506721993334096E-3</v>
      </c>
      <c r="Z385" s="180">
        <v>1.4618979219237266E-3</v>
      </c>
      <c r="AA385" s="180">
        <v>1.1825978430535619E-3</v>
      </c>
      <c r="AB385" s="180">
        <v>1.2950969606515986E-3</v>
      </c>
      <c r="AC385" s="180">
        <v>5.997217417536032E-4</v>
      </c>
      <c r="AD385" s="180">
        <v>6.5863568330466196E-4</v>
      </c>
      <c r="AE385" s="180">
        <v>1.846395156096473E-3</v>
      </c>
      <c r="AF385" s="180">
        <v>3.7914592931386057E-4</v>
      </c>
      <c r="AG385" s="180">
        <v>2.2475777063178958E-3</v>
      </c>
      <c r="AH385" s="180">
        <v>1.7979190170774528E-4</v>
      </c>
      <c r="AI385" s="181">
        <v>5.5785917505375118E-4</v>
      </c>
    </row>
    <row r="386" spans="2:35" x14ac:dyDescent="0.25">
      <c r="B386" s="163" t="str">
        <f>'Market Data'!$B$20</f>
        <v>CAT</v>
      </c>
      <c r="C386" s="160">
        <f>Statistics!$G$22</f>
        <v>6.3545919720494892E-3</v>
      </c>
      <c r="E386" s="168">
        <v>0</v>
      </c>
      <c r="F386" s="205" t="str">
        <v>CAT</v>
      </c>
      <c r="G386" s="179">
        <v>1.5690359790962263E-3</v>
      </c>
      <c r="H386" s="180">
        <v>2.4672804057197504E-3</v>
      </c>
      <c r="I386" s="180">
        <v>1.6046317611050844E-3</v>
      </c>
      <c r="J386" s="180">
        <v>4.5013491323716076E-3</v>
      </c>
      <c r="K386" s="180">
        <v>1.8532157140411887E-3</v>
      </c>
      <c r="L386" s="180">
        <v>2.2352946064681648E-3</v>
      </c>
      <c r="M386" s="180">
        <v>3.0429489894058951E-3</v>
      </c>
      <c r="N386" s="180">
        <v>1.6981712196612736E-3</v>
      </c>
      <c r="O386" s="180">
        <v>2.2046623152336968E-3</v>
      </c>
      <c r="P386" s="180">
        <v>2.3825247137119567E-3</v>
      </c>
      <c r="Q386" s="180">
        <v>1.0587514228509517E-3</v>
      </c>
      <c r="R386" s="180">
        <v>2.1554825858441308E-3</v>
      </c>
      <c r="S386" s="180">
        <v>2.3005603160952529E-3</v>
      </c>
      <c r="T386" s="180">
        <v>9.0633949973445221E-4</v>
      </c>
      <c r="U386" s="180">
        <v>2.011937601179676E-3</v>
      </c>
      <c r="V386" s="180">
        <v>6.586205973694774E-4</v>
      </c>
      <c r="W386" s="180">
        <v>1.2118483675212872E-3</v>
      </c>
      <c r="X386" s="180">
        <v>1.3778500117759705E-3</v>
      </c>
      <c r="Y386" s="180">
        <v>1.6454661341138513E-3</v>
      </c>
      <c r="Z386" s="180">
        <v>2.2842322526096018E-3</v>
      </c>
      <c r="AA386" s="180">
        <v>-1.1104731462091626E-4</v>
      </c>
      <c r="AB386" s="180">
        <v>7.9610645869862182E-4</v>
      </c>
      <c r="AC386" s="180">
        <v>4.9254664842985144E-4</v>
      </c>
      <c r="AD386" s="180">
        <v>7.8373416165496384E-4</v>
      </c>
      <c r="AE386" s="180">
        <v>2.1924453554447642E-3</v>
      </c>
      <c r="AF386" s="180">
        <v>6.8929109799853135E-4</v>
      </c>
      <c r="AG386" s="180">
        <v>1.4624027030174886E-3</v>
      </c>
      <c r="AH386" s="180">
        <v>-2.1581932882750213E-4</v>
      </c>
      <c r="AI386" s="181">
        <v>1.368945659107327E-3</v>
      </c>
    </row>
    <row r="387" spans="2:35" x14ac:dyDescent="0.25">
      <c r="B387" s="163" t="str">
        <f>'Market Data'!$B$21</f>
        <v>CSCO</v>
      </c>
      <c r="C387" s="160">
        <f>Statistics!$G$23</f>
        <v>1.4928779568119917E-2</v>
      </c>
      <c r="E387" s="168">
        <v>0</v>
      </c>
      <c r="F387" s="205" t="str">
        <v>CSCO</v>
      </c>
      <c r="G387" s="179">
        <v>2.3505409053430782E-3</v>
      </c>
      <c r="H387" s="180">
        <v>2.2861035048804129E-3</v>
      </c>
      <c r="I387" s="180">
        <v>2.1240240973260023E-3</v>
      </c>
      <c r="J387" s="180">
        <v>1.8532157140411887E-3</v>
      </c>
      <c r="K387" s="180">
        <v>4.2943797540477393E-3</v>
      </c>
      <c r="L387" s="180">
        <v>1.6495950515362169E-3</v>
      </c>
      <c r="M387" s="180">
        <v>3.7036865533827041E-3</v>
      </c>
      <c r="N387" s="180">
        <v>1.9090150380186609E-3</v>
      </c>
      <c r="O387" s="180">
        <v>2.0168425927536027E-3</v>
      </c>
      <c r="P387" s="180">
        <v>2.2177683830845976E-3</v>
      </c>
      <c r="Q387" s="180">
        <v>9.8504335267051509E-4</v>
      </c>
      <c r="R387" s="180">
        <v>2.2508292865696072E-3</v>
      </c>
      <c r="S387" s="180">
        <v>2.2625583672846289E-3</v>
      </c>
      <c r="T387" s="180">
        <v>1.1094225673998865E-3</v>
      </c>
      <c r="U387" s="180">
        <v>2.0831844183308271E-3</v>
      </c>
      <c r="V387" s="180">
        <v>1.0904984859812852E-3</v>
      </c>
      <c r="W387" s="180">
        <v>8.8656407550750189E-4</v>
      </c>
      <c r="X387" s="180">
        <v>1.6594658489014636E-3</v>
      </c>
      <c r="Y387" s="180">
        <v>1.2877752599161352E-3</v>
      </c>
      <c r="Z387" s="180">
        <v>2.1511833371391734E-3</v>
      </c>
      <c r="AA387" s="180">
        <v>7.2136303147440504E-4</v>
      </c>
      <c r="AB387" s="180">
        <v>1.5185012123350332E-3</v>
      </c>
      <c r="AC387" s="180">
        <v>1.0690588122897406E-3</v>
      </c>
      <c r="AD387" s="180">
        <v>1.0321561899434074E-3</v>
      </c>
      <c r="AE387" s="180">
        <v>2.0848208418056797E-3</v>
      </c>
      <c r="AF387" s="180">
        <v>5.9888719676582812E-4</v>
      </c>
      <c r="AG387" s="180">
        <v>2.8598074505702059E-3</v>
      </c>
      <c r="AH387" s="180">
        <v>3.2563207166723412E-4</v>
      </c>
      <c r="AI387" s="181">
        <v>1.3701802479257339E-3</v>
      </c>
    </row>
    <row r="388" spans="2:35" x14ac:dyDescent="0.25">
      <c r="B388" s="163" t="str">
        <f>'Market Data'!$B$22</f>
        <v>CVX</v>
      </c>
      <c r="C388" s="160">
        <f>Statistics!$G$24</f>
        <v>2.6845541907593424E-3</v>
      </c>
      <c r="E388" s="168">
        <v>0</v>
      </c>
      <c r="F388" s="205" t="str">
        <v>CVX</v>
      </c>
      <c r="G388" s="179">
        <v>1.1773098260505132E-3</v>
      </c>
      <c r="H388" s="180">
        <v>1.4106472819975181E-3</v>
      </c>
      <c r="I388" s="180">
        <v>1.3419066335272889E-3</v>
      </c>
      <c r="J388" s="180">
        <v>2.2352946064681648E-3</v>
      </c>
      <c r="K388" s="180">
        <v>1.6495950515362169E-3</v>
      </c>
      <c r="L388" s="180">
        <v>3.2764948408559465E-3</v>
      </c>
      <c r="M388" s="180">
        <v>2.8277959806832817E-3</v>
      </c>
      <c r="N388" s="180">
        <v>1.8200348202442435E-3</v>
      </c>
      <c r="O388" s="180">
        <v>2.0997855192430963E-3</v>
      </c>
      <c r="P388" s="180">
        <v>2.495859527554455E-3</v>
      </c>
      <c r="Q388" s="180">
        <v>7.9860489883547216E-4</v>
      </c>
      <c r="R388" s="180">
        <v>1.7099575851328929E-3</v>
      </c>
      <c r="S388" s="180">
        <v>1.762362573764028E-3</v>
      </c>
      <c r="T388" s="180">
        <v>1.0006982850928254E-3</v>
      </c>
      <c r="U388" s="180">
        <v>2.159640132817216E-3</v>
      </c>
      <c r="V388" s="180">
        <v>7.7350953916938299E-4</v>
      </c>
      <c r="W388" s="180">
        <v>1.2445101608031307E-3</v>
      </c>
      <c r="X388" s="180">
        <v>1.3396872809028706E-3</v>
      </c>
      <c r="Y388" s="180">
        <v>1.0548817345930506E-3</v>
      </c>
      <c r="Z388" s="180">
        <v>1.921523261676006E-3</v>
      </c>
      <c r="AA388" s="180">
        <v>-3.0145919518466895E-4</v>
      </c>
      <c r="AB388" s="180">
        <v>1.0966581694716135E-3</v>
      </c>
      <c r="AC388" s="180">
        <v>8.4385070363078498E-4</v>
      </c>
      <c r="AD388" s="180">
        <v>8.9699068571536217E-4</v>
      </c>
      <c r="AE388" s="180">
        <v>1.7655731333339048E-3</v>
      </c>
      <c r="AF388" s="180">
        <v>7.5916190680994219E-4</v>
      </c>
      <c r="AG388" s="180">
        <v>9.2897312946466114E-4</v>
      </c>
      <c r="AH388" s="180">
        <v>1.437380584121094E-4</v>
      </c>
      <c r="AI388" s="181">
        <v>1.9286286807754067E-3</v>
      </c>
    </row>
    <row r="389" spans="2:35" x14ac:dyDescent="0.25">
      <c r="B389" s="163" t="str">
        <f>'Market Data'!$B$23</f>
        <v>DD</v>
      </c>
      <c r="C389" s="160">
        <f>Statistics!$G$25</f>
        <v>1.7349865519574785E-2</v>
      </c>
      <c r="E389" s="168">
        <v>0</v>
      </c>
      <c r="F389" s="205" t="str">
        <v>DD</v>
      </c>
      <c r="G389" s="179">
        <v>2.5889638042653502E-3</v>
      </c>
      <c r="H389" s="180">
        <v>3.0070268955997704E-3</v>
      </c>
      <c r="I389" s="180">
        <v>3.1629198402818382E-3</v>
      </c>
      <c r="J389" s="180">
        <v>3.0429489894058951E-3</v>
      </c>
      <c r="K389" s="180">
        <v>3.7036865533827041E-3</v>
      </c>
      <c r="L389" s="180">
        <v>2.8277959806832817E-3</v>
      </c>
      <c r="M389" s="180">
        <v>7.2090294001774871E-3</v>
      </c>
      <c r="N389" s="180">
        <v>3.2246456006375726E-3</v>
      </c>
      <c r="O389" s="180">
        <v>3.2408092269649337E-3</v>
      </c>
      <c r="P389" s="180">
        <v>3.1194558916632768E-3</v>
      </c>
      <c r="Q389" s="180">
        <v>2.0138415935295195E-3</v>
      </c>
      <c r="R389" s="180">
        <v>2.4056181433013803E-3</v>
      </c>
      <c r="S389" s="180">
        <v>2.9333641814070907E-3</v>
      </c>
      <c r="T389" s="180">
        <v>1.7073269232421356E-3</v>
      </c>
      <c r="U389" s="180">
        <v>2.9403656750226037E-3</v>
      </c>
      <c r="V389" s="180">
        <v>1.3828838928124146E-3</v>
      </c>
      <c r="W389" s="180">
        <v>1.5566945864839937E-3</v>
      </c>
      <c r="X389" s="180">
        <v>2.4333011024343194E-3</v>
      </c>
      <c r="Y389" s="180">
        <v>2.1034755337789339E-3</v>
      </c>
      <c r="Z389" s="180">
        <v>3.4647817866697963E-3</v>
      </c>
      <c r="AA389" s="180">
        <v>1.371253710214986E-3</v>
      </c>
      <c r="AB389" s="180">
        <v>2.2541080192876768E-3</v>
      </c>
      <c r="AC389" s="180">
        <v>1.1783213677355128E-3</v>
      </c>
      <c r="AD389" s="180">
        <v>1.3915459916452729E-3</v>
      </c>
      <c r="AE389" s="180">
        <v>3.4844332298577191E-3</v>
      </c>
      <c r="AF389" s="180">
        <v>9.2727826439514978E-4</v>
      </c>
      <c r="AG389" s="180">
        <v>3.0677861856869904E-3</v>
      </c>
      <c r="AH389" s="180">
        <v>-2.3301122426120984E-5</v>
      </c>
      <c r="AI389" s="181">
        <v>2.1182301102402332E-3</v>
      </c>
    </row>
    <row r="390" spans="2:35" x14ac:dyDescent="0.25">
      <c r="B390" s="163" t="str">
        <f>'Market Data'!$B$24</f>
        <v>DIS</v>
      </c>
      <c r="C390" s="160">
        <f>Statistics!$G$26</f>
        <v>1.7109009470709015E-2</v>
      </c>
      <c r="E390" s="168">
        <v>0</v>
      </c>
      <c r="F390" s="205" t="str">
        <v>DIS</v>
      </c>
      <c r="G390" s="179">
        <v>1.366655807124157E-3</v>
      </c>
      <c r="H390" s="180">
        <v>1.9718583562846406E-3</v>
      </c>
      <c r="I390" s="180">
        <v>2.193611301570318E-3</v>
      </c>
      <c r="J390" s="180">
        <v>1.6981712196612736E-3</v>
      </c>
      <c r="K390" s="180">
        <v>1.9090150380186609E-3</v>
      </c>
      <c r="L390" s="180">
        <v>1.8200348202442435E-3</v>
      </c>
      <c r="M390" s="180">
        <v>3.2246456006375726E-3</v>
      </c>
      <c r="N390" s="180">
        <v>3.2225637954133132E-3</v>
      </c>
      <c r="O390" s="180">
        <v>1.7980110839806059E-3</v>
      </c>
      <c r="P390" s="180">
        <v>2.5910429203650125E-3</v>
      </c>
      <c r="Q390" s="180">
        <v>1.4438567521116873E-3</v>
      </c>
      <c r="R390" s="180">
        <v>1.2533920720746924E-3</v>
      </c>
      <c r="S390" s="180">
        <v>1.4872846501875279E-3</v>
      </c>
      <c r="T390" s="180">
        <v>7.6090581351824873E-4</v>
      </c>
      <c r="U390" s="180">
        <v>2.3150492241015347E-3</v>
      </c>
      <c r="V390" s="180">
        <v>7.3157249166013263E-4</v>
      </c>
      <c r="W390" s="180">
        <v>1.0434476997331528E-3</v>
      </c>
      <c r="X390" s="180">
        <v>1.3935802423237448E-3</v>
      </c>
      <c r="Y390" s="180">
        <v>1.1180874248259017E-3</v>
      </c>
      <c r="Z390" s="180">
        <v>1.7514488094562146E-3</v>
      </c>
      <c r="AA390" s="180">
        <v>1.1713887062549742E-3</v>
      </c>
      <c r="AB390" s="180">
        <v>1.4909638464124207E-3</v>
      </c>
      <c r="AC390" s="180">
        <v>6.6920552953337459E-4</v>
      </c>
      <c r="AD390" s="180">
        <v>9.9320622386439117E-4</v>
      </c>
      <c r="AE390" s="180">
        <v>1.6618009644053405E-3</v>
      </c>
      <c r="AF390" s="180">
        <v>5.8624704841600517E-4</v>
      </c>
      <c r="AG390" s="180">
        <v>2.2204011828610088E-3</v>
      </c>
      <c r="AH390" s="180">
        <v>-1.1672694641114529E-4</v>
      </c>
      <c r="AI390" s="181">
        <v>1.3292278052638991E-3</v>
      </c>
    </row>
    <row r="391" spans="2:35" x14ac:dyDescent="0.25">
      <c r="B391" s="163" t="str">
        <f>'Market Data'!$B$25</f>
        <v>GE</v>
      </c>
      <c r="C391" s="160">
        <f>Statistics!$G$27</f>
        <v>9.2719197536449416E-3</v>
      </c>
      <c r="E391" s="168">
        <v>0</v>
      </c>
      <c r="F391" s="205" t="str">
        <v>GE</v>
      </c>
      <c r="G391" s="179">
        <v>1.5698375611055285E-3</v>
      </c>
      <c r="H391" s="180">
        <v>1.6460552176854309E-3</v>
      </c>
      <c r="I391" s="180">
        <v>1.7334051959416068E-3</v>
      </c>
      <c r="J391" s="180">
        <v>2.2046623152336968E-3</v>
      </c>
      <c r="K391" s="180">
        <v>2.0168425927536027E-3</v>
      </c>
      <c r="L391" s="180">
        <v>2.0997855192430963E-3</v>
      </c>
      <c r="M391" s="180">
        <v>3.2408092269649337E-3</v>
      </c>
      <c r="N391" s="180">
        <v>1.7980110839806059E-3</v>
      </c>
      <c r="O391" s="180">
        <v>2.8739818723832944E-3</v>
      </c>
      <c r="P391" s="180">
        <v>2.2255962061739098E-3</v>
      </c>
      <c r="Q391" s="180">
        <v>1.1779071347684854E-3</v>
      </c>
      <c r="R391" s="180">
        <v>1.4606469135339543E-3</v>
      </c>
      <c r="S391" s="180">
        <v>1.8413857882482649E-3</v>
      </c>
      <c r="T391" s="180">
        <v>1.1338883047798758E-3</v>
      </c>
      <c r="U391" s="180">
        <v>1.9825602222543746E-3</v>
      </c>
      <c r="V391" s="180">
        <v>1.0900315820250495E-3</v>
      </c>
      <c r="W391" s="180">
        <v>1.4080437366372094E-3</v>
      </c>
      <c r="X391" s="180">
        <v>1.6476299492810176E-3</v>
      </c>
      <c r="Y391" s="180">
        <v>7.4080885300837902E-4</v>
      </c>
      <c r="Z391" s="180">
        <v>2.1782812682115105E-3</v>
      </c>
      <c r="AA391" s="180">
        <v>6.8149888740689005E-4</v>
      </c>
      <c r="AB391" s="180">
        <v>1.1596920910434683E-3</v>
      </c>
      <c r="AC391" s="180">
        <v>8.669689440805547E-4</v>
      </c>
      <c r="AD391" s="180">
        <v>6.9406421327386882E-4</v>
      </c>
      <c r="AE391" s="180">
        <v>1.9210155408337607E-3</v>
      </c>
      <c r="AF391" s="180">
        <v>1.0256274934399997E-3</v>
      </c>
      <c r="AG391" s="180">
        <v>1.7646874198991678E-3</v>
      </c>
      <c r="AH391" s="180">
        <v>3.1986346053900631E-5</v>
      </c>
      <c r="AI391" s="181">
        <v>1.6264073394302158E-3</v>
      </c>
    </row>
    <row r="392" spans="2:35" x14ac:dyDescent="0.25">
      <c r="B392" s="163" t="str">
        <f>'Market Data'!$B$26</f>
        <v>GS</v>
      </c>
      <c r="C392" s="160">
        <f>Statistics!$G$28</f>
        <v>1.2775975133106521E-2</v>
      </c>
      <c r="E392" s="168">
        <v>0</v>
      </c>
      <c r="F392" s="205" t="str">
        <v>GS</v>
      </c>
      <c r="G392" s="179">
        <v>1.8109156333145874E-3</v>
      </c>
      <c r="H392" s="180">
        <v>3.1197862990926528E-3</v>
      </c>
      <c r="I392" s="180">
        <v>2.2391121271409182E-3</v>
      </c>
      <c r="J392" s="180">
        <v>2.3825247137119567E-3</v>
      </c>
      <c r="K392" s="180">
        <v>2.2177683830845976E-3</v>
      </c>
      <c r="L392" s="180">
        <v>2.495859527554455E-3</v>
      </c>
      <c r="M392" s="180">
        <v>3.1194558916632768E-3</v>
      </c>
      <c r="N392" s="180">
        <v>2.5910429203650125E-3</v>
      </c>
      <c r="O392" s="180">
        <v>2.2255962061739098E-3</v>
      </c>
      <c r="P392" s="180">
        <v>4.8815099105356504E-3</v>
      </c>
      <c r="Q392" s="180">
        <v>1.5442152510598698E-3</v>
      </c>
      <c r="R392" s="180">
        <v>2.2308798805711167E-3</v>
      </c>
      <c r="S392" s="180">
        <v>1.7997270101458302E-3</v>
      </c>
      <c r="T392" s="180">
        <v>7.4857834611503948E-4</v>
      </c>
      <c r="U392" s="180">
        <v>3.8267678235899111E-3</v>
      </c>
      <c r="V392" s="180">
        <v>5.0884399749192373E-4</v>
      </c>
      <c r="W392" s="180">
        <v>1.1844149472533348E-3</v>
      </c>
      <c r="X392" s="180">
        <v>1.5580261625844892E-3</v>
      </c>
      <c r="Y392" s="180">
        <v>9.5059394038900442E-4</v>
      </c>
      <c r="Z392" s="180">
        <v>1.9881521509949444E-3</v>
      </c>
      <c r="AA392" s="180">
        <v>9.2810945195530823E-4</v>
      </c>
      <c r="AB392" s="180">
        <v>1.2974763649140325E-3</v>
      </c>
      <c r="AC392" s="180">
        <v>6.8796273406052837E-4</v>
      </c>
      <c r="AD392" s="180">
        <v>1.248419321363809E-3</v>
      </c>
      <c r="AE392" s="180">
        <v>2.1674424403236793E-3</v>
      </c>
      <c r="AF392" s="180">
        <v>3.7523862948950627E-4</v>
      </c>
      <c r="AG392" s="180">
        <v>2.0541307067505868E-3</v>
      </c>
      <c r="AH392" s="180">
        <v>-5.4295264980806504E-5</v>
      </c>
      <c r="AI392" s="181">
        <v>1.4387650786059658E-3</v>
      </c>
    </row>
    <row r="393" spans="2:35" x14ac:dyDescent="0.25">
      <c r="B393" s="163" t="str">
        <f>'Market Data'!$B$27</f>
        <v>HD</v>
      </c>
      <c r="C393" s="160">
        <f>Statistics!$G$29</f>
        <v>1.8352985528230569E-2</v>
      </c>
      <c r="E393" s="168">
        <v>6.7134220107278472E-2</v>
      </c>
      <c r="F393" s="205" t="str">
        <v>HD</v>
      </c>
      <c r="G393" s="179">
        <v>9.8639311096076088E-4</v>
      </c>
      <c r="H393" s="180">
        <v>1.285962047454306E-3</v>
      </c>
      <c r="I393" s="180">
        <v>1.2911501083222776E-3</v>
      </c>
      <c r="J393" s="180">
        <v>1.0587514228509517E-3</v>
      </c>
      <c r="K393" s="180">
        <v>9.8504335267051509E-4</v>
      </c>
      <c r="L393" s="180">
        <v>7.9860489883547216E-4</v>
      </c>
      <c r="M393" s="180">
        <v>2.0138415935295195E-3</v>
      </c>
      <c r="N393" s="180">
        <v>1.4438567521116873E-3</v>
      </c>
      <c r="O393" s="180">
        <v>1.1779071347684854E-3</v>
      </c>
      <c r="P393" s="180">
        <v>1.5442152510598698E-3</v>
      </c>
      <c r="Q393" s="180">
        <v>1.8880219117441428E-3</v>
      </c>
      <c r="R393" s="180">
        <v>9.3173966010624539E-4</v>
      </c>
      <c r="S393" s="180">
        <v>9.2701062278089308E-4</v>
      </c>
      <c r="T393" s="180">
        <v>6.2481040103688149E-4</v>
      </c>
      <c r="U393" s="180">
        <v>1.4284505514434026E-3</v>
      </c>
      <c r="V393" s="180">
        <v>5.5799413673053339E-4</v>
      </c>
      <c r="W393" s="180">
        <v>7.381374461617429E-4</v>
      </c>
      <c r="X393" s="180">
        <v>1.0633975936011025E-3</v>
      </c>
      <c r="Y393" s="180">
        <v>7.161428946835201E-4</v>
      </c>
      <c r="Z393" s="180">
        <v>1.0017697174583111E-3</v>
      </c>
      <c r="AA393" s="180">
        <v>7.3578315539153108E-4</v>
      </c>
      <c r="AB393" s="180">
        <v>8.5234066580948517E-4</v>
      </c>
      <c r="AC393" s="180">
        <v>4.7474349038820928E-4</v>
      </c>
      <c r="AD393" s="180">
        <v>6.4915062582396636E-4</v>
      </c>
      <c r="AE393" s="180">
        <v>1.2386809813748902E-3</v>
      </c>
      <c r="AF393" s="180">
        <v>1.1189073531181803E-4</v>
      </c>
      <c r="AG393" s="180">
        <v>1.2055891827737501E-3</v>
      </c>
      <c r="AH393" s="180">
        <v>1.9815526434870993E-4</v>
      </c>
      <c r="AI393" s="181">
        <v>5.7016164369997474E-4</v>
      </c>
    </row>
    <row r="394" spans="2:35" x14ac:dyDescent="0.25">
      <c r="B394" s="163" t="str">
        <f>'Market Data'!$B$28</f>
        <v>IBM</v>
      </c>
      <c r="C394" s="160">
        <f>Statistics!$G$30</f>
        <v>-1.0805706759468385E-4</v>
      </c>
      <c r="E394" s="168">
        <v>0</v>
      </c>
      <c r="F394" s="205" t="str">
        <v>IBM</v>
      </c>
      <c r="G394" s="179">
        <v>1.7737023799007877E-3</v>
      </c>
      <c r="H394" s="180">
        <v>1.960684724858895E-3</v>
      </c>
      <c r="I394" s="180">
        <v>1.1336433634722555E-3</v>
      </c>
      <c r="J394" s="180">
        <v>2.1554825858441308E-3</v>
      </c>
      <c r="K394" s="180">
        <v>2.2508292865696072E-3</v>
      </c>
      <c r="L394" s="180">
        <v>1.7099575851328929E-3</v>
      </c>
      <c r="M394" s="180">
        <v>2.4056181433013803E-3</v>
      </c>
      <c r="N394" s="180">
        <v>1.2533920720746924E-3</v>
      </c>
      <c r="O394" s="180">
        <v>1.4606469135339543E-3</v>
      </c>
      <c r="P394" s="180">
        <v>2.2308798805711167E-3</v>
      </c>
      <c r="Q394" s="180">
        <v>9.3173966010624539E-4</v>
      </c>
      <c r="R394" s="180">
        <v>3.3622126456479009E-3</v>
      </c>
      <c r="S394" s="180">
        <v>1.4043690490920693E-3</v>
      </c>
      <c r="T394" s="180">
        <v>5.9347717242683358E-4</v>
      </c>
      <c r="U394" s="180">
        <v>2.0888390371824788E-3</v>
      </c>
      <c r="V394" s="180">
        <v>5.7019303114958723E-4</v>
      </c>
      <c r="W394" s="180">
        <v>5.4513263389601688E-4</v>
      </c>
      <c r="X394" s="180">
        <v>1.0275296737018624E-3</v>
      </c>
      <c r="Y394" s="180">
        <v>1.0097860441379664E-3</v>
      </c>
      <c r="Z394" s="180">
        <v>1.4353906099659559E-3</v>
      </c>
      <c r="AA394" s="180">
        <v>1.3757321359017424E-4</v>
      </c>
      <c r="AB394" s="180">
        <v>7.9545047293496068E-4</v>
      </c>
      <c r="AC394" s="180">
        <v>5.5361049131124631E-4</v>
      </c>
      <c r="AD394" s="180">
        <v>8.8298395118505178E-4</v>
      </c>
      <c r="AE394" s="180">
        <v>1.5169272523521361E-3</v>
      </c>
      <c r="AF394" s="180">
        <v>2.033685246020378E-4</v>
      </c>
      <c r="AG394" s="180">
        <v>1.2306885914741903E-3</v>
      </c>
      <c r="AH394" s="180">
        <v>3.7610030291999273E-4</v>
      </c>
      <c r="AI394" s="181">
        <v>1.0970123689928199E-3</v>
      </c>
    </row>
    <row r="395" spans="2:35" x14ac:dyDescent="0.25">
      <c r="B395" s="163" t="str">
        <f>'Market Data'!$B$29</f>
        <v>INTC</v>
      </c>
      <c r="C395" s="160">
        <f>Statistics!$G$31</f>
        <v>1.4825313209679855E-2</v>
      </c>
      <c r="E395" s="168">
        <v>0</v>
      </c>
      <c r="F395" s="205" t="str">
        <v>INTC</v>
      </c>
      <c r="G395" s="179">
        <v>1.6293191413582805E-3</v>
      </c>
      <c r="H395" s="180">
        <v>2.0715314739138896E-3</v>
      </c>
      <c r="I395" s="180">
        <v>1.485647562986758E-3</v>
      </c>
      <c r="J395" s="180">
        <v>2.3005603160952529E-3</v>
      </c>
      <c r="K395" s="180">
        <v>2.2625583672846289E-3</v>
      </c>
      <c r="L395" s="180">
        <v>1.762362573764028E-3</v>
      </c>
      <c r="M395" s="180">
        <v>2.9333641814070907E-3</v>
      </c>
      <c r="N395" s="180">
        <v>1.4872846501875279E-3</v>
      </c>
      <c r="O395" s="180">
        <v>1.8413857882482649E-3</v>
      </c>
      <c r="P395" s="180">
        <v>1.7997270101458302E-3</v>
      </c>
      <c r="Q395" s="180">
        <v>9.2701062278089308E-4</v>
      </c>
      <c r="R395" s="180">
        <v>1.4043690490920693E-3</v>
      </c>
      <c r="S395" s="180">
        <v>3.8953291630483993E-3</v>
      </c>
      <c r="T395" s="180">
        <v>8.7155825849789608E-4</v>
      </c>
      <c r="U395" s="180">
        <v>1.6338310266769979E-3</v>
      </c>
      <c r="V395" s="180">
        <v>1.1107691361801554E-3</v>
      </c>
      <c r="W395" s="180">
        <v>9.1762089354393737E-4</v>
      </c>
      <c r="X395" s="180">
        <v>1.3291856750406272E-3</v>
      </c>
      <c r="Y395" s="180">
        <v>1.2481991200788169E-3</v>
      </c>
      <c r="Z395" s="180">
        <v>2.824290151917595E-3</v>
      </c>
      <c r="AA395" s="180">
        <v>5.7515792739731505E-4</v>
      </c>
      <c r="AB395" s="180">
        <v>9.9184976149502301E-4</v>
      </c>
      <c r="AC395" s="180">
        <v>7.9168442412031782E-4</v>
      </c>
      <c r="AD395" s="180">
        <v>5.6633014876153942E-4</v>
      </c>
      <c r="AE395" s="180">
        <v>1.2132957377483657E-3</v>
      </c>
      <c r="AF395" s="180">
        <v>8.2166255763751334E-4</v>
      </c>
      <c r="AG395" s="180">
        <v>1.8678530672680304E-3</v>
      </c>
      <c r="AH395" s="180">
        <v>-1.8556188989019865E-5</v>
      </c>
      <c r="AI395" s="181">
        <v>1.0791409093812321E-3</v>
      </c>
    </row>
    <row r="396" spans="2:35" x14ac:dyDescent="0.25">
      <c r="B396" s="163" t="str">
        <f>'Market Data'!$B$30</f>
        <v>JNJ</v>
      </c>
      <c r="C396" s="160">
        <f>Statistics!$G$32</f>
        <v>1.2075919577819831E-2</v>
      </c>
      <c r="E396" s="168">
        <v>0</v>
      </c>
      <c r="F396" s="205" t="str">
        <v>JNJ</v>
      </c>
      <c r="G396" s="179">
        <v>8.2631268301744008E-4</v>
      </c>
      <c r="H396" s="180">
        <v>7.3945969222275051E-4</v>
      </c>
      <c r="I396" s="180">
        <v>7.7470388279684329E-4</v>
      </c>
      <c r="J396" s="180">
        <v>9.0633949973445221E-4</v>
      </c>
      <c r="K396" s="180">
        <v>1.1094225673998865E-3</v>
      </c>
      <c r="L396" s="180">
        <v>1.0006982850928254E-3</v>
      </c>
      <c r="M396" s="180">
        <v>1.7073269232421356E-3</v>
      </c>
      <c r="N396" s="180">
        <v>7.6090581351824873E-4</v>
      </c>
      <c r="O396" s="180">
        <v>1.1338883047798758E-3</v>
      </c>
      <c r="P396" s="180">
        <v>7.4857834611503948E-4</v>
      </c>
      <c r="Q396" s="180">
        <v>6.2481040103688149E-4</v>
      </c>
      <c r="R396" s="180">
        <v>5.9347717242683358E-4</v>
      </c>
      <c r="S396" s="180">
        <v>8.7155825849789608E-4</v>
      </c>
      <c r="T396" s="180">
        <v>1.3437205064186324E-3</v>
      </c>
      <c r="U396" s="180">
        <v>9.2330996350035955E-4</v>
      </c>
      <c r="V396" s="180">
        <v>8.0248592661524116E-4</v>
      </c>
      <c r="W396" s="180">
        <v>7.2064842002941051E-4</v>
      </c>
      <c r="X396" s="180">
        <v>9.1647163555960687E-4</v>
      </c>
      <c r="Y396" s="180">
        <v>7.8932636294384688E-4</v>
      </c>
      <c r="Z396" s="180">
        <v>8.3950208317612799E-4</v>
      </c>
      <c r="AA396" s="180">
        <v>2.4076387457302071E-4</v>
      </c>
      <c r="AB396" s="180">
        <v>1.174922395291398E-3</v>
      </c>
      <c r="AC396" s="180">
        <v>7.8676359672877393E-4</v>
      </c>
      <c r="AD396" s="180">
        <v>4.4624886795118808E-4</v>
      </c>
      <c r="AE396" s="180">
        <v>1.0117367356107026E-3</v>
      </c>
      <c r="AF396" s="180">
        <v>7.3214708969514145E-4</v>
      </c>
      <c r="AG396" s="180">
        <v>8.2747273857601913E-4</v>
      </c>
      <c r="AH396" s="180">
        <v>7.1470891411086447E-4</v>
      </c>
      <c r="AI396" s="181">
        <v>7.4627799983375924E-4</v>
      </c>
    </row>
    <row r="397" spans="2:35" x14ac:dyDescent="0.25">
      <c r="B397" s="163" t="str">
        <f>'Market Data'!$B$31</f>
        <v>JPM</v>
      </c>
      <c r="C397" s="160">
        <f>Statistics!$G$33</f>
        <v>1.7183196749963128E-2</v>
      </c>
      <c r="E397" s="168">
        <v>0</v>
      </c>
      <c r="F397" s="205" t="str">
        <v>JPM</v>
      </c>
      <c r="G397" s="179">
        <v>1.2529926248616137E-3</v>
      </c>
      <c r="H397" s="180">
        <v>2.7840355446374721E-3</v>
      </c>
      <c r="I397" s="180">
        <v>1.8054441283061249E-3</v>
      </c>
      <c r="J397" s="180">
        <v>2.011937601179676E-3</v>
      </c>
      <c r="K397" s="180">
        <v>2.0831844183308271E-3</v>
      </c>
      <c r="L397" s="180">
        <v>2.159640132817216E-3</v>
      </c>
      <c r="M397" s="180">
        <v>2.9403656750226037E-3</v>
      </c>
      <c r="N397" s="180">
        <v>2.3150492241015347E-3</v>
      </c>
      <c r="O397" s="180">
        <v>1.9825602222543746E-3</v>
      </c>
      <c r="P397" s="180">
        <v>3.8267678235899111E-3</v>
      </c>
      <c r="Q397" s="180">
        <v>1.4284505514434026E-3</v>
      </c>
      <c r="R397" s="180">
        <v>2.0888390371824788E-3</v>
      </c>
      <c r="S397" s="180">
        <v>1.6338310266769979E-3</v>
      </c>
      <c r="T397" s="180">
        <v>9.2330996350035955E-4</v>
      </c>
      <c r="U397" s="180">
        <v>3.6504820104783621E-3</v>
      </c>
      <c r="V397" s="180">
        <v>6.292727988425526E-4</v>
      </c>
      <c r="W397" s="180">
        <v>1.135373183104091E-3</v>
      </c>
      <c r="X397" s="180">
        <v>1.3229022331511452E-3</v>
      </c>
      <c r="Y397" s="180">
        <v>9.9035410413519649E-4</v>
      </c>
      <c r="Z397" s="180">
        <v>2.1029083027690664E-3</v>
      </c>
      <c r="AA397" s="180">
        <v>6.7839144071882979E-4</v>
      </c>
      <c r="AB397" s="180">
        <v>1.3592270505613203E-3</v>
      </c>
      <c r="AC397" s="180">
        <v>7.2953612857905574E-4</v>
      </c>
      <c r="AD397" s="180">
        <v>1.2617149248905092E-3</v>
      </c>
      <c r="AE397" s="180">
        <v>1.8453743354725578E-3</v>
      </c>
      <c r="AF397" s="180">
        <v>3.9836144643633019E-4</v>
      </c>
      <c r="AG397" s="180">
        <v>1.9463933682734615E-3</v>
      </c>
      <c r="AH397" s="180">
        <v>7.503242005510376E-5</v>
      </c>
      <c r="AI397" s="181">
        <v>1.3958094738143344E-3</v>
      </c>
    </row>
    <row r="398" spans="2:35" x14ac:dyDescent="0.25">
      <c r="B398" s="163" t="str">
        <f>'Market Data'!$B$32</f>
        <v>KO</v>
      </c>
      <c r="C398" s="160">
        <f>Statistics!$G$34</f>
        <v>4.1810541872704362E-3</v>
      </c>
      <c r="E398" s="168">
        <v>6.0882583661481728E-2</v>
      </c>
      <c r="F398" s="205" t="str">
        <v>KO</v>
      </c>
      <c r="G398" s="179">
        <v>9.6129190129553134E-4</v>
      </c>
      <c r="H398" s="180">
        <v>5.6369017954212687E-4</v>
      </c>
      <c r="I398" s="180">
        <v>9.7196182882881919E-4</v>
      </c>
      <c r="J398" s="180">
        <v>6.586205973694774E-4</v>
      </c>
      <c r="K398" s="180">
        <v>1.0904984859812852E-3</v>
      </c>
      <c r="L398" s="180">
        <v>7.7350953916938299E-4</v>
      </c>
      <c r="M398" s="180">
        <v>1.3828838928124146E-3</v>
      </c>
      <c r="N398" s="180">
        <v>7.3157249166013263E-4</v>
      </c>
      <c r="O398" s="180">
        <v>1.0900315820250495E-3</v>
      </c>
      <c r="P398" s="180">
        <v>5.0884399749192373E-4</v>
      </c>
      <c r="Q398" s="180">
        <v>5.5799413673053339E-4</v>
      </c>
      <c r="R398" s="180">
        <v>5.7019303114958723E-4</v>
      </c>
      <c r="S398" s="180">
        <v>1.1107691361801554E-3</v>
      </c>
      <c r="T398" s="180">
        <v>8.0248592661524116E-4</v>
      </c>
      <c r="U398" s="180">
        <v>6.292727988425526E-4</v>
      </c>
      <c r="V398" s="180">
        <v>1.2210270669043683E-3</v>
      </c>
      <c r="W398" s="180">
        <v>7.9000312454904529E-4</v>
      </c>
      <c r="X398" s="180">
        <v>6.5400026561614926E-4</v>
      </c>
      <c r="Y398" s="180">
        <v>5.6925923112739025E-4</v>
      </c>
      <c r="Z398" s="180">
        <v>1.0711085481253278E-3</v>
      </c>
      <c r="AA398" s="180">
        <v>4.3589033448327737E-4</v>
      </c>
      <c r="AB398" s="180">
        <v>6.3614560547018231E-4</v>
      </c>
      <c r="AC398" s="180">
        <v>6.5740070509151668E-4</v>
      </c>
      <c r="AD398" s="180">
        <v>1.2737483924284157E-4</v>
      </c>
      <c r="AE398" s="180">
        <v>5.7087013169956707E-4</v>
      </c>
      <c r="AF398" s="180">
        <v>4.9096142938173941E-4</v>
      </c>
      <c r="AG398" s="180">
        <v>9.4999344105865064E-4</v>
      </c>
      <c r="AH398" s="180">
        <v>6.4703627119224946E-4</v>
      </c>
      <c r="AI398" s="181">
        <v>5.1805651820066112E-4</v>
      </c>
    </row>
    <row r="399" spans="2:35" x14ac:dyDescent="0.25">
      <c r="B399" s="163" t="str">
        <f>'Market Data'!$B$33</f>
        <v>MCD</v>
      </c>
      <c r="C399" s="160">
        <f>Statistics!$G$35</f>
        <v>8.998422120903465E-3</v>
      </c>
      <c r="E399" s="168">
        <v>7.9053042197518991E-2</v>
      </c>
      <c r="F399" s="205" t="str">
        <v>MCD</v>
      </c>
      <c r="G399" s="179">
        <v>4.3723596630614248E-4</v>
      </c>
      <c r="H399" s="180">
        <v>5.9016175595858627E-4</v>
      </c>
      <c r="I399" s="180">
        <v>1.004575731683145E-3</v>
      </c>
      <c r="J399" s="180">
        <v>1.2118483675212872E-3</v>
      </c>
      <c r="K399" s="180">
        <v>8.8656407550750189E-4</v>
      </c>
      <c r="L399" s="180">
        <v>1.2445101608031307E-3</v>
      </c>
      <c r="M399" s="180">
        <v>1.5566945864839937E-3</v>
      </c>
      <c r="N399" s="180">
        <v>1.0434476997331528E-3</v>
      </c>
      <c r="O399" s="180">
        <v>1.4080437366372094E-3</v>
      </c>
      <c r="P399" s="180">
        <v>1.1844149472533348E-3</v>
      </c>
      <c r="Q399" s="180">
        <v>7.381374461617429E-4</v>
      </c>
      <c r="R399" s="180">
        <v>5.4513263389601688E-4</v>
      </c>
      <c r="S399" s="180">
        <v>9.1762089354393737E-4</v>
      </c>
      <c r="T399" s="180">
        <v>7.2064842002941051E-4</v>
      </c>
      <c r="U399" s="180">
        <v>1.135373183104091E-3</v>
      </c>
      <c r="V399" s="180">
        <v>7.9000312454904529E-4</v>
      </c>
      <c r="W399" s="180">
        <v>1.7650690545216805E-3</v>
      </c>
      <c r="X399" s="180">
        <v>7.9590651205676567E-4</v>
      </c>
      <c r="Y399" s="180">
        <v>5.886623345512683E-4</v>
      </c>
      <c r="Z399" s="180">
        <v>1.2284698745461862E-3</v>
      </c>
      <c r="AA399" s="180">
        <v>4.3355644868225306E-4</v>
      </c>
      <c r="AB399" s="180">
        <v>9.4939047744066322E-4</v>
      </c>
      <c r="AC399" s="180">
        <v>4.0611550084338323E-4</v>
      </c>
      <c r="AD399" s="180">
        <v>3.5874031329227935E-4</v>
      </c>
      <c r="AE399" s="180">
        <v>8.7888532505727346E-4</v>
      </c>
      <c r="AF399" s="180">
        <v>6.7734327840461236E-4</v>
      </c>
      <c r="AG399" s="180">
        <v>1.0020182531469391E-3</v>
      </c>
      <c r="AH399" s="180">
        <v>4.237060092283065E-5</v>
      </c>
      <c r="AI399" s="181">
        <v>6.6389606634421081E-4</v>
      </c>
    </row>
    <row r="400" spans="2:35" x14ac:dyDescent="0.25">
      <c r="B400" s="163" t="str">
        <f>'Market Data'!$B$34</f>
        <v>MMM</v>
      </c>
      <c r="C400" s="160">
        <f>Statistics!$G$36</f>
        <v>1.5280500930100561E-2</v>
      </c>
      <c r="E400" s="168">
        <v>0</v>
      </c>
      <c r="F400" s="205" t="str">
        <v>MMM</v>
      </c>
      <c r="G400" s="179">
        <v>1.6042263123932821E-3</v>
      </c>
      <c r="H400" s="180">
        <v>1.3680882736390085E-3</v>
      </c>
      <c r="I400" s="180">
        <v>1.220072170107771E-3</v>
      </c>
      <c r="J400" s="180">
        <v>1.3778500117759705E-3</v>
      </c>
      <c r="K400" s="180">
        <v>1.6594658489014636E-3</v>
      </c>
      <c r="L400" s="180">
        <v>1.3396872809028706E-3</v>
      </c>
      <c r="M400" s="180">
        <v>2.4333011024343194E-3</v>
      </c>
      <c r="N400" s="180">
        <v>1.3935802423237448E-3</v>
      </c>
      <c r="O400" s="180">
        <v>1.6476299492810176E-3</v>
      </c>
      <c r="P400" s="180">
        <v>1.5580261625844892E-3</v>
      </c>
      <c r="Q400" s="180">
        <v>1.0633975936011025E-3</v>
      </c>
      <c r="R400" s="180">
        <v>1.0275296737018624E-3</v>
      </c>
      <c r="S400" s="180">
        <v>1.3291856750406272E-3</v>
      </c>
      <c r="T400" s="180">
        <v>9.1647163555960687E-4</v>
      </c>
      <c r="U400" s="180">
        <v>1.3229022331511452E-3</v>
      </c>
      <c r="V400" s="180">
        <v>6.5400026561614926E-4</v>
      </c>
      <c r="W400" s="180">
        <v>7.9590651205676567E-4</v>
      </c>
      <c r="X400" s="180">
        <v>1.9007159701372343E-3</v>
      </c>
      <c r="Y400" s="180">
        <v>9.3087542856500223E-4</v>
      </c>
      <c r="Z400" s="180">
        <v>9.5021437706372129E-4</v>
      </c>
      <c r="AA400" s="180">
        <v>7.5220949128439868E-4</v>
      </c>
      <c r="AB400" s="180">
        <v>1.1108584905280188E-3</v>
      </c>
      <c r="AC400" s="180">
        <v>7.8023777188204919E-4</v>
      </c>
      <c r="AD400" s="180">
        <v>9.8369986573183495E-4</v>
      </c>
      <c r="AE400" s="180">
        <v>1.8471574472775569E-3</v>
      </c>
      <c r="AF400" s="180">
        <v>5.9539589470078522E-4</v>
      </c>
      <c r="AG400" s="180">
        <v>1.59984129324471E-3</v>
      </c>
      <c r="AH400" s="180">
        <v>4.5051539698961655E-4</v>
      </c>
      <c r="AI400" s="181">
        <v>1.2697174541958882E-3</v>
      </c>
    </row>
    <row r="401" spans="2:35" x14ac:dyDescent="0.25">
      <c r="B401" s="163" t="str">
        <f>'Market Data'!$B$35</f>
        <v>MRK</v>
      </c>
      <c r="C401" s="160">
        <f>Statistics!$G$37</f>
        <v>1.1473476041634185E-2</v>
      </c>
      <c r="E401" s="168">
        <v>1.6725738885566426E-2</v>
      </c>
      <c r="F401" s="205" t="str">
        <v>MRK</v>
      </c>
      <c r="G401" s="179">
        <v>6.6280896407091964E-4</v>
      </c>
      <c r="H401" s="180">
        <v>9.5675499919051471E-4</v>
      </c>
      <c r="I401" s="180">
        <v>1.3506721993334096E-3</v>
      </c>
      <c r="J401" s="180">
        <v>1.6454661341138513E-3</v>
      </c>
      <c r="K401" s="180">
        <v>1.2877752599161352E-3</v>
      </c>
      <c r="L401" s="180">
        <v>1.0548817345930506E-3</v>
      </c>
      <c r="M401" s="180">
        <v>2.1034755337789339E-3</v>
      </c>
      <c r="N401" s="180">
        <v>1.1180874248259017E-3</v>
      </c>
      <c r="O401" s="180">
        <v>7.4080885300837902E-4</v>
      </c>
      <c r="P401" s="180">
        <v>9.5059394038900442E-4</v>
      </c>
      <c r="Q401" s="180">
        <v>7.161428946835201E-4</v>
      </c>
      <c r="R401" s="180">
        <v>1.0097860441379664E-3</v>
      </c>
      <c r="S401" s="180">
        <v>1.2481991200788169E-3</v>
      </c>
      <c r="T401" s="180">
        <v>7.8932636294384688E-4</v>
      </c>
      <c r="U401" s="180">
        <v>9.9035410413519649E-4</v>
      </c>
      <c r="V401" s="180">
        <v>5.6925923112739025E-4</v>
      </c>
      <c r="W401" s="180">
        <v>5.886623345512683E-4</v>
      </c>
      <c r="X401" s="180">
        <v>9.3087542856500223E-4</v>
      </c>
      <c r="Y401" s="180">
        <v>2.5431403633519077E-3</v>
      </c>
      <c r="Z401" s="180">
        <v>1.0039618395335291E-3</v>
      </c>
      <c r="AA401" s="180">
        <v>3.4083858597475385E-4</v>
      </c>
      <c r="AB401" s="180">
        <v>1.3412346285691251E-3</v>
      </c>
      <c r="AC401" s="180">
        <v>3.7529952314904947E-4</v>
      </c>
      <c r="AD401" s="180">
        <v>8.5985137540516086E-4</v>
      </c>
      <c r="AE401" s="180">
        <v>1.4646144344401168E-3</v>
      </c>
      <c r="AF401" s="180">
        <v>3.3006228708408361E-4</v>
      </c>
      <c r="AG401" s="180">
        <v>1.1984054366898813E-3</v>
      </c>
      <c r="AH401" s="180">
        <v>4.389896882024129E-4</v>
      </c>
      <c r="AI401" s="181">
        <v>5.8214330295854532E-4</v>
      </c>
    </row>
    <row r="402" spans="2:35" x14ac:dyDescent="0.25">
      <c r="B402" s="163" t="str">
        <f>'Market Data'!$B$36</f>
        <v>MSFT</v>
      </c>
      <c r="C402" s="160">
        <f>Statistics!$G$38</f>
        <v>2.1777833497491961E-2</v>
      </c>
      <c r="E402" s="168">
        <v>0</v>
      </c>
      <c r="F402" s="205" t="str">
        <v>MSFT</v>
      </c>
      <c r="G402" s="179">
        <v>1.7656054736670385E-3</v>
      </c>
      <c r="H402" s="180">
        <v>1.7453927826798744E-3</v>
      </c>
      <c r="I402" s="180">
        <v>1.4618979219237266E-3</v>
      </c>
      <c r="J402" s="180">
        <v>2.2842322526096018E-3</v>
      </c>
      <c r="K402" s="180">
        <v>2.1511833371391734E-3</v>
      </c>
      <c r="L402" s="180">
        <v>1.921523261676006E-3</v>
      </c>
      <c r="M402" s="180">
        <v>3.4647817866697963E-3</v>
      </c>
      <c r="N402" s="180">
        <v>1.7514488094562146E-3</v>
      </c>
      <c r="O402" s="180">
        <v>2.1782812682115105E-3</v>
      </c>
      <c r="P402" s="180">
        <v>1.9881521509949444E-3</v>
      </c>
      <c r="Q402" s="180">
        <v>1.0017697174583111E-3</v>
      </c>
      <c r="R402" s="180">
        <v>1.4353906099659559E-3</v>
      </c>
      <c r="S402" s="180">
        <v>2.824290151917595E-3</v>
      </c>
      <c r="T402" s="180">
        <v>8.3950208317612799E-4</v>
      </c>
      <c r="U402" s="180">
        <v>2.1029083027690664E-3</v>
      </c>
      <c r="V402" s="180">
        <v>1.0711085481253278E-3</v>
      </c>
      <c r="W402" s="180">
        <v>1.2284698745461862E-3</v>
      </c>
      <c r="X402" s="180">
        <v>9.5021437706372129E-4</v>
      </c>
      <c r="Y402" s="180">
        <v>1.0039618395335291E-3</v>
      </c>
      <c r="Z402" s="180">
        <v>4.5817164894349687E-3</v>
      </c>
      <c r="AA402" s="180">
        <v>9.1111393401995618E-4</v>
      </c>
      <c r="AB402" s="180">
        <v>1.1007292150403058E-3</v>
      </c>
      <c r="AC402" s="180">
        <v>1.0300601718935634E-3</v>
      </c>
      <c r="AD402" s="180">
        <v>2.4058610256342332E-4</v>
      </c>
      <c r="AE402" s="180">
        <v>9.3007091875184366E-4</v>
      </c>
      <c r="AF402" s="180">
        <v>7.4555370224549768E-4</v>
      </c>
      <c r="AG402" s="180">
        <v>1.5294825998788863E-3</v>
      </c>
      <c r="AH402" s="180">
        <v>-3.4970831020819231E-4</v>
      </c>
      <c r="AI402" s="181">
        <v>1.2219742467918569E-3</v>
      </c>
    </row>
    <row r="403" spans="2:35" x14ac:dyDescent="0.25">
      <c r="B403" s="163" t="str">
        <f>'Market Data'!$B$37</f>
        <v>NKE</v>
      </c>
      <c r="C403" s="160">
        <f>Statistics!$G$39</f>
        <v>1.5970247269241938E-2</v>
      </c>
      <c r="E403" s="168">
        <v>0.1528365080424256</v>
      </c>
      <c r="F403" s="205" t="str">
        <v>NKE</v>
      </c>
      <c r="G403" s="179">
        <v>7.4054258425286133E-4</v>
      </c>
      <c r="H403" s="180">
        <v>9.1418204127611028E-4</v>
      </c>
      <c r="I403" s="180">
        <v>1.1825978430535619E-3</v>
      </c>
      <c r="J403" s="180">
        <v>-1.1104731462091626E-4</v>
      </c>
      <c r="K403" s="180">
        <v>7.2136303147440504E-4</v>
      </c>
      <c r="L403" s="180">
        <v>-3.0145919518466895E-4</v>
      </c>
      <c r="M403" s="180">
        <v>1.371253710214986E-3</v>
      </c>
      <c r="N403" s="180">
        <v>1.1713887062549742E-3</v>
      </c>
      <c r="O403" s="180">
        <v>6.8149888740689005E-4</v>
      </c>
      <c r="P403" s="180">
        <v>9.2810945195530823E-4</v>
      </c>
      <c r="Q403" s="180">
        <v>7.3578315539153108E-4</v>
      </c>
      <c r="R403" s="180">
        <v>1.3757321359017424E-4</v>
      </c>
      <c r="S403" s="180">
        <v>5.7515792739731505E-4</v>
      </c>
      <c r="T403" s="180">
        <v>2.4076387457302071E-4</v>
      </c>
      <c r="U403" s="180">
        <v>6.7839144071882979E-4</v>
      </c>
      <c r="V403" s="180">
        <v>4.3589033448327737E-4</v>
      </c>
      <c r="W403" s="180">
        <v>4.3355644868225306E-4</v>
      </c>
      <c r="X403" s="180">
        <v>7.5220949128439868E-4</v>
      </c>
      <c r="Y403" s="180">
        <v>3.4083858597475385E-4</v>
      </c>
      <c r="Z403" s="180">
        <v>9.1111393401995618E-4</v>
      </c>
      <c r="AA403" s="180">
        <v>2.7193308407813446E-3</v>
      </c>
      <c r="AB403" s="180">
        <v>5.6615292191577104E-4</v>
      </c>
      <c r="AC403" s="180">
        <v>3.6538493696828688E-4</v>
      </c>
      <c r="AD403" s="180">
        <v>8.9669180264711685E-5</v>
      </c>
      <c r="AE403" s="180">
        <v>4.9140530374502923E-4</v>
      </c>
      <c r="AF403" s="180">
        <v>1.0278859564771125E-5</v>
      </c>
      <c r="AG403" s="180">
        <v>1.2162400994020978E-3</v>
      </c>
      <c r="AH403" s="180">
        <v>1.3266739677968515E-5</v>
      </c>
      <c r="AI403" s="181">
        <v>-1.9722713194093662E-4</v>
      </c>
    </row>
    <row r="404" spans="2:35" x14ac:dyDescent="0.25">
      <c r="B404" s="163" t="str">
        <f>'Market Data'!$B$38</f>
        <v>PFE</v>
      </c>
      <c r="C404" s="160">
        <f>Statistics!$G$40</f>
        <v>7.6042605716081235E-3</v>
      </c>
      <c r="E404" s="168">
        <v>0</v>
      </c>
      <c r="F404" s="205" t="str">
        <v>PFE</v>
      </c>
      <c r="G404" s="179">
        <v>1.105136574328315E-3</v>
      </c>
      <c r="H404" s="180">
        <v>1.0081234358528435E-3</v>
      </c>
      <c r="I404" s="180">
        <v>1.2950969606515986E-3</v>
      </c>
      <c r="J404" s="180">
        <v>7.9610645869862182E-4</v>
      </c>
      <c r="K404" s="180">
        <v>1.5185012123350332E-3</v>
      </c>
      <c r="L404" s="180">
        <v>1.0966581694716135E-3</v>
      </c>
      <c r="M404" s="180">
        <v>2.2541080192876768E-3</v>
      </c>
      <c r="N404" s="180">
        <v>1.4909638464124207E-3</v>
      </c>
      <c r="O404" s="180">
        <v>1.1596920910434683E-3</v>
      </c>
      <c r="P404" s="180">
        <v>1.2974763649140325E-3</v>
      </c>
      <c r="Q404" s="180">
        <v>8.5234066580948517E-4</v>
      </c>
      <c r="R404" s="180">
        <v>7.9545047293496068E-4</v>
      </c>
      <c r="S404" s="180">
        <v>9.9184976149502301E-4</v>
      </c>
      <c r="T404" s="180">
        <v>1.174922395291398E-3</v>
      </c>
      <c r="U404" s="180">
        <v>1.3592270505613203E-3</v>
      </c>
      <c r="V404" s="180">
        <v>6.3614560547018231E-4</v>
      </c>
      <c r="W404" s="180">
        <v>9.4939047744066322E-4</v>
      </c>
      <c r="X404" s="180">
        <v>1.1108584905280188E-3</v>
      </c>
      <c r="Y404" s="180">
        <v>1.3412346285691251E-3</v>
      </c>
      <c r="Z404" s="180">
        <v>1.1007292150403058E-3</v>
      </c>
      <c r="AA404" s="180">
        <v>5.6615292191577104E-4</v>
      </c>
      <c r="AB404" s="180">
        <v>2.4354805215546461E-3</v>
      </c>
      <c r="AC404" s="180">
        <v>7.7698221980775051E-4</v>
      </c>
      <c r="AD404" s="180">
        <v>7.5423895885674786E-4</v>
      </c>
      <c r="AE404" s="180">
        <v>1.3524566727664237E-3</v>
      </c>
      <c r="AF404" s="180">
        <v>6.9733723903610885E-4</v>
      </c>
      <c r="AG404" s="180">
        <v>1.6142857385330945E-3</v>
      </c>
      <c r="AH404" s="180">
        <v>6.1756439897017149E-4</v>
      </c>
      <c r="AI404" s="181">
        <v>8.1835922434987771E-4</v>
      </c>
    </row>
    <row r="405" spans="2:35" x14ac:dyDescent="0.25">
      <c r="B405" s="163" t="str">
        <f>'Market Data'!$B$39</f>
        <v>PG</v>
      </c>
      <c r="C405" s="160">
        <f>Statistics!$G$41</f>
        <v>6.7668222923833359E-3</v>
      </c>
      <c r="E405" s="168">
        <v>0.13522767311821959</v>
      </c>
      <c r="F405" s="205" t="str">
        <v>PG</v>
      </c>
      <c r="G405" s="179">
        <v>1.0336127768185608E-3</v>
      </c>
      <c r="H405" s="180">
        <v>4.150551569421239E-4</v>
      </c>
      <c r="I405" s="180">
        <v>5.997217417536032E-4</v>
      </c>
      <c r="J405" s="180">
        <v>4.9254664842985144E-4</v>
      </c>
      <c r="K405" s="180">
        <v>1.0690588122897406E-3</v>
      </c>
      <c r="L405" s="180">
        <v>8.4385070363078498E-4</v>
      </c>
      <c r="M405" s="180">
        <v>1.1783213677355128E-3</v>
      </c>
      <c r="N405" s="180">
        <v>6.6920552953337459E-4</v>
      </c>
      <c r="O405" s="180">
        <v>8.669689440805547E-4</v>
      </c>
      <c r="P405" s="180">
        <v>6.8796273406052837E-4</v>
      </c>
      <c r="Q405" s="180">
        <v>4.7474349038820928E-4</v>
      </c>
      <c r="R405" s="180">
        <v>5.5361049131124631E-4</v>
      </c>
      <c r="S405" s="180">
        <v>7.9168442412031782E-4</v>
      </c>
      <c r="T405" s="180">
        <v>7.8676359672877393E-4</v>
      </c>
      <c r="U405" s="180">
        <v>7.2953612857905574E-4</v>
      </c>
      <c r="V405" s="180">
        <v>6.5740070509151668E-4</v>
      </c>
      <c r="W405" s="180">
        <v>4.0611550084338323E-4</v>
      </c>
      <c r="X405" s="180">
        <v>7.8023777188204919E-4</v>
      </c>
      <c r="Y405" s="180">
        <v>3.7529952314904947E-4</v>
      </c>
      <c r="Z405" s="180">
        <v>1.0300601718935634E-3</v>
      </c>
      <c r="AA405" s="180">
        <v>3.6538493696828688E-4</v>
      </c>
      <c r="AB405" s="180">
        <v>7.7698221980775051E-4</v>
      </c>
      <c r="AC405" s="180">
        <v>1.4111752678343567E-3</v>
      </c>
      <c r="AD405" s="180">
        <v>1.723275330802805E-4</v>
      </c>
      <c r="AE405" s="180">
        <v>6.4008748533685535E-4</v>
      </c>
      <c r="AF405" s="180">
        <v>2.3535220881827705E-4</v>
      </c>
      <c r="AG405" s="180">
        <v>9.2172519542926422E-4</v>
      </c>
      <c r="AH405" s="180">
        <v>7.2490049760504278E-4</v>
      </c>
      <c r="AI405" s="181">
        <v>6.1092932367000222E-4</v>
      </c>
    </row>
    <row r="406" spans="2:35" x14ac:dyDescent="0.25">
      <c r="B406" s="163" t="str">
        <f>'Market Data'!$B$40</f>
        <v>UNH</v>
      </c>
      <c r="C406" s="160">
        <f>Statistics!$G$42</f>
        <v>2.4695057092687361E-2</v>
      </c>
      <c r="E406" s="168">
        <v>0.19604792577690516</v>
      </c>
      <c r="F406" s="205" t="str">
        <v>UNH</v>
      </c>
      <c r="G406" s="179">
        <v>5.5673881663560775E-4</v>
      </c>
      <c r="H406" s="180">
        <v>9.035040942327959E-4</v>
      </c>
      <c r="I406" s="180">
        <v>6.5863568330466196E-4</v>
      </c>
      <c r="J406" s="180">
        <v>7.8373416165496384E-4</v>
      </c>
      <c r="K406" s="180">
        <v>1.0321561899434074E-3</v>
      </c>
      <c r="L406" s="180">
        <v>8.9699068571536217E-4</v>
      </c>
      <c r="M406" s="180">
        <v>1.3915459916452729E-3</v>
      </c>
      <c r="N406" s="180">
        <v>9.9320622386439117E-4</v>
      </c>
      <c r="O406" s="180">
        <v>6.9406421327386882E-4</v>
      </c>
      <c r="P406" s="180">
        <v>1.248419321363809E-3</v>
      </c>
      <c r="Q406" s="180">
        <v>6.4915062582396636E-4</v>
      </c>
      <c r="R406" s="180">
        <v>8.8298395118505178E-4</v>
      </c>
      <c r="S406" s="180">
        <v>5.6633014876153942E-4</v>
      </c>
      <c r="T406" s="180">
        <v>4.4624886795118808E-4</v>
      </c>
      <c r="U406" s="180">
        <v>1.2617149248905092E-3</v>
      </c>
      <c r="V406" s="180">
        <v>1.2737483924284157E-4</v>
      </c>
      <c r="W406" s="180">
        <v>3.5874031329227935E-4</v>
      </c>
      <c r="X406" s="180">
        <v>9.8369986573183495E-4</v>
      </c>
      <c r="Y406" s="180">
        <v>8.5985137540516086E-4</v>
      </c>
      <c r="Z406" s="180">
        <v>2.4058610256342332E-4</v>
      </c>
      <c r="AA406" s="180">
        <v>8.9669180264711685E-5</v>
      </c>
      <c r="AB406" s="180">
        <v>7.5423895885674786E-4</v>
      </c>
      <c r="AC406" s="180">
        <v>1.723275330802805E-4</v>
      </c>
      <c r="AD406" s="180">
        <v>1.9588021355587989E-3</v>
      </c>
      <c r="AE406" s="180">
        <v>1.3013762269017E-3</v>
      </c>
      <c r="AF406" s="180">
        <v>4.3562344006968111E-4</v>
      </c>
      <c r="AG406" s="180">
        <v>6.7255745531353401E-4</v>
      </c>
      <c r="AH406" s="180">
        <v>2.5472583633253342E-4</v>
      </c>
      <c r="AI406" s="181">
        <v>7.6037739981613735E-4</v>
      </c>
    </row>
    <row r="407" spans="2:35" x14ac:dyDescent="0.25">
      <c r="B407" s="163" t="str">
        <f>'Market Data'!$B$41</f>
        <v>UTX</v>
      </c>
      <c r="C407" s="160">
        <f>Statistics!$G$43</f>
        <v>7.3861111519648165E-3</v>
      </c>
      <c r="E407" s="168">
        <v>0</v>
      </c>
      <c r="F407" s="205" t="str">
        <v>UTX</v>
      </c>
      <c r="G407" s="179">
        <v>1.2367738317379871E-3</v>
      </c>
      <c r="H407" s="180">
        <v>1.9679940702890687E-3</v>
      </c>
      <c r="I407" s="180">
        <v>1.846395156096473E-3</v>
      </c>
      <c r="J407" s="180">
        <v>2.1924453554447642E-3</v>
      </c>
      <c r="K407" s="180">
        <v>2.0848208418056797E-3</v>
      </c>
      <c r="L407" s="180">
        <v>1.7655731333339048E-3</v>
      </c>
      <c r="M407" s="180">
        <v>3.4844332298577191E-3</v>
      </c>
      <c r="N407" s="180">
        <v>1.6618009644053405E-3</v>
      </c>
      <c r="O407" s="180">
        <v>1.9210155408337607E-3</v>
      </c>
      <c r="P407" s="180">
        <v>2.1674424403236793E-3</v>
      </c>
      <c r="Q407" s="180">
        <v>1.2386809813748902E-3</v>
      </c>
      <c r="R407" s="180">
        <v>1.5169272523521361E-3</v>
      </c>
      <c r="S407" s="180">
        <v>1.2132957377483657E-3</v>
      </c>
      <c r="T407" s="180">
        <v>1.0117367356107026E-3</v>
      </c>
      <c r="U407" s="180">
        <v>1.8453743354725578E-3</v>
      </c>
      <c r="V407" s="180">
        <v>5.7087013169956707E-4</v>
      </c>
      <c r="W407" s="180">
        <v>8.7888532505727346E-4</v>
      </c>
      <c r="X407" s="180">
        <v>1.8471574472775569E-3</v>
      </c>
      <c r="Y407" s="180">
        <v>1.4646144344401168E-3</v>
      </c>
      <c r="Z407" s="180">
        <v>9.3007091875184366E-4</v>
      </c>
      <c r="AA407" s="180">
        <v>4.9140530374502923E-4</v>
      </c>
      <c r="AB407" s="180">
        <v>1.3524566727664237E-3</v>
      </c>
      <c r="AC407" s="180">
        <v>6.4008748533685535E-4</v>
      </c>
      <c r="AD407" s="180">
        <v>1.3013762269017E-3</v>
      </c>
      <c r="AE407" s="180">
        <v>3.1502830070701034E-3</v>
      </c>
      <c r="AF407" s="180">
        <v>3.2120511051046262E-4</v>
      </c>
      <c r="AG407" s="180">
        <v>1.6964262161404888E-3</v>
      </c>
      <c r="AH407" s="180">
        <v>2.8814451862251201E-4</v>
      </c>
      <c r="AI407" s="181">
        <v>1.3259012920786922E-3</v>
      </c>
    </row>
    <row r="408" spans="2:35" x14ac:dyDescent="0.25">
      <c r="B408" s="163" t="str">
        <f>'Market Data'!$B$42</f>
        <v>VZ</v>
      </c>
      <c r="C408" s="160">
        <f>Statistics!$G$44</f>
        <v>5.0086030759070753E-3</v>
      </c>
      <c r="E408" s="168">
        <v>0.11015381298355019</v>
      </c>
      <c r="F408" s="205" t="str">
        <v>VZ</v>
      </c>
      <c r="G408" s="179">
        <v>1.8457278448214234E-4</v>
      </c>
      <c r="H408" s="180">
        <v>-7.7366109832012643E-5</v>
      </c>
      <c r="I408" s="180">
        <v>3.7914592931386057E-4</v>
      </c>
      <c r="J408" s="180">
        <v>6.8929109799853135E-4</v>
      </c>
      <c r="K408" s="180">
        <v>5.9888719676582812E-4</v>
      </c>
      <c r="L408" s="180">
        <v>7.5916190680994219E-4</v>
      </c>
      <c r="M408" s="180">
        <v>9.2727826439514978E-4</v>
      </c>
      <c r="N408" s="180">
        <v>5.8624704841600517E-4</v>
      </c>
      <c r="O408" s="180">
        <v>1.0256274934399997E-3</v>
      </c>
      <c r="P408" s="180">
        <v>3.7523862948950627E-4</v>
      </c>
      <c r="Q408" s="180">
        <v>1.1189073531181803E-4</v>
      </c>
      <c r="R408" s="180">
        <v>2.033685246020378E-4</v>
      </c>
      <c r="S408" s="180">
        <v>8.2166255763751334E-4</v>
      </c>
      <c r="T408" s="180">
        <v>7.3214708969514145E-4</v>
      </c>
      <c r="U408" s="180">
        <v>3.9836144643633019E-4</v>
      </c>
      <c r="V408" s="180">
        <v>4.9096142938173941E-4</v>
      </c>
      <c r="W408" s="180">
        <v>6.7734327840461236E-4</v>
      </c>
      <c r="X408" s="180">
        <v>5.9539589470078522E-4</v>
      </c>
      <c r="Y408" s="180">
        <v>3.3006228708408361E-4</v>
      </c>
      <c r="Z408" s="180">
        <v>7.4555370224549768E-4</v>
      </c>
      <c r="AA408" s="180">
        <v>1.0278859564771125E-5</v>
      </c>
      <c r="AB408" s="180">
        <v>6.9733723903610885E-4</v>
      </c>
      <c r="AC408" s="180">
        <v>2.3535220881827705E-4</v>
      </c>
      <c r="AD408" s="180">
        <v>4.3562344006968111E-4</v>
      </c>
      <c r="AE408" s="180">
        <v>3.2120511051046262E-4</v>
      </c>
      <c r="AF408" s="180">
        <v>2.0420562729853461E-3</v>
      </c>
      <c r="AG408" s="180">
        <v>3.5270826394507459E-4</v>
      </c>
      <c r="AH408" s="180">
        <v>4.5696587310639262E-4</v>
      </c>
      <c r="AI408" s="181">
        <v>6.4524949399266879E-4</v>
      </c>
    </row>
    <row r="409" spans="2:35" x14ac:dyDescent="0.25">
      <c r="B409" s="163" t="str">
        <f>'Market Data'!$B$43</f>
        <v>V</v>
      </c>
      <c r="C409" s="160">
        <f>Statistics!$G$45</f>
        <v>1.7947618128132319E-2</v>
      </c>
      <c r="E409" s="168">
        <v>0</v>
      </c>
      <c r="F409" s="205" t="str">
        <v>V</v>
      </c>
      <c r="G409" s="179">
        <v>1.5697677901095443E-3</v>
      </c>
      <c r="H409" s="180">
        <v>2.1563583115517065E-3</v>
      </c>
      <c r="I409" s="180">
        <v>2.2475777063178958E-3</v>
      </c>
      <c r="J409" s="180">
        <v>1.4624027030174886E-3</v>
      </c>
      <c r="K409" s="180">
        <v>2.8598074505702059E-3</v>
      </c>
      <c r="L409" s="180">
        <v>9.2897312946466114E-4</v>
      </c>
      <c r="M409" s="180">
        <v>3.0677861856869904E-3</v>
      </c>
      <c r="N409" s="180">
        <v>2.2204011828610088E-3</v>
      </c>
      <c r="O409" s="180">
        <v>1.7646874198991678E-3</v>
      </c>
      <c r="P409" s="180">
        <v>2.0541307067505868E-3</v>
      </c>
      <c r="Q409" s="180">
        <v>1.2055891827737501E-3</v>
      </c>
      <c r="R409" s="180">
        <v>1.2306885914741903E-3</v>
      </c>
      <c r="S409" s="180">
        <v>1.8678530672680304E-3</v>
      </c>
      <c r="T409" s="180">
        <v>8.2747273857601913E-4</v>
      </c>
      <c r="U409" s="180">
        <v>1.9463933682734615E-3</v>
      </c>
      <c r="V409" s="180">
        <v>9.4999344105865064E-4</v>
      </c>
      <c r="W409" s="180">
        <v>1.0020182531469391E-3</v>
      </c>
      <c r="X409" s="180">
        <v>1.59984129324471E-3</v>
      </c>
      <c r="Y409" s="180">
        <v>1.1984054366898813E-3</v>
      </c>
      <c r="Z409" s="180">
        <v>1.5294825998788863E-3</v>
      </c>
      <c r="AA409" s="180">
        <v>1.2162400994020978E-3</v>
      </c>
      <c r="AB409" s="180">
        <v>1.6142857385330945E-3</v>
      </c>
      <c r="AC409" s="180">
        <v>9.2172519542926422E-4</v>
      </c>
      <c r="AD409" s="180">
        <v>6.7255745531353401E-4</v>
      </c>
      <c r="AE409" s="180">
        <v>1.6964262161404888E-3</v>
      </c>
      <c r="AF409" s="180">
        <v>3.5270826394507459E-4</v>
      </c>
      <c r="AG409" s="180">
        <v>3.6944718915923875E-3</v>
      </c>
      <c r="AH409" s="180">
        <v>2.1280259291490004E-4</v>
      </c>
      <c r="AI409" s="181">
        <v>9.4116112769672574E-4</v>
      </c>
    </row>
    <row r="410" spans="2:35" x14ac:dyDescent="0.25">
      <c r="B410" s="163" t="str">
        <f>'Market Data'!$B$44</f>
        <v>WMT</v>
      </c>
      <c r="C410" s="160">
        <f>Statistics!$G$46</f>
        <v>1.8437214178450567E-3</v>
      </c>
      <c r="E410" s="168">
        <v>0.12852667642417809</v>
      </c>
      <c r="F410" s="205" t="str">
        <v>WMT</v>
      </c>
      <c r="G410" s="179">
        <v>5.7975796375205426E-4</v>
      </c>
      <c r="H410" s="180">
        <v>2.6973274792062105E-5</v>
      </c>
      <c r="I410" s="180">
        <v>1.7979190170774528E-4</v>
      </c>
      <c r="J410" s="180">
        <v>-2.1581932882750213E-4</v>
      </c>
      <c r="K410" s="180">
        <v>3.2563207166723412E-4</v>
      </c>
      <c r="L410" s="180">
        <v>1.437380584121094E-4</v>
      </c>
      <c r="M410" s="180">
        <v>-2.3301122426120984E-5</v>
      </c>
      <c r="N410" s="180">
        <v>-1.1672694641114529E-4</v>
      </c>
      <c r="O410" s="180">
        <v>3.1986346053900631E-5</v>
      </c>
      <c r="P410" s="180">
        <v>-5.4295264980806504E-5</v>
      </c>
      <c r="Q410" s="180">
        <v>1.9815526434870993E-4</v>
      </c>
      <c r="R410" s="180">
        <v>3.7610030291999273E-4</v>
      </c>
      <c r="S410" s="180">
        <v>-1.8556188989019865E-5</v>
      </c>
      <c r="T410" s="180">
        <v>7.1470891411086447E-4</v>
      </c>
      <c r="U410" s="180">
        <v>7.503242005510376E-5</v>
      </c>
      <c r="V410" s="180">
        <v>6.4703627119224946E-4</v>
      </c>
      <c r="W410" s="180">
        <v>4.237060092283065E-5</v>
      </c>
      <c r="X410" s="180">
        <v>4.5051539698961655E-4</v>
      </c>
      <c r="Y410" s="180">
        <v>4.389896882024129E-4</v>
      </c>
      <c r="Z410" s="180">
        <v>-3.4970831020819231E-4</v>
      </c>
      <c r="AA410" s="180">
        <v>1.3266739677968515E-5</v>
      </c>
      <c r="AB410" s="180">
        <v>6.1756439897017149E-4</v>
      </c>
      <c r="AC410" s="180">
        <v>7.2490049760504278E-4</v>
      </c>
      <c r="AD410" s="180">
        <v>2.5472583633253342E-4</v>
      </c>
      <c r="AE410" s="180">
        <v>2.8814451862251201E-4</v>
      </c>
      <c r="AF410" s="180">
        <v>4.5696587310639262E-4</v>
      </c>
      <c r="AG410" s="180">
        <v>2.1280259291490004E-4</v>
      </c>
      <c r="AH410" s="180">
        <v>1.9253008332035728E-3</v>
      </c>
      <c r="AI410" s="181">
        <v>9.9417778748729687E-5</v>
      </c>
    </row>
    <row r="411" spans="2:35" x14ac:dyDescent="0.25">
      <c r="B411" s="164" t="str">
        <f>'Market Data'!$B$45</f>
        <v>XOM</v>
      </c>
      <c r="C411" s="165">
        <f>Statistics!$G$47</f>
        <v>1.7101166353118678E-3</v>
      </c>
      <c r="E411" s="169">
        <v>5.3411818802875669E-2</v>
      </c>
      <c r="F411" s="206" t="str">
        <v>XOM</v>
      </c>
      <c r="G411" s="179">
        <v>8.3126780280069973E-4</v>
      </c>
      <c r="H411" s="180">
        <v>9.0240454872836753E-4</v>
      </c>
      <c r="I411" s="180">
        <v>5.5785917505375118E-4</v>
      </c>
      <c r="J411" s="180">
        <v>1.368945659107327E-3</v>
      </c>
      <c r="K411" s="180">
        <v>1.3701802479257339E-3</v>
      </c>
      <c r="L411" s="180">
        <v>1.9286286807754067E-3</v>
      </c>
      <c r="M411" s="180">
        <v>2.1182301102402332E-3</v>
      </c>
      <c r="N411" s="180">
        <v>1.3292278052638991E-3</v>
      </c>
      <c r="O411" s="180">
        <v>1.6264073394302158E-3</v>
      </c>
      <c r="P411" s="180">
        <v>1.4387650786059658E-3</v>
      </c>
      <c r="Q411" s="180">
        <v>5.7016164369997474E-4</v>
      </c>
      <c r="R411" s="180">
        <v>1.0970123689928199E-3</v>
      </c>
      <c r="S411" s="180">
        <v>1.0791409093812321E-3</v>
      </c>
      <c r="T411" s="180">
        <v>7.4627799983375924E-4</v>
      </c>
      <c r="U411" s="180">
        <v>1.3958094738143344E-3</v>
      </c>
      <c r="V411" s="180">
        <v>5.1805651820066112E-4</v>
      </c>
      <c r="W411" s="180">
        <v>6.6389606634421081E-4</v>
      </c>
      <c r="X411" s="180">
        <v>1.2697174541958882E-3</v>
      </c>
      <c r="Y411" s="180">
        <v>5.8214330295854532E-4</v>
      </c>
      <c r="Z411" s="180">
        <v>1.2219742467918569E-3</v>
      </c>
      <c r="AA411" s="180">
        <v>-1.9722713194093662E-4</v>
      </c>
      <c r="AB411" s="180">
        <v>8.1835922434987771E-4</v>
      </c>
      <c r="AC411" s="180">
        <v>6.1092932367000222E-4</v>
      </c>
      <c r="AD411" s="180">
        <v>7.6037739981613735E-4</v>
      </c>
      <c r="AE411" s="180">
        <v>1.3259012920786922E-3</v>
      </c>
      <c r="AF411" s="180">
        <v>6.4524949399266879E-4</v>
      </c>
      <c r="AG411" s="180">
        <v>9.4116112769672574E-4</v>
      </c>
      <c r="AH411" s="180">
        <v>9.9417778748729687E-5</v>
      </c>
      <c r="AI411" s="181">
        <v>1.845802781732033E-3</v>
      </c>
    </row>
    <row r="412" spans="2:35" x14ac:dyDescent="0.25">
      <c r="B412" s="3"/>
      <c r="C412" s="3"/>
      <c r="D412" s="3"/>
      <c r="E412" s="207">
        <f>SUM(TR7_PORTFOLIO_WEIGHTS)</f>
        <v>1</v>
      </c>
      <c r="F412" s="3"/>
      <c r="G412" s="184">
        <f>_xll.SumProduct2(TR7_PORTFOLIO_WEIGHTS,G383:G411)*G381</f>
        <v>0</v>
      </c>
      <c r="H412" s="185">
        <f>_xll.SumProduct2(TR7_PORTFOLIO_WEIGHTS,H383:H411)*H381</f>
        <v>0</v>
      </c>
      <c r="I412" s="185">
        <f>_xll.SumProduct2(TR7_PORTFOLIO_WEIGHTS,I383:I411)*I381</f>
        <v>0</v>
      </c>
      <c r="J412" s="185">
        <f>_xll.SumProduct2(TR7_PORTFOLIO_WEIGHTS,J383:J411)*J381</f>
        <v>0</v>
      </c>
      <c r="K412" s="185">
        <f>_xll.SumProduct2(TR7_PORTFOLIO_WEIGHTS,K383:K411)*K381</f>
        <v>0</v>
      </c>
      <c r="L412" s="185">
        <f>_xll.SumProduct2(TR7_PORTFOLIO_WEIGHTS,L383:L411)*L381</f>
        <v>0</v>
      </c>
      <c r="M412" s="185">
        <f>_xll.SumProduct2(TR7_PORTFOLIO_WEIGHTS,M383:M411)*M381</f>
        <v>0</v>
      </c>
      <c r="N412" s="185">
        <f>_xll.SumProduct2(TR7_PORTFOLIO_WEIGHTS,N383:N411)*N381</f>
        <v>0</v>
      </c>
      <c r="O412" s="185">
        <f>_xll.SumProduct2(TR7_PORTFOLIO_WEIGHTS,O383:O411)*O381</f>
        <v>0</v>
      </c>
      <c r="P412" s="185">
        <f>_xll.SumProduct2(TR7_PORTFOLIO_WEIGHTS,P383:P411)*P381</f>
        <v>0</v>
      </c>
      <c r="Q412" s="185">
        <f>_xll.SumProduct2(TR7_PORTFOLIO_WEIGHTS,Q383:Q411)*Q381</f>
        <v>4.0496533162121616E-5</v>
      </c>
      <c r="R412" s="185">
        <f>_xll.SumProduct2(TR7_PORTFOLIO_WEIGHTS,R383:R411)*R381</f>
        <v>0</v>
      </c>
      <c r="S412" s="185">
        <f>_xll.SumProduct2(TR7_PORTFOLIO_WEIGHTS,S383:S411)*S381</f>
        <v>0</v>
      </c>
      <c r="T412" s="185">
        <f>_xll.SumProduct2(TR7_PORTFOLIO_WEIGHTS,T383:T411)*T381</f>
        <v>0</v>
      </c>
      <c r="U412" s="185">
        <f>_xll.SumProduct2(TR7_PORTFOLIO_WEIGHTS,U383:U411)*U381</f>
        <v>0</v>
      </c>
      <c r="V412" s="185">
        <f>_xll.SumProduct2(TR7_PORTFOLIO_WEIGHTS,V383:V411)*V381</f>
        <v>3.2217635483335984E-5</v>
      </c>
      <c r="W412" s="185">
        <f>_xll.SumProduct2(TR7_PORTFOLIO_WEIGHTS,W383:W411)*W381</f>
        <v>4.3800191798145041E-5</v>
      </c>
      <c r="X412" s="185">
        <f>_xll.SumProduct2(TR7_PORTFOLIO_WEIGHTS,X383:X411)*X381</f>
        <v>0</v>
      </c>
      <c r="Y412" s="185">
        <f>_xll.SumProduct2(TR7_PORTFOLIO_WEIGHTS,Y383:Y411)*Y381</f>
        <v>9.4850911615396392E-6</v>
      </c>
      <c r="Z412" s="185">
        <f>_xll.SumProduct2(TR7_PORTFOLIO_WEIGHTS,Z383:Z411)*Z381</f>
        <v>0</v>
      </c>
      <c r="AA412" s="185">
        <f>_xll.SumProduct2(TR7_PORTFOLIO_WEIGHTS,AA383:AA411)*AA381</f>
        <v>9.0298079905736618E-5</v>
      </c>
      <c r="AB412" s="185">
        <f>_xll.SumProduct2(TR7_PORTFOLIO_WEIGHTS,AB383:AB411)*AB381</f>
        <v>0</v>
      </c>
      <c r="AC412" s="185">
        <f>_xll.SumProduct2(TR7_PORTFOLIO_WEIGHTS,AC383:AC411)*AC381</f>
        <v>7.3355741138970363E-5</v>
      </c>
      <c r="AD412" s="185">
        <f>_xll.SumProduct2(TR7_PORTFOLIO_WEIGHTS,AD383:AD411)*AD381</f>
        <v>1.2477300701532504E-4</v>
      </c>
      <c r="AE412" s="185">
        <f>_xll.SumProduct2(TR7_PORTFOLIO_WEIGHTS,AE383:AE411)*AE381</f>
        <v>0</v>
      </c>
      <c r="AF412" s="185">
        <f>_xll.SumProduct2(TR7_PORTFOLIO_WEIGHTS,AF383:AF411)*AF381</f>
        <v>5.8756705552864456E-5</v>
      </c>
      <c r="AG412" s="185">
        <f>_xll.SumProduct2(TR7_PORTFOLIO_WEIGHTS,AG383:AG411)*AG381</f>
        <v>0</v>
      </c>
      <c r="AH412" s="185">
        <f>_xll.SumProduct2(TR7_PORTFOLIO_WEIGHTS,AH383:AH411)*AH381</f>
        <v>6.6381463921239613E-5</v>
      </c>
      <c r="AI412" s="189">
        <f>_xll.SumProduct2(TR7_PORTFOLIO_WEIGHTS,AI383:AI411)*AI381</f>
        <v>2.7561642930577249E-5</v>
      </c>
    </row>
    <row r="413" spans="2:35" x14ac:dyDescent="0.25">
      <c r="B413" s="3"/>
      <c r="C413" s="3"/>
      <c r="D413" s="3"/>
      <c r="E413" s="3"/>
      <c r="F413" s="3"/>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row>
    <row r="414" spans="2:35" ht="20.25" thickBot="1" x14ac:dyDescent="0.35">
      <c r="B414" s="153" t="str">
        <f>ROUND(TR8_PORTFOLIO_TARGET_RETURN*100, LABEL_ROUNDING) &amp; "% Target Return Portfolio (TR8)"</f>
        <v>1.309% Target Return Portfolio (TR8)</v>
      </c>
      <c r="C414" s="153"/>
      <c r="D414" s="153"/>
      <c r="E414" s="154"/>
      <c r="F414" s="153"/>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row>
    <row r="415" spans="2:35" ht="15.75" thickTop="1" x14ac:dyDescent="0.25">
      <c r="B415" s="156" t="s">
        <v>70</v>
      </c>
      <c r="C415" s="159">
        <f>TR8_PORTFOLIO_TARGET_RETURN</f>
        <v>1.3085554891548801E-2</v>
      </c>
    </row>
    <row r="416" spans="2:35" x14ac:dyDescent="0.25">
      <c r="B416" s="157" t="s">
        <v>60</v>
      </c>
      <c r="C416" s="160">
        <f>_xll.SumProduct2(C421:C449,E421:E449)-RISK_FREE_RATE</f>
        <v>1.308555497493894E-2</v>
      </c>
    </row>
    <row r="417" spans="2:35" x14ac:dyDescent="0.25">
      <c r="B417" s="157" t="s">
        <v>62</v>
      </c>
      <c r="C417" s="160">
        <f>SQRT(SUM(G450:AI450))</f>
        <v>2.4340777809514259E-2</v>
      </c>
    </row>
    <row r="418" spans="2:35" x14ac:dyDescent="0.25">
      <c r="B418" s="158" t="s">
        <v>103</v>
      </c>
      <c r="C418" s="161" t="str">
        <f>_xll.TimeSeries.CovarianceMatrixCalculator.apply(COVARIANCE_MATRIX_CALCULATOR,'Efficient Frontier'!B421:B449,Statistics!$F$19:$F$47)</f>
        <v>»LabelledMatrix-16705291694770987826</v>
      </c>
      <c r="D418" t="s">
        <v>77</v>
      </c>
    </row>
    <row r="419" spans="2:35" x14ac:dyDescent="0.25">
      <c r="F419" s="111" t="s">
        <v>69</v>
      </c>
      <c r="G419" s="170">
        <f t="array" ref="G419:AI419">TRANSPOSE(E421:E449)</f>
        <v>0</v>
      </c>
      <c r="H419" s="171">
        <v>0</v>
      </c>
      <c r="I419" s="171">
        <v>0</v>
      </c>
      <c r="J419" s="171">
        <v>0</v>
      </c>
      <c r="K419" s="171">
        <v>0</v>
      </c>
      <c r="L419" s="171">
        <v>0</v>
      </c>
      <c r="M419" s="171">
        <v>0</v>
      </c>
      <c r="N419" s="171">
        <v>0</v>
      </c>
      <c r="O419" s="171">
        <v>0</v>
      </c>
      <c r="P419" s="171">
        <v>0</v>
      </c>
      <c r="Q419" s="171">
        <v>8.7348869854535729E-2</v>
      </c>
      <c r="R419" s="171">
        <v>0</v>
      </c>
      <c r="S419" s="171">
        <v>0</v>
      </c>
      <c r="T419" s="171">
        <v>0</v>
      </c>
      <c r="U419" s="171">
        <v>0</v>
      </c>
      <c r="V419" s="171">
        <v>5.0385106274887362E-2</v>
      </c>
      <c r="W419" s="171">
        <v>7.7748416408113669E-2</v>
      </c>
      <c r="X419" s="171">
        <v>0</v>
      </c>
      <c r="Y419" s="171">
        <v>1.023081404384002E-2</v>
      </c>
      <c r="Z419" s="171">
        <v>6.4567717335073755E-3</v>
      </c>
      <c r="AA419" s="171">
        <v>0.15171482443127224</v>
      </c>
      <c r="AB419" s="171">
        <v>0</v>
      </c>
      <c r="AC419" s="171">
        <v>0.14972242357725837</v>
      </c>
      <c r="AD419" s="171">
        <v>0.2499187462402544</v>
      </c>
      <c r="AE419" s="171">
        <v>0</v>
      </c>
      <c r="AF419" s="171">
        <v>0.10818983511706376</v>
      </c>
      <c r="AG419" s="171">
        <v>0</v>
      </c>
      <c r="AH419" s="171">
        <v>0.10478707057644575</v>
      </c>
      <c r="AI419" s="172">
        <v>3.4971217428211342E-3</v>
      </c>
    </row>
    <row r="420" spans="2:35" x14ac:dyDescent="0.25">
      <c r="C420" s="111" t="s">
        <v>63</v>
      </c>
      <c r="E420" s="89" t="s">
        <v>69</v>
      </c>
      <c r="F420" s="166" t="str">
        <f t="array" ref="F420:AI449">_xll.Matrix.ExpandAsArray(C418)</f>
        <v/>
      </c>
      <c r="G420" s="173" t="str">
        <v>AAPL</v>
      </c>
      <c r="H420" s="174" t="str">
        <v>AXP</v>
      </c>
      <c r="I420" s="174" t="str">
        <v>BA</v>
      </c>
      <c r="J420" s="174" t="str">
        <v>CAT</v>
      </c>
      <c r="K420" s="174" t="str">
        <v>CSCO</v>
      </c>
      <c r="L420" s="174" t="str">
        <v>CVX</v>
      </c>
      <c r="M420" s="174" t="str">
        <v>DD</v>
      </c>
      <c r="N420" s="174" t="str">
        <v>DIS</v>
      </c>
      <c r="O420" s="174" t="str">
        <v>GE</v>
      </c>
      <c r="P420" s="174" t="str">
        <v>GS</v>
      </c>
      <c r="Q420" s="174" t="str">
        <v>HD</v>
      </c>
      <c r="R420" s="174" t="str">
        <v>IBM</v>
      </c>
      <c r="S420" s="174" t="str">
        <v>INTC</v>
      </c>
      <c r="T420" s="174" t="str">
        <v>JNJ</v>
      </c>
      <c r="U420" s="174" t="str">
        <v>JPM</v>
      </c>
      <c r="V420" s="174" t="str">
        <v>KO</v>
      </c>
      <c r="W420" s="174" t="str">
        <v>MCD</v>
      </c>
      <c r="X420" s="174" t="str">
        <v>MMM</v>
      </c>
      <c r="Y420" s="174" t="str">
        <v>MRK</v>
      </c>
      <c r="Z420" s="174" t="str">
        <v>MSFT</v>
      </c>
      <c r="AA420" s="174" t="str">
        <v>NKE</v>
      </c>
      <c r="AB420" s="174" t="str">
        <v>PFE</v>
      </c>
      <c r="AC420" s="174" t="str">
        <v>PG</v>
      </c>
      <c r="AD420" s="174" t="str">
        <v>UNH</v>
      </c>
      <c r="AE420" s="174" t="str">
        <v>UTX</v>
      </c>
      <c r="AF420" s="174" t="str">
        <v>VZ</v>
      </c>
      <c r="AG420" s="174" t="str">
        <v>V</v>
      </c>
      <c r="AH420" s="174" t="str">
        <v>WMT</v>
      </c>
      <c r="AI420" s="175" t="str">
        <v>XOM</v>
      </c>
    </row>
    <row r="421" spans="2:35" x14ac:dyDescent="0.25">
      <c r="B421" s="162" t="str">
        <f>'Market Data'!$B$17</f>
        <v>AAPL</v>
      </c>
      <c r="C421" s="159">
        <f>Statistics!$G$19</f>
        <v>2.1230184800142136E-2</v>
      </c>
      <c r="E421" s="167">
        <v>0</v>
      </c>
      <c r="F421" s="84" t="str">
        <v>AAPL</v>
      </c>
      <c r="G421" s="176">
        <v>4.5162973293162668E-3</v>
      </c>
      <c r="H421" s="177">
        <v>1.6284380645241216E-3</v>
      </c>
      <c r="I421" s="177">
        <v>1.6201491796022521E-3</v>
      </c>
      <c r="J421" s="177">
        <v>1.5690359790962263E-3</v>
      </c>
      <c r="K421" s="177">
        <v>2.3505409053430782E-3</v>
      </c>
      <c r="L421" s="177">
        <v>1.1773098260505132E-3</v>
      </c>
      <c r="M421" s="177">
        <v>2.5889638042653502E-3</v>
      </c>
      <c r="N421" s="177">
        <v>1.366655807124157E-3</v>
      </c>
      <c r="O421" s="177">
        <v>1.5698375611055285E-3</v>
      </c>
      <c r="P421" s="177">
        <v>1.8109156333145874E-3</v>
      </c>
      <c r="Q421" s="177">
        <v>9.8639311096076088E-4</v>
      </c>
      <c r="R421" s="177">
        <v>1.7737023799007877E-3</v>
      </c>
      <c r="S421" s="177">
        <v>1.6293191413582805E-3</v>
      </c>
      <c r="T421" s="177">
        <v>8.2631268301744008E-4</v>
      </c>
      <c r="U421" s="177">
        <v>1.2529926248616137E-3</v>
      </c>
      <c r="V421" s="177">
        <v>9.6129190129553134E-4</v>
      </c>
      <c r="W421" s="177">
        <v>4.3723596630614248E-4</v>
      </c>
      <c r="X421" s="177">
        <v>1.6042263123932821E-3</v>
      </c>
      <c r="Y421" s="177">
        <v>6.6280896407091964E-4</v>
      </c>
      <c r="Z421" s="177">
        <v>1.7656054736670385E-3</v>
      </c>
      <c r="AA421" s="177">
        <v>7.4054258425286133E-4</v>
      </c>
      <c r="AB421" s="177">
        <v>1.105136574328315E-3</v>
      </c>
      <c r="AC421" s="177">
        <v>1.0336127768185608E-3</v>
      </c>
      <c r="AD421" s="177">
        <v>5.5673881663560775E-4</v>
      </c>
      <c r="AE421" s="177">
        <v>1.2367738317379871E-3</v>
      </c>
      <c r="AF421" s="177">
        <v>1.8457278448214234E-4</v>
      </c>
      <c r="AG421" s="177">
        <v>1.5697677901095443E-3</v>
      </c>
      <c r="AH421" s="177">
        <v>5.7975796375205426E-4</v>
      </c>
      <c r="AI421" s="178">
        <v>8.3126780280069973E-4</v>
      </c>
    </row>
    <row r="422" spans="2:35" x14ac:dyDescent="0.25">
      <c r="B422" s="163" t="str">
        <f>'Market Data'!$B$18</f>
        <v>AXP</v>
      </c>
      <c r="C422" s="160">
        <f>Statistics!$G$20</f>
        <v>6.4918343965214677E-3</v>
      </c>
      <c r="E422" s="168">
        <v>0</v>
      </c>
      <c r="F422" s="85" t="str">
        <v>AXP</v>
      </c>
      <c r="G422" s="179">
        <v>1.6284380645241216E-3</v>
      </c>
      <c r="H422" s="180">
        <v>4.0660324753009668E-3</v>
      </c>
      <c r="I422" s="180">
        <v>2.3214948032735548E-3</v>
      </c>
      <c r="J422" s="180">
        <v>2.4672804057197504E-3</v>
      </c>
      <c r="K422" s="180">
        <v>2.2861035048804129E-3</v>
      </c>
      <c r="L422" s="180">
        <v>1.4106472819975181E-3</v>
      </c>
      <c r="M422" s="180">
        <v>3.0070268955997704E-3</v>
      </c>
      <c r="N422" s="180">
        <v>1.9718583562846406E-3</v>
      </c>
      <c r="O422" s="180">
        <v>1.6460552176854309E-3</v>
      </c>
      <c r="P422" s="180">
        <v>3.1197862990926528E-3</v>
      </c>
      <c r="Q422" s="180">
        <v>1.285962047454306E-3</v>
      </c>
      <c r="R422" s="180">
        <v>1.960684724858895E-3</v>
      </c>
      <c r="S422" s="180">
        <v>2.0715314739138896E-3</v>
      </c>
      <c r="T422" s="180">
        <v>7.3945969222275051E-4</v>
      </c>
      <c r="U422" s="180">
        <v>2.7840355446374721E-3</v>
      </c>
      <c r="V422" s="180">
        <v>5.6369017954212687E-4</v>
      </c>
      <c r="W422" s="180">
        <v>5.9016175595858627E-4</v>
      </c>
      <c r="X422" s="180">
        <v>1.3680882736390085E-3</v>
      </c>
      <c r="Y422" s="180">
        <v>9.5675499919051471E-4</v>
      </c>
      <c r="Z422" s="180">
        <v>1.7453927826798744E-3</v>
      </c>
      <c r="AA422" s="180">
        <v>9.1418204127611028E-4</v>
      </c>
      <c r="AB422" s="180">
        <v>1.0081234358528435E-3</v>
      </c>
      <c r="AC422" s="180">
        <v>4.150551569421239E-4</v>
      </c>
      <c r="AD422" s="180">
        <v>9.035040942327959E-4</v>
      </c>
      <c r="AE422" s="180">
        <v>1.9679940702890687E-3</v>
      </c>
      <c r="AF422" s="180">
        <v>-7.7366109832012643E-5</v>
      </c>
      <c r="AG422" s="180">
        <v>2.1563583115517065E-3</v>
      </c>
      <c r="AH422" s="180">
        <v>2.6973274792062105E-5</v>
      </c>
      <c r="AI422" s="181">
        <v>9.0240454872836753E-4</v>
      </c>
    </row>
    <row r="423" spans="2:35" x14ac:dyDescent="0.25">
      <c r="B423" s="163" t="str">
        <f>'Market Data'!$B$19</f>
        <v>BA</v>
      </c>
      <c r="C423" s="160">
        <f>Statistics!$G$21</f>
        <v>1.9250861766613322E-2</v>
      </c>
      <c r="E423" s="168">
        <v>0</v>
      </c>
      <c r="F423" s="85" t="str">
        <v>BA</v>
      </c>
      <c r="G423" s="179">
        <v>1.6201491796022521E-3</v>
      </c>
      <c r="H423" s="180">
        <v>2.3214948032735548E-3</v>
      </c>
      <c r="I423" s="180">
        <v>3.7402935775721971E-3</v>
      </c>
      <c r="J423" s="180">
        <v>1.6046317611050844E-3</v>
      </c>
      <c r="K423" s="180">
        <v>2.1240240973260023E-3</v>
      </c>
      <c r="L423" s="180">
        <v>1.3419066335272889E-3</v>
      </c>
      <c r="M423" s="180">
        <v>3.1629198402818382E-3</v>
      </c>
      <c r="N423" s="180">
        <v>2.193611301570318E-3</v>
      </c>
      <c r="O423" s="180">
        <v>1.7334051959416068E-3</v>
      </c>
      <c r="P423" s="180">
        <v>2.2391121271409182E-3</v>
      </c>
      <c r="Q423" s="180">
        <v>1.2911501083222776E-3</v>
      </c>
      <c r="R423" s="180">
        <v>1.1336433634722555E-3</v>
      </c>
      <c r="S423" s="180">
        <v>1.485647562986758E-3</v>
      </c>
      <c r="T423" s="180">
        <v>7.7470388279684329E-4</v>
      </c>
      <c r="U423" s="180">
        <v>1.8054441283061249E-3</v>
      </c>
      <c r="V423" s="180">
        <v>9.7196182882881919E-4</v>
      </c>
      <c r="W423" s="180">
        <v>1.004575731683145E-3</v>
      </c>
      <c r="X423" s="180">
        <v>1.220072170107771E-3</v>
      </c>
      <c r="Y423" s="180">
        <v>1.3506721993334096E-3</v>
      </c>
      <c r="Z423" s="180">
        <v>1.4618979219237266E-3</v>
      </c>
      <c r="AA423" s="180">
        <v>1.1825978430535619E-3</v>
      </c>
      <c r="AB423" s="180">
        <v>1.2950969606515986E-3</v>
      </c>
      <c r="AC423" s="180">
        <v>5.997217417536032E-4</v>
      </c>
      <c r="AD423" s="180">
        <v>6.5863568330466196E-4</v>
      </c>
      <c r="AE423" s="180">
        <v>1.846395156096473E-3</v>
      </c>
      <c r="AF423" s="180">
        <v>3.7914592931386057E-4</v>
      </c>
      <c r="AG423" s="180">
        <v>2.2475777063178958E-3</v>
      </c>
      <c r="AH423" s="180">
        <v>1.7979190170774528E-4</v>
      </c>
      <c r="AI423" s="181">
        <v>5.5785917505375118E-4</v>
      </c>
    </row>
    <row r="424" spans="2:35" x14ac:dyDescent="0.25">
      <c r="B424" s="163" t="str">
        <f>'Market Data'!$B$20</f>
        <v>CAT</v>
      </c>
      <c r="C424" s="160">
        <f>Statistics!$G$22</f>
        <v>6.3545919720494892E-3</v>
      </c>
      <c r="E424" s="168">
        <v>0</v>
      </c>
      <c r="F424" s="85" t="str">
        <v>CAT</v>
      </c>
      <c r="G424" s="179">
        <v>1.5690359790962263E-3</v>
      </c>
      <c r="H424" s="180">
        <v>2.4672804057197504E-3</v>
      </c>
      <c r="I424" s="180">
        <v>1.6046317611050844E-3</v>
      </c>
      <c r="J424" s="180">
        <v>4.5013491323716076E-3</v>
      </c>
      <c r="K424" s="180">
        <v>1.8532157140411887E-3</v>
      </c>
      <c r="L424" s="180">
        <v>2.2352946064681648E-3</v>
      </c>
      <c r="M424" s="180">
        <v>3.0429489894058951E-3</v>
      </c>
      <c r="N424" s="180">
        <v>1.6981712196612736E-3</v>
      </c>
      <c r="O424" s="180">
        <v>2.2046623152336968E-3</v>
      </c>
      <c r="P424" s="180">
        <v>2.3825247137119567E-3</v>
      </c>
      <c r="Q424" s="180">
        <v>1.0587514228509517E-3</v>
      </c>
      <c r="R424" s="180">
        <v>2.1554825858441308E-3</v>
      </c>
      <c r="S424" s="180">
        <v>2.3005603160952529E-3</v>
      </c>
      <c r="T424" s="180">
        <v>9.0633949973445221E-4</v>
      </c>
      <c r="U424" s="180">
        <v>2.011937601179676E-3</v>
      </c>
      <c r="V424" s="180">
        <v>6.586205973694774E-4</v>
      </c>
      <c r="W424" s="180">
        <v>1.2118483675212872E-3</v>
      </c>
      <c r="X424" s="180">
        <v>1.3778500117759705E-3</v>
      </c>
      <c r="Y424" s="180">
        <v>1.6454661341138513E-3</v>
      </c>
      <c r="Z424" s="180">
        <v>2.2842322526096018E-3</v>
      </c>
      <c r="AA424" s="180">
        <v>-1.1104731462091626E-4</v>
      </c>
      <c r="AB424" s="180">
        <v>7.9610645869862182E-4</v>
      </c>
      <c r="AC424" s="180">
        <v>4.9254664842985144E-4</v>
      </c>
      <c r="AD424" s="180">
        <v>7.8373416165496384E-4</v>
      </c>
      <c r="AE424" s="180">
        <v>2.1924453554447642E-3</v>
      </c>
      <c r="AF424" s="180">
        <v>6.8929109799853135E-4</v>
      </c>
      <c r="AG424" s="180">
        <v>1.4624027030174886E-3</v>
      </c>
      <c r="AH424" s="180">
        <v>-2.1581932882750213E-4</v>
      </c>
      <c r="AI424" s="181">
        <v>1.368945659107327E-3</v>
      </c>
    </row>
    <row r="425" spans="2:35" x14ac:dyDescent="0.25">
      <c r="B425" s="163" t="str">
        <f>'Market Data'!$B$21</f>
        <v>CSCO</v>
      </c>
      <c r="C425" s="160">
        <f>Statistics!$G$23</f>
        <v>1.4928779568119917E-2</v>
      </c>
      <c r="E425" s="168">
        <v>0</v>
      </c>
      <c r="F425" s="85" t="str">
        <v>CSCO</v>
      </c>
      <c r="G425" s="179">
        <v>2.3505409053430782E-3</v>
      </c>
      <c r="H425" s="180">
        <v>2.2861035048804129E-3</v>
      </c>
      <c r="I425" s="180">
        <v>2.1240240973260023E-3</v>
      </c>
      <c r="J425" s="180">
        <v>1.8532157140411887E-3</v>
      </c>
      <c r="K425" s="180">
        <v>4.2943797540477393E-3</v>
      </c>
      <c r="L425" s="180">
        <v>1.6495950515362169E-3</v>
      </c>
      <c r="M425" s="180">
        <v>3.7036865533827041E-3</v>
      </c>
      <c r="N425" s="180">
        <v>1.9090150380186609E-3</v>
      </c>
      <c r="O425" s="180">
        <v>2.0168425927536027E-3</v>
      </c>
      <c r="P425" s="180">
        <v>2.2177683830845976E-3</v>
      </c>
      <c r="Q425" s="180">
        <v>9.8504335267051509E-4</v>
      </c>
      <c r="R425" s="180">
        <v>2.2508292865696072E-3</v>
      </c>
      <c r="S425" s="180">
        <v>2.2625583672846289E-3</v>
      </c>
      <c r="T425" s="180">
        <v>1.1094225673998865E-3</v>
      </c>
      <c r="U425" s="180">
        <v>2.0831844183308271E-3</v>
      </c>
      <c r="V425" s="180">
        <v>1.0904984859812852E-3</v>
      </c>
      <c r="W425" s="180">
        <v>8.8656407550750189E-4</v>
      </c>
      <c r="X425" s="180">
        <v>1.6594658489014636E-3</v>
      </c>
      <c r="Y425" s="180">
        <v>1.2877752599161352E-3</v>
      </c>
      <c r="Z425" s="180">
        <v>2.1511833371391734E-3</v>
      </c>
      <c r="AA425" s="180">
        <v>7.2136303147440504E-4</v>
      </c>
      <c r="AB425" s="180">
        <v>1.5185012123350332E-3</v>
      </c>
      <c r="AC425" s="180">
        <v>1.0690588122897406E-3</v>
      </c>
      <c r="AD425" s="180">
        <v>1.0321561899434074E-3</v>
      </c>
      <c r="AE425" s="180">
        <v>2.0848208418056797E-3</v>
      </c>
      <c r="AF425" s="180">
        <v>5.9888719676582812E-4</v>
      </c>
      <c r="AG425" s="180">
        <v>2.8598074505702059E-3</v>
      </c>
      <c r="AH425" s="180">
        <v>3.2563207166723412E-4</v>
      </c>
      <c r="AI425" s="181">
        <v>1.3701802479257339E-3</v>
      </c>
    </row>
    <row r="426" spans="2:35" x14ac:dyDescent="0.25">
      <c r="B426" s="163" t="str">
        <f>'Market Data'!$B$22</f>
        <v>CVX</v>
      </c>
      <c r="C426" s="160">
        <f>Statistics!$G$24</f>
        <v>2.6845541907593424E-3</v>
      </c>
      <c r="E426" s="168">
        <v>0</v>
      </c>
      <c r="F426" s="85" t="str">
        <v>CVX</v>
      </c>
      <c r="G426" s="179">
        <v>1.1773098260505132E-3</v>
      </c>
      <c r="H426" s="180">
        <v>1.4106472819975181E-3</v>
      </c>
      <c r="I426" s="180">
        <v>1.3419066335272889E-3</v>
      </c>
      <c r="J426" s="180">
        <v>2.2352946064681648E-3</v>
      </c>
      <c r="K426" s="180">
        <v>1.6495950515362169E-3</v>
      </c>
      <c r="L426" s="180">
        <v>3.2764948408559465E-3</v>
      </c>
      <c r="M426" s="180">
        <v>2.8277959806832817E-3</v>
      </c>
      <c r="N426" s="180">
        <v>1.8200348202442435E-3</v>
      </c>
      <c r="O426" s="180">
        <v>2.0997855192430963E-3</v>
      </c>
      <c r="P426" s="180">
        <v>2.495859527554455E-3</v>
      </c>
      <c r="Q426" s="180">
        <v>7.9860489883547216E-4</v>
      </c>
      <c r="R426" s="180">
        <v>1.7099575851328929E-3</v>
      </c>
      <c r="S426" s="180">
        <v>1.762362573764028E-3</v>
      </c>
      <c r="T426" s="180">
        <v>1.0006982850928254E-3</v>
      </c>
      <c r="U426" s="180">
        <v>2.159640132817216E-3</v>
      </c>
      <c r="V426" s="180">
        <v>7.7350953916938299E-4</v>
      </c>
      <c r="W426" s="180">
        <v>1.2445101608031307E-3</v>
      </c>
      <c r="X426" s="180">
        <v>1.3396872809028706E-3</v>
      </c>
      <c r="Y426" s="180">
        <v>1.0548817345930506E-3</v>
      </c>
      <c r="Z426" s="180">
        <v>1.921523261676006E-3</v>
      </c>
      <c r="AA426" s="180">
        <v>-3.0145919518466895E-4</v>
      </c>
      <c r="AB426" s="180">
        <v>1.0966581694716135E-3</v>
      </c>
      <c r="AC426" s="180">
        <v>8.4385070363078498E-4</v>
      </c>
      <c r="AD426" s="180">
        <v>8.9699068571536217E-4</v>
      </c>
      <c r="AE426" s="180">
        <v>1.7655731333339048E-3</v>
      </c>
      <c r="AF426" s="180">
        <v>7.5916190680994219E-4</v>
      </c>
      <c r="AG426" s="180">
        <v>9.2897312946466114E-4</v>
      </c>
      <c r="AH426" s="180">
        <v>1.437380584121094E-4</v>
      </c>
      <c r="AI426" s="181">
        <v>1.9286286807754067E-3</v>
      </c>
    </row>
    <row r="427" spans="2:35" x14ac:dyDescent="0.25">
      <c r="B427" s="163" t="str">
        <f>'Market Data'!$B$23</f>
        <v>DD</v>
      </c>
      <c r="C427" s="160">
        <f>Statistics!$G$25</f>
        <v>1.7349865519574785E-2</v>
      </c>
      <c r="E427" s="168">
        <v>0</v>
      </c>
      <c r="F427" s="85" t="str">
        <v>DD</v>
      </c>
      <c r="G427" s="179">
        <v>2.5889638042653502E-3</v>
      </c>
      <c r="H427" s="180">
        <v>3.0070268955997704E-3</v>
      </c>
      <c r="I427" s="180">
        <v>3.1629198402818382E-3</v>
      </c>
      <c r="J427" s="180">
        <v>3.0429489894058951E-3</v>
      </c>
      <c r="K427" s="180">
        <v>3.7036865533827041E-3</v>
      </c>
      <c r="L427" s="180">
        <v>2.8277959806832817E-3</v>
      </c>
      <c r="M427" s="180">
        <v>7.2090294001774871E-3</v>
      </c>
      <c r="N427" s="180">
        <v>3.2246456006375726E-3</v>
      </c>
      <c r="O427" s="180">
        <v>3.2408092269649337E-3</v>
      </c>
      <c r="P427" s="180">
        <v>3.1194558916632768E-3</v>
      </c>
      <c r="Q427" s="180">
        <v>2.0138415935295195E-3</v>
      </c>
      <c r="R427" s="180">
        <v>2.4056181433013803E-3</v>
      </c>
      <c r="S427" s="180">
        <v>2.9333641814070907E-3</v>
      </c>
      <c r="T427" s="180">
        <v>1.7073269232421356E-3</v>
      </c>
      <c r="U427" s="180">
        <v>2.9403656750226037E-3</v>
      </c>
      <c r="V427" s="180">
        <v>1.3828838928124146E-3</v>
      </c>
      <c r="W427" s="180">
        <v>1.5566945864839937E-3</v>
      </c>
      <c r="X427" s="180">
        <v>2.4333011024343194E-3</v>
      </c>
      <c r="Y427" s="180">
        <v>2.1034755337789339E-3</v>
      </c>
      <c r="Z427" s="180">
        <v>3.4647817866697963E-3</v>
      </c>
      <c r="AA427" s="180">
        <v>1.371253710214986E-3</v>
      </c>
      <c r="AB427" s="180">
        <v>2.2541080192876768E-3</v>
      </c>
      <c r="AC427" s="180">
        <v>1.1783213677355128E-3</v>
      </c>
      <c r="AD427" s="180">
        <v>1.3915459916452729E-3</v>
      </c>
      <c r="AE427" s="180">
        <v>3.4844332298577191E-3</v>
      </c>
      <c r="AF427" s="180">
        <v>9.2727826439514978E-4</v>
      </c>
      <c r="AG427" s="180">
        <v>3.0677861856869904E-3</v>
      </c>
      <c r="AH427" s="180">
        <v>-2.3301122426120984E-5</v>
      </c>
      <c r="AI427" s="181">
        <v>2.1182301102402332E-3</v>
      </c>
    </row>
    <row r="428" spans="2:35" x14ac:dyDescent="0.25">
      <c r="B428" s="163" t="str">
        <f>'Market Data'!$B$24</f>
        <v>DIS</v>
      </c>
      <c r="C428" s="160">
        <f>Statistics!$G$26</f>
        <v>1.7109009470709015E-2</v>
      </c>
      <c r="E428" s="168">
        <v>0</v>
      </c>
      <c r="F428" s="85" t="str">
        <v>DIS</v>
      </c>
      <c r="G428" s="179">
        <v>1.366655807124157E-3</v>
      </c>
      <c r="H428" s="180">
        <v>1.9718583562846406E-3</v>
      </c>
      <c r="I428" s="180">
        <v>2.193611301570318E-3</v>
      </c>
      <c r="J428" s="180">
        <v>1.6981712196612736E-3</v>
      </c>
      <c r="K428" s="180">
        <v>1.9090150380186609E-3</v>
      </c>
      <c r="L428" s="180">
        <v>1.8200348202442435E-3</v>
      </c>
      <c r="M428" s="180">
        <v>3.2246456006375726E-3</v>
      </c>
      <c r="N428" s="180">
        <v>3.2225637954133132E-3</v>
      </c>
      <c r="O428" s="180">
        <v>1.7980110839806059E-3</v>
      </c>
      <c r="P428" s="180">
        <v>2.5910429203650125E-3</v>
      </c>
      <c r="Q428" s="180">
        <v>1.4438567521116873E-3</v>
      </c>
      <c r="R428" s="180">
        <v>1.2533920720746924E-3</v>
      </c>
      <c r="S428" s="180">
        <v>1.4872846501875279E-3</v>
      </c>
      <c r="T428" s="180">
        <v>7.6090581351824873E-4</v>
      </c>
      <c r="U428" s="180">
        <v>2.3150492241015347E-3</v>
      </c>
      <c r="V428" s="180">
        <v>7.3157249166013263E-4</v>
      </c>
      <c r="W428" s="180">
        <v>1.0434476997331528E-3</v>
      </c>
      <c r="X428" s="180">
        <v>1.3935802423237448E-3</v>
      </c>
      <c r="Y428" s="180">
        <v>1.1180874248259017E-3</v>
      </c>
      <c r="Z428" s="180">
        <v>1.7514488094562146E-3</v>
      </c>
      <c r="AA428" s="180">
        <v>1.1713887062549742E-3</v>
      </c>
      <c r="AB428" s="180">
        <v>1.4909638464124207E-3</v>
      </c>
      <c r="AC428" s="180">
        <v>6.6920552953337459E-4</v>
      </c>
      <c r="AD428" s="180">
        <v>9.9320622386439117E-4</v>
      </c>
      <c r="AE428" s="180">
        <v>1.6618009644053405E-3</v>
      </c>
      <c r="AF428" s="180">
        <v>5.8624704841600517E-4</v>
      </c>
      <c r="AG428" s="180">
        <v>2.2204011828610088E-3</v>
      </c>
      <c r="AH428" s="180">
        <v>-1.1672694641114529E-4</v>
      </c>
      <c r="AI428" s="181">
        <v>1.3292278052638991E-3</v>
      </c>
    </row>
    <row r="429" spans="2:35" x14ac:dyDescent="0.25">
      <c r="B429" s="163" t="str">
        <f>'Market Data'!$B$25</f>
        <v>GE</v>
      </c>
      <c r="C429" s="160">
        <f>Statistics!$G$27</f>
        <v>9.2719197536449416E-3</v>
      </c>
      <c r="E429" s="168">
        <v>0</v>
      </c>
      <c r="F429" s="85" t="str">
        <v>GE</v>
      </c>
      <c r="G429" s="179">
        <v>1.5698375611055285E-3</v>
      </c>
      <c r="H429" s="180">
        <v>1.6460552176854309E-3</v>
      </c>
      <c r="I429" s="180">
        <v>1.7334051959416068E-3</v>
      </c>
      <c r="J429" s="180">
        <v>2.2046623152336968E-3</v>
      </c>
      <c r="K429" s="180">
        <v>2.0168425927536027E-3</v>
      </c>
      <c r="L429" s="180">
        <v>2.0997855192430963E-3</v>
      </c>
      <c r="M429" s="180">
        <v>3.2408092269649337E-3</v>
      </c>
      <c r="N429" s="180">
        <v>1.7980110839806059E-3</v>
      </c>
      <c r="O429" s="180">
        <v>2.8739818723832944E-3</v>
      </c>
      <c r="P429" s="180">
        <v>2.2255962061739098E-3</v>
      </c>
      <c r="Q429" s="180">
        <v>1.1779071347684854E-3</v>
      </c>
      <c r="R429" s="180">
        <v>1.4606469135339543E-3</v>
      </c>
      <c r="S429" s="180">
        <v>1.8413857882482649E-3</v>
      </c>
      <c r="T429" s="180">
        <v>1.1338883047798758E-3</v>
      </c>
      <c r="U429" s="180">
        <v>1.9825602222543746E-3</v>
      </c>
      <c r="V429" s="180">
        <v>1.0900315820250495E-3</v>
      </c>
      <c r="W429" s="180">
        <v>1.4080437366372094E-3</v>
      </c>
      <c r="X429" s="180">
        <v>1.6476299492810176E-3</v>
      </c>
      <c r="Y429" s="180">
        <v>7.4080885300837902E-4</v>
      </c>
      <c r="Z429" s="180">
        <v>2.1782812682115105E-3</v>
      </c>
      <c r="AA429" s="180">
        <v>6.8149888740689005E-4</v>
      </c>
      <c r="AB429" s="180">
        <v>1.1596920910434683E-3</v>
      </c>
      <c r="AC429" s="180">
        <v>8.669689440805547E-4</v>
      </c>
      <c r="AD429" s="180">
        <v>6.9406421327386882E-4</v>
      </c>
      <c r="AE429" s="180">
        <v>1.9210155408337607E-3</v>
      </c>
      <c r="AF429" s="180">
        <v>1.0256274934399997E-3</v>
      </c>
      <c r="AG429" s="180">
        <v>1.7646874198991678E-3</v>
      </c>
      <c r="AH429" s="180">
        <v>3.1986346053900631E-5</v>
      </c>
      <c r="AI429" s="181">
        <v>1.6264073394302158E-3</v>
      </c>
    </row>
    <row r="430" spans="2:35" x14ac:dyDescent="0.25">
      <c r="B430" s="163" t="str">
        <f>'Market Data'!$B$26</f>
        <v>GS</v>
      </c>
      <c r="C430" s="160">
        <f>Statistics!$G$28</f>
        <v>1.2775975133106521E-2</v>
      </c>
      <c r="E430" s="168">
        <v>0</v>
      </c>
      <c r="F430" s="85" t="str">
        <v>GS</v>
      </c>
      <c r="G430" s="179">
        <v>1.8109156333145874E-3</v>
      </c>
      <c r="H430" s="180">
        <v>3.1197862990926528E-3</v>
      </c>
      <c r="I430" s="180">
        <v>2.2391121271409182E-3</v>
      </c>
      <c r="J430" s="180">
        <v>2.3825247137119567E-3</v>
      </c>
      <c r="K430" s="180">
        <v>2.2177683830845976E-3</v>
      </c>
      <c r="L430" s="180">
        <v>2.495859527554455E-3</v>
      </c>
      <c r="M430" s="180">
        <v>3.1194558916632768E-3</v>
      </c>
      <c r="N430" s="180">
        <v>2.5910429203650125E-3</v>
      </c>
      <c r="O430" s="180">
        <v>2.2255962061739098E-3</v>
      </c>
      <c r="P430" s="180">
        <v>4.8815099105356504E-3</v>
      </c>
      <c r="Q430" s="180">
        <v>1.5442152510598698E-3</v>
      </c>
      <c r="R430" s="180">
        <v>2.2308798805711167E-3</v>
      </c>
      <c r="S430" s="180">
        <v>1.7997270101458302E-3</v>
      </c>
      <c r="T430" s="180">
        <v>7.4857834611503948E-4</v>
      </c>
      <c r="U430" s="180">
        <v>3.8267678235899111E-3</v>
      </c>
      <c r="V430" s="180">
        <v>5.0884399749192373E-4</v>
      </c>
      <c r="W430" s="180">
        <v>1.1844149472533348E-3</v>
      </c>
      <c r="X430" s="180">
        <v>1.5580261625844892E-3</v>
      </c>
      <c r="Y430" s="180">
        <v>9.5059394038900442E-4</v>
      </c>
      <c r="Z430" s="180">
        <v>1.9881521509949444E-3</v>
      </c>
      <c r="AA430" s="180">
        <v>9.2810945195530823E-4</v>
      </c>
      <c r="AB430" s="180">
        <v>1.2974763649140325E-3</v>
      </c>
      <c r="AC430" s="180">
        <v>6.8796273406052837E-4</v>
      </c>
      <c r="AD430" s="180">
        <v>1.248419321363809E-3</v>
      </c>
      <c r="AE430" s="180">
        <v>2.1674424403236793E-3</v>
      </c>
      <c r="AF430" s="180">
        <v>3.7523862948950627E-4</v>
      </c>
      <c r="AG430" s="180">
        <v>2.0541307067505868E-3</v>
      </c>
      <c r="AH430" s="180">
        <v>-5.4295264980806504E-5</v>
      </c>
      <c r="AI430" s="181">
        <v>1.4387650786059658E-3</v>
      </c>
    </row>
    <row r="431" spans="2:35" x14ac:dyDescent="0.25">
      <c r="B431" s="163" t="str">
        <f>'Market Data'!$B$27</f>
        <v>HD</v>
      </c>
      <c r="C431" s="160">
        <f>Statistics!$G$29</f>
        <v>1.8352985528230569E-2</v>
      </c>
      <c r="E431" s="168">
        <v>8.7348869854535729E-2</v>
      </c>
      <c r="F431" s="85" t="str">
        <v>HD</v>
      </c>
      <c r="G431" s="179">
        <v>9.8639311096076088E-4</v>
      </c>
      <c r="H431" s="180">
        <v>1.285962047454306E-3</v>
      </c>
      <c r="I431" s="180">
        <v>1.2911501083222776E-3</v>
      </c>
      <c r="J431" s="180">
        <v>1.0587514228509517E-3</v>
      </c>
      <c r="K431" s="180">
        <v>9.8504335267051509E-4</v>
      </c>
      <c r="L431" s="180">
        <v>7.9860489883547216E-4</v>
      </c>
      <c r="M431" s="180">
        <v>2.0138415935295195E-3</v>
      </c>
      <c r="N431" s="180">
        <v>1.4438567521116873E-3</v>
      </c>
      <c r="O431" s="180">
        <v>1.1779071347684854E-3</v>
      </c>
      <c r="P431" s="180">
        <v>1.5442152510598698E-3</v>
      </c>
      <c r="Q431" s="180">
        <v>1.8880219117441428E-3</v>
      </c>
      <c r="R431" s="180">
        <v>9.3173966010624539E-4</v>
      </c>
      <c r="S431" s="180">
        <v>9.2701062278089308E-4</v>
      </c>
      <c r="T431" s="180">
        <v>6.2481040103688149E-4</v>
      </c>
      <c r="U431" s="180">
        <v>1.4284505514434026E-3</v>
      </c>
      <c r="V431" s="180">
        <v>5.5799413673053339E-4</v>
      </c>
      <c r="W431" s="180">
        <v>7.381374461617429E-4</v>
      </c>
      <c r="X431" s="180">
        <v>1.0633975936011025E-3</v>
      </c>
      <c r="Y431" s="180">
        <v>7.161428946835201E-4</v>
      </c>
      <c r="Z431" s="180">
        <v>1.0017697174583111E-3</v>
      </c>
      <c r="AA431" s="180">
        <v>7.3578315539153108E-4</v>
      </c>
      <c r="AB431" s="180">
        <v>8.5234066580948517E-4</v>
      </c>
      <c r="AC431" s="180">
        <v>4.7474349038820928E-4</v>
      </c>
      <c r="AD431" s="180">
        <v>6.4915062582396636E-4</v>
      </c>
      <c r="AE431" s="180">
        <v>1.2386809813748902E-3</v>
      </c>
      <c r="AF431" s="180">
        <v>1.1189073531181803E-4</v>
      </c>
      <c r="AG431" s="180">
        <v>1.2055891827737501E-3</v>
      </c>
      <c r="AH431" s="180">
        <v>1.9815526434870993E-4</v>
      </c>
      <c r="AI431" s="181">
        <v>5.7016164369997474E-4</v>
      </c>
    </row>
    <row r="432" spans="2:35" x14ac:dyDescent="0.25">
      <c r="B432" s="163" t="str">
        <f>'Market Data'!$B$28</f>
        <v>IBM</v>
      </c>
      <c r="C432" s="160">
        <f>Statistics!$G$30</f>
        <v>-1.0805706759468385E-4</v>
      </c>
      <c r="E432" s="168">
        <v>0</v>
      </c>
      <c r="F432" s="85" t="str">
        <v>IBM</v>
      </c>
      <c r="G432" s="179">
        <v>1.7737023799007877E-3</v>
      </c>
      <c r="H432" s="180">
        <v>1.960684724858895E-3</v>
      </c>
      <c r="I432" s="180">
        <v>1.1336433634722555E-3</v>
      </c>
      <c r="J432" s="180">
        <v>2.1554825858441308E-3</v>
      </c>
      <c r="K432" s="180">
        <v>2.2508292865696072E-3</v>
      </c>
      <c r="L432" s="180">
        <v>1.7099575851328929E-3</v>
      </c>
      <c r="M432" s="180">
        <v>2.4056181433013803E-3</v>
      </c>
      <c r="N432" s="180">
        <v>1.2533920720746924E-3</v>
      </c>
      <c r="O432" s="180">
        <v>1.4606469135339543E-3</v>
      </c>
      <c r="P432" s="180">
        <v>2.2308798805711167E-3</v>
      </c>
      <c r="Q432" s="180">
        <v>9.3173966010624539E-4</v>
      </c>
      <c r="R432" s="180">
        <v>3.3622126456479009E-3</v>
      </c>
      <c r="S432" s="180">
        <v>1.4043690490920693E-3</v>
      </c>
      <c r="T432" s="180">
        <v>5.9347717242683358E-4</v>
      </c>
      <c r="U432" s="180">
        <v>2.0888390371824788E-3</v>
      </c>
      <c r="V432" s="180">
        <v>5.7019303114958723E-4</v>
      </c>
      <c r="W432" s="180">
        <v>5.4513263389601688E-4</v>
      </c>
      <c r="X432" s="180">
        <v>1.0275296737018624E-3</v>
      </c>
      <c r="Y432" s="180">
        <v>1.0097860441379664E-3</v>
      </c>
      <c r="Z432" s="180">
        <v>1.4353906099659559E-3</v>
      </c>
      <c r="AA432" s="180">
        <v>1.3757321359017424E-4</v>
      </c>
      <c r="AB432" s="180">
        <v>7.9545047293496068E-4</v>
      </c>
      <c r="AC432" s="180">
        <v>5.5361049131124631E-4</v>
      </c>
      <c r="AD432" s="180">
        <v>8.8298395118505178E-4</v>
      </c>
      <c r="AE432" s="180">
        <v>1.5169272523521361E-3</v>
      </c>
      <c r="AF432" s="180">
        <v>2.033685246020378E-4</v>
      </c>
      <c r="AG432" s="180">
        <v>1.2306885914741903E-3</v>
      </c>
      <c r="AH432" s="180">
        <v>3.7610030291999273E-4</v>
      </c>
      <c r="AI432" s="181">
        <v>1.0970123689928199E-3</v>
      </c>
    </row>
    <row r="433" spans="2:35" x14ac:dyDescent="0.25">
      <c r="B433" s="163" t="str">
        <f>'Market Data'!$B$29</f>
        <v>INTC</v>
      </c>
      <c r="C433" s="160">
        <f>Statistics!$G$31</f>
        <v>1.4825313209679855E-2</v>
      </c>
      <c r="E433" s="168">
        <v>0</v>
      </c>
      <c r="F433" s="85" t="str">
        <v>INTC</v>
      </c>
      <c r="G433" s="179">
        <v>1.6293191413582805E-3</v>
      </c>
      <c r="H433" s="180">
        <v>2.0715314739138896E-3</v>
      </c>
      <c r="I433" s="180">
        <v>1.485647562986758E-3</v>
      </c>
      <c r="J433" s="180">
        <v>2.3005603160952529E-3</v>
      </c>
      <c r="K433" s="180">
        <v>2.2625583672846289E-3</v>
      </c>
      <c r="L433" s="180">
        <v>1.762362573764028E-3</v>
      </c>
      <c r="M433" s="180">
        <v>2.9333641814070907E-3</v>
      </c>
      <c r="N433" s="180">
        <v>1.4872846501875279E-3</v>
      </c>
      <c r="O433" s="180">
        <v>1.8413857882482649E-3</v>
      </c>
      <c r="P433" s="180">
        <v>1.7997270101458302E-3</v>
      </c>
      <c r="Q433" s="180">
        <v>9.2701062278089308E-4</v>
      </c>
      <c r="R433" s="180">
        <v>1.4043690490920693E-3</v>
      </c>
      <c r="S433" s="180">
        <v>3.8953291630483993E-3</v>
      </c>
      <c r="T433" s="180">
        <v>8.7155825849789608E-4</v>
      </c>
      <c r="U433" s="180">
        <v>1.6338310266769979E-3</v>
      </c>
      <c r="V433" s="180">
        <v>1.1107691361801554E-3</v>
      </c>
      <c r="W433" s="180">
        <v>9.1762089354393737E-4</v>
      </c>
      <c r="X433" s="180">
        <v>1.3291856750406272E-3</v>
      </c>
      <c r="Y433" s="180">
        <v>1.2481991200788169E-3</v>
      </c>
      <c r="Z433" s="180">
        <v>2.824290151917595E-3</v>
      </c>
      <c r="AA433" s="180">
        <v>5.7515792739731505E-4</v>
      </c>
      <c r="AB433" s="180">
        <v>9.9184976149502301E-4</v>
      </c>
      <c r="AC433" s="180">
        <v>7.9168442412031782E-4</v>
      </c>
      <c r="AD433" s="180">
        <v>5.6633014876153942E-4</v>
      </c>
      <c r="AE433" s="180">
        <v>1.2132957377483657E-3</v>
      </c>
      <c r="AF433" s="180">
        <v>8.2166255763751334E-4</v>
      </c>
      <c r="AG433" s="180">
        <v>1.8678530672680304E-3</v>
      </c>
      <c r="AH433" s="180">
        <v>-1.8556188989019865E-5</v>
      </c>
      <c r="AI433" s="181">
        <v>1.0791409093812321E-3</v>
      </c>
    </row>
    <row r="434" spans="2:35" x14ac:dyDescent="0.25">
      <c r="B434" s="163" t="str">
        <f>'Market Data'!$B$30</f>
        <v>JNJ</v>
      </c>
      <c r="C434" s="160">
        <f>Statistics!$G$32</f>
        <v>1.2075919577819831E-2</v>
      </c>
      <c r="E434" s="168">
        <v>0</v>
      </c>
      <c r="F434" s="85" t="str">
        <v>JNJ</v>
      </c>
      <c r="G434" s="179">
        <v>8.2631268301744008E-4</v>
      </c>
      <c r="H434" s="180">
        <v>7.3945969222275051E-4</v>
      </c>
      <c r="I434" s="180">
        <v>7.7470388279684329E-4</v>
      </c>
      <c r="J434" s="180">
        <v>9.0633949973445221E-4</v>
      </c>
      <c r="K434" s="180">
        <v>1.1094225673998865E-3</v>
      </c>
      <c r="L434" s="180">
        <v>1.0006982850928254E-3</v>
      </c>
      <c r="M434" s="180">
        <v>1.7073269232421356E-3</v>
      </c>
      <c r="N434" s="180">
        <v>7.6090581351824873E-4</v>
      </c>
      <c r="O434" s="180">
        <v>1.1338883047798758E-3</v>
      </c>
      <c r="P434" s="180">
        <v>7.4857834611503948E-4</v>
      </c>
      <c r="Q434" s="180">
        <v>6.2481040103688149E-4</v>
      </c>
      <c r="R434" s="180">
        <v>5.9347717242683358E-4</v>
      </c>
      <c r="S434" s="180">
        <v>8.7155825849789608E-4</v>
      </c>
      <c r="T434" s="180">
        <v>1.3437205064186324E-3</v>
      </c>
      <c r="U434" s="180">
        <v>9.2330996350035955E-4</v>
      </c>
      <c r="V434" s="180">
        <v>8.0248592661524116E-4</v>
      </c>
      <c r="W434" s="180">
        <v>7.2064842002941051E-4</v>
      </c>
      <c r="X434" s="180">
        <v>9.1647163555960687E-4</v>
      </c>
      <c r="Y434" s="180">
        <v>7.8932636294384688E-4</v>
      </c>
      <c r="Z434" s="180">
        <v>8.3950208317612799E-4</v>
      </c>
      <c r="AA434" s="180">
        <v>2.4076387457302071E-4</v>
      </c>
      <c r="AB434" s="180">
        <v>1.174922395291398E-3</v>
      </c>
      <c r="AC434" s="180">
        <v>7.8676359672877393E-4</v>
      </c>
      <c r="AD434" s="180">
        <v>4.4624886795118808E-4</v>
      </c>
      <c r="AE434" s="180">
        <v>1.0117367356107026E-3</v>
      </c>
      <c r="AF434" s="180">
        <v>7.3214708969514145E-4</v>
      </c>
      <c r="AG434" s="180">
        <v>8.2747273857601913E-4</v>
      </c>
      <c r="AH434" s="180">
        <v>7.1470891411086447E-4</v>
      </c>
      <c r="AI434" s="181">
        <v>7.4627799983375924E-4</v>
      </c>
    </row>
    <row r="435" spans="2:35" x14ac:dyDescent="0.25">
      <c r="B435" s="163" t="str">
        <f>'Market Data'!$B$31</f>
        <v>JPM</v>
      </c>
      <c r="C435" s="160">
        <f>Statistics!$G$33</f>
        <v>1.7183196749963128E-2</v>
      </c>
      <c r="E435" s="168">
        <v>0</v>
      </c>
      <c r="F435" s="85" t="str">
        <v>JPM</v>
      </c>
      <c r="G435" s="179">
        <v>1.2529926248616137E-3</v>
      </c>
      <c r="H435" s="180">
        <v>2.7840355446374721E-3</v>
      </c>
      <c r="I435" s="180">
        <v>1.8054441283061249E-3</v>
      </c>
      <c r="J435" s="180">
        <v>2.011937601179676E-3</v>
      </c>
      <c r="K435" s="180">
        <v>2.0831844183308271E-3</v>
      </c>
      <c r="L435" s="180">
        <v>2.159640132817216E-3</v>
      </c>
      <c r="M435" s="180">
        <v>2.9403656750226037E-3</v>
      </c>
      <c r="N435" s="180">
        <v>2.3150492241015347E-3</v>
      </c>
      <c r="O435" s="180">
        <v>1.9825602222543746E-3</v>
      </c>
      <c r="P435" s="180">
        <v>3.8267678235899111E-3</v>
      </c>
      <c r="Q435" s="180">
        <v>1.4284505514434026E-3</v>
      </c>
      <c r="R435" s="180">
        <v>2.0888390371824788E-3</v>
      </c>
      <c r="S435" s="180">
        <v>1.6338310266769979E-3</v>
      </c>
      <c r="T435" s="180">
        <v>9.2330996350035955E-4</v>
      </c>
      <c r="U435" s="180">
        <v>3.6504820104783621E-3</v>
      </c>
      <c r="V435" s="180">
        <v>6.292727988425526E-4</v>
      </c>
      <c r="W435" s="180">
        <v>1.135373183104091E-3</v>
      </c>
      <c r="X435" s="180">
        <v>1.3229022331511452E-3</v>
      </c>
      <c r="Y435" s="180">
        <v>9.9035410413519649E-4</v>
      </c>
      <c r="Z435" s="180">
        <v>2.1029083027690664E-3</v>
      </c>
      <c r="AA435" s="180">
        <v>6.7839144071882979E-4</v>
      </c>
      <c r="AB435" s="180">
        <v>1.3592270505613203E-3</v>
      </c>
      <c r="AC435" s="180">
        <v>7.2953612857905574E-4</v>
      </c>
      <c r="AD435" s="180">
        <v>1.2617149248905092E-3</v>
      </c>
      <c r="AE435" s="180">
        <v>1.8453743354725578E-3</v>
      </c>
      <c r="AF435" s="180">
        <v>3.9836144643633019E-4</v>
      </c>
      <c r="AG435" s="180">
        <v>1.9463933682734615E-3</v>
      </c>
      <c r="AH435" s="180">
        <v>7.503242005510376E-5</v>
      </c>
      <c r="AI435" s="181">
        <v>1.3958094738143344E-3</v>
      </c>
    </row>
    <row r="436" spans="2:35" x14ac:dyDescent="0.25">
      <c r="B436" s="163" t="str">
        <f>'Market Data'!$B$32</f>
        <v>KO</v>
      </c>
      <c r="C436" s="160">
        <f>Statistics!$G$34</f>
        <v>4.1810541872704362E-3</v>
      </c>
      <c r="E436" s="168">
        <v>5.0385106274887362E-2</v>
      </c>
      <c r="F436" s="85" t="str">
        <v>KO</v>
      </c>
      <c r="G436" s="179">
        <v>9.6129190129553134E-4</v>
      </c>
      <c r="H436" s="180">
        <v>5.6369017954212687E-4</v>
      </c>
      <c r="I436" s="180">
        <v>9.7196182882881919E-4</v>
      </c>
      <c r="J436" s="180">
        <v>6.586205973694774E-4</v>
      </c>
      <c r="K436" s="180">
        <v>1.0904984859812852E-3</v>
      </c>
      <c r="L436" s="180">
        <v>7.7350953916938299E-4</v>
      </c>
      <c r="M436" s="180">
        <v>1.3828838928124146E-3</v>
      </c>
      <c r="N436" s="180">
        <v>7.3157249166013263E-4</v>
      </c>
      <c r="O436" s="180">
        <v>1.0900315820250495E-3</v>
      </c>
      <c r="P436" s="180">
        <v>5.0884399749192373E-4</v>
      </c>
      <c r="Q436" s="180">
        <v>5.5799413673053339E-4</v>
      </c>
      <c r="R436" s="180">
        <v>5.7019303114958723E-4</v>
      </c>
      <c r="S436" s="180">
        <v>1.1107691361801554E-3</v>
      </c>
      <c r="T436" s="180">
        <v>8.0248592661524116E-4</v>
      </c>
      <c r="U436" s="180">
        <v>6.292727988425526E-4</v>
      </c>
      <c r="V436" s="180">
        <v>1.2210270669043683E-3</v>
      </c>
      <c r="W436" s="180">
        <v>7.9000312454904529E-4</v>
      </c>
      <c r="X436" s="180">
        <v>6.5400026561614926E-4</v>
      </c>
      <c r="Y436" s="180">
        <v>5.6925923112739025E-4</v>
      </c>
      <c r="Z436" s="180">
        <v>1.0711085481253278E-3</v>
      </c>
      <c r="AA436" s="180">
        <v>4.3589033448327737E-4</v>
      </c>
      <c r="AB436" s="180">
        <v>6.3614560547018231E-4</v>
      </c>
      <c r="AC436" s="180">
        <v>6.5740070509151668E-4</v>
      </c>
      <c r="AD436" s="180">
        <v>1.2737483924284157E-4</v>
      </c>
      <c r="AE436" s="180">
        <v>5.7087013169956707E-4</v>
      </c>
      <c r="AF436" s="180">
        <v>4.9096142938173941E-4</v>
      </c>
      <c r="AG436" s="180">
        <v>9.4999344105865064E-4</v>
      </c>
      <c r="AH436" s="180">
        <v>6.4703627119224946E-4</v>
      </c>
      <c r="AI436" s="181">
        <v>5.1805651820066112E-4</v>
      </c>
    </row>
    <row r="437" spans="2:35" x14ac:dyDescent="0.25">
      <c r="B437" s="163" t="str">
        <f>'Market Data'!$B$33</f>
        <v>MCD</v>
      </c>
      <c r="C437" s="160">
        <f>Statistics!$G$35</f>
        <v>8.998422120903465E-3</v>
      </c>
      <c r="E437" s="168">
        <v>7.7748416408113669E-2</v>
      </c>
      <c r="F437" s="85" t="str">
        <v>MCD</v>
      </c>
      <c r="G437" s="179">
        <v>4.3723596630614248E-4</v>
      </c>
      <c r="H437" s="180">
        <v>5.9016175595858627E-4</v>
      </c>
      <c r="I437" s="180">
        <v>1.004575731683145E-3</v>
      </c>
      <c r="J437" s="180">
        <v>1.2118483675212872E-3</v>
      </c>
      <c r="K437" s="180">
        <v>8.8656407550750189E-4</v>
      </c>
      <c r="L437" s="180">
        <v>1.2445101608031307E-3</v>
      </c>
      <c r="M437" s="180">
        <v>1.5566945864839937E-3</v>
      </c>
      <c r="N437" s="180">
        <v>1.0434476997331528E-3</v>
      </c>
      <c r="O437" s="180">
        <v>1.4080437366372094E-3</v>
      </c>
      <c r="P437" s="180">
        <v>1.1844149472533348E-3</v>
      </c>
      <c r="Q437" s="180">
        <v>7.381374461617429E-4</v>
      </c>
      <c r="R437" s="180">
        <v>5.4513263389601688E-4</v>
      </c>
      <c r="S437" s="180">
        <v>9.1762089354393737E-4</v>
      </c>
      <c r="T437" s="180">
        <v>7.2064842002941051E-4</v>
      </c>
      <c r="U437" s="180">
        <v>1.135373183104091E-3</v>
      </c>
      <c r="V437" s="180">
        <v>7.9000312454904529E-4</v>
      </c>
      <c r="W437" s="180">
        <v>1.7650690545216805E-3</v>
      </c>
      <c r="X437" s="180">
        <v>7.9590651205676567E-4</v>
      </c>
      <c r="Y437" s="180">
        <v>5.886623345512683E-4</v>
      </c>
      <c r="Z437" s="180">
        <v>1.2284698745461862E-3</v>
      </c>
      <c r="AA437" s="180">
        <v>4.3355644868225306E-4</v>
      </c>
      <c r="AB437" s="180">
        <v>9.4939047744066322E-4</v>
      </c>
      <c r="AC437" s="180">
        <v>4.0611550084338323E-4</v>
      </c>
      <c r="AD437" s="180">
        <v>3.5874031329227935E-4</v>
      </c>
      <c r="AE437" s="180">
        <v>8.7888532505727346E-4</v>
      </c>
      <c r="AF437" s="180">
        <v>6.7734327840461236E-4</v>
      </c>
      <c r="AG437" s="180">
        <v>1.0020182531469391E-3</v>
      </c>
      <c r="AH437" s="180">
        <v>4.237060092283065E-5</v>
      </c>
      <c r="AI437" s="181">
        <v>6.6389606634421081E-4</v>
      </c>
    </row>
    <row r="438" spans="2:35" x14ac:dyDescent="0.25">
      <c r="B438" s="163" t="str">
        <f>'Market Data'!$B$34</f>
        <v>MMM</v>
      </c>
      <c r="C438" s="160">
        <f>Statistics!$G$36</f>
        <v>1.5280500930100561E-2</v>
      </c>
      <c r="E438" s="168">
        <v>0</v>
      </c>
      <c r="F438" s="85" t="str">
        <v>MMM</v>
      </c>
      <c r="G438" s="179">
        <v>1.6042263123932821E-3</v>
      </c>
      <c r="H438" s="180">
        <v>1.3680882736390085E-3</v>
      </c>
      <c r="I438" s="180">
        <v>1.220072170107771E-3</v>
      </c>
      <c r="J438" s="180">
        <v>1.3778500117759705E-3</v>
      </c>
      <c r="K438" s="180">
        <v>1.6594658489014636E-3</v>
      </c>
      <c r="L438" s="180">
        <v>1.3396872809028706E-3</v>
      </c>
      <c r="M438" s="180">
        <v>2.4333011024343194E-3</v>
      </c>
      <c r="N438" s="180">
        <v>1.3935802423237448E-3</v>
      </c>
      <c r="O438" s="180">
        <v>1.6476299492810176E-3</v>
      </c>
      <c r="P438" s="180">
        <v>1.5580261625844892E-3</v>
      </c>
      <c r="Q438" s="180">
        <v>1.0633975936011025E-3</v>
      </c>
      <c r="R438" s="180">
        <v>1.0275296737018624E-3</v>
      </c>
      <c r="S438" s="180">
        <v>1.3291856750406272E-3</v>
      </c>
      <c r="T438" s="180">
        <v>9.1647163555960687E-4</v>
      </c>
      <c r="U438" s="180">
        <v>1.3229022331511452E-3</v>
      </c>
      <c r="V438" s="180">
        <v>6.5400026561614926E-4</v>
      </c>
      <c r="W438" s="180">
        <v>7.9590651205676567E-4</v>
      </c>
      <c r="X438" s="180">
        <v>1.9007159701372343E-3</v>
      </c>
      <c r="Y438" s="180">
        <v>9.3087542856500223E-4</v>
      </c>
      <c r="Z438" s="180">
        <v>9.5021437706372129E-4</v>
      </c>
      <c r="AA438" s="180">
        <v>7.5220949128439868E-4</v>
      </c>
      <c r="AB438" s="180">
        <v>1.1108584905280188E-3</v>
      </c>
      <c r="AC438" s="180">
        <v>7.8023777188204919E-4</v>
      </c>
      <c r="AD438" s="180">
        <v>9.8369986573183495E-4</v>
      </c>
      <c r="AE438" s="180">
        <v>1.8471574472775569E-3</v>
      </c>
      <c r="AF438" s="180">
        <v>5.9539589470078522E-4</v>
      </c>
      <c r="AG438" s="180">
        <v>1.59984129324471E-3</v>
      </c>
      <c r="AH438" s="180">
        <v>4.5051539698961655E-4</v>
      </c>
      <c r="AI438" s="181">
        <v>1.2697174541958882E-3</v>
      </c>
    </row>
    <row r="439" spans="2:35" x14ac:dyDescent="0.25">
      <c r="B439" s="163" t="str">
        <f>'Market Data'!$B$35</f>
        <v>MRK</v>
      </c>
      <c r="C439" s="160">
        <f>Statistics!$G$37</f>
        <v>1.1473476041634185E-2</v>
      </c>
      <c r="E439" s="168">
        <v>1.023081404384002E-2</v>
      </c>
      <c r="F439" s="85" t="str">
        <v>MRK</v>
      </c>
      <c r="G439" s="179">
        <v>6.6280896407091964E-4</v>
      </c>
      <c r="H439" s="180">
        <v>9.5675499919051471E-4</v>
      </c>
      <c r="I439" s="180">
        <v>1.3506721993334096E-3</v>
      </c>
      <c r="J439" s="180">
        <v>1.6454661341138513E-3</v>
      </c>
      <c r="K439" s="180">
        <v>1.2877752599161352E-3</v>
      </c>
      <c r="L439" s="180">
        <v>1.0548817345930506E-3</v>
      </c>
      <c r="M439" s="180">
        <v>2.1034755337789339E-3</v>
      </c>
      <c r="N439" s="180">
        <v>1.1180874248259017E-3</v>
      </c>
      <c r="O439" s="180">
        <v>7.4080885300837902E-4</v>
      </c>
      <c r="P439" s="180">
        <v>9.5059394038900442E-4</v>
      </c>
      <c r="Q439" s="180">
        <v>7.161428946835201E-4</v>
      </c>
      <c r="R439" s="180">
        <v>1.0097860441379664E-3</v>
      </c>
      <c r="S439" s="180">
        <v>1.2481991200788169E-3</v>
      </c>
      <c r="T439" s="180">
        <v>7.8932636294384688E-4</v>
      </c>
      <c r="U439" s="180">
        <v>9.9035410413519649E-4</v>
      </c>
      <c r="V439" s="180">
        <v>5.6925923112739025E-4</v>
      </c>
      <c r="W439" s="180">
        <v>5.886623345512683E-4</v>
      </c>
      <c r="X439" s="180">
        <v>9.3087542856500223E-4</v>
      </c>
      <c r="Y439" s="180">
        <v>2.5431403633519077E-3</v>
      </c>
      <c r="Z439" s="180">
        <v>1.0039618395335291E-3</v>
      </c>
      <c r="AA439" s="180">
        <v>3.4083858597475385E-4</v>
      </c>
      <c r="AB439" s="180">
        <v>1.3412346285691251E-3</v>
      </c>
      <c r="AC439" s="180">
        <v>3.7529952314904947E-4</v>
      </c>
      <c r="AD439" s="180">
        <v>8.5985137540516086E-4</v>
      </c>
      <c r="AE439" s="180">
        <v>1.4646144344401168E-3</v>
      </c>
      <c r="AF439" s="180">
        <v>3.3006228708408361E-4</v>
      </c>
      <c r="AG439" s="180">
        <v>1.1984054366898813E-3</v>
      </c>
      <c r="AH439" s="180">
        <v>4.389896882024129E-4</v>
      </c>
      <c r="AI439" s="181">
        <v>5.8214330295854532E-4</v>
      </c>
    </row>
    <row r="440" spans="2:35" x14ac:dyDescent="0.25">
      <c r="B440" s="163" t="str">
        <f>'Market Data'!$B$36</f>
        <v>MSFT</v>
      </c>
      <c r="C440" s="160">
        <f>Statistics!$G$38</f>
        <v>2.1777833497491961E-2</v>
      </c>
      <c r="E440" s="168">
        <v>6.4567717335073755E-3</v>
      </c>
      <c r="F440" s="85" t="str">
        <v>MSFT</v>
      </c>
      <c r="G440" s="179">
        <v>1.7656054736670385E-3</v>
      </c>
      <c r="H440" s="180">
        <v>1.7453927826798744E-3</v>
      </c>
      <c r="I440" s="180">
        <v>1.4618979219237266E-3</v>
      </c>
      <c r="J440" s="180">
        <v>2.2842322526096018E-3</v>
      </c>
      <c r="K440" s="180">
        <v>2.1511833371391734E-3</v>
      </c>
      <c r="L440" s="180">
        <v>1.921523261676006E-3</v>
      </c>
      <c r="M440" s="180">
        <v>3.4647817866697963E-3</v>
      </c>
      <c r="N440" s="180">
        <v>1.7514488094562146E-3</v>
      </c>
      <c r="O440" s="180">
        <v>2.1782812682115105E-3</v>
      </c>
      <c r="P440" s="180">
        <v>1.9881521509949444E-3</v>
      </c>
      <c r="Q440" s="180">
        <v>1.0017697174583111E-3</v>
      </c>
      <c r="R440" s="180">
        <v>1.4353906099659559E-3</v>
      </c>
      <c r="S440" s="180">
        <v>2.824290151917595E-3</v>
      </c>
      <c r="T440" s="180">
        <v>8.3950208317612799E-4</v>
      </c>
      <c r="U440" s="180">
        <v>2.1029083027690664E-3</v>
      </c>
      <c r="V440" s="180">
        <v>1.0711085481253278E-3</v>
      </c>
      <c r="W440" s="180">
        <v>1.2284698745461862E-3</v>
      </c>
      <c r="X440" s="180">
        <v>9.5021437706372129E-4</v>
      </c>
      <c r="Y440" s="180">
        <v>1.0039618395335291E-3</v>
      </c>
      <c r="Z440" s="180">
        <v>4.5817164894349687E-3</v>
      </c>
      <c r="AA440" s="180">
        <v>9.1111393401995618E-4</v>
      </c>
      <c r="AB440" s="180">
        <v>1.1007292150403058E-3</v>
      </c>
      <c r="AC440" s="180">
        <v>1.0300601718935634E-3</v>
      </c>
      <c r="AD440" s="180">
        <v>2.4058610256342332E-4</v>
      </c>
      <c r="AE440" s="180">
        <v>9.3007091875184366E-4</v>
      </c>
      <c r="AF440" s="180">
        <v>7.4555370224549768E-4</v>
      </c>
      <c r="AG440" s="180">
        <v>1.5294825998788863E-3</v>
      </c>
      <c r="AH440" s="180">
        <v>-3.4970831020819231E-4</v>
      </c>
      <c r="AI440" s="181">
        <v>1.2219742467918569E-3</v>
      </c>
    </row>
    <row r="441" spans="2:35" x14ac:dyDescent="0.25">
      <c r="B441" s="163" t="str">
        <f>'Market Data'!$B$37</f>
        <v>NKE</v>
      </c>
      <c r="C441" s="160">
        <f>Statistics!$G$39</f>
        <v>1.5970247269241938E-2</v>
      </c>
      <c r="E441" s="168">
        <v>0.15171482443127224</v>
      </c>
      <c r="F441" s="85" t="str">
        <v>NKE</v>
      </c>
      <c r="G441" s="179">
        <v>7.4054258425286133E-4</v>
      </c>
      <c r="H441" s="180">
        <v>9.1418204127611028E-4</v>
      </c>
      <c r="I441" s="180">
        <v>1.1825978430535619E-3</v>
      </c>
      <c r="J441" s="180">
        <v>-1.1104731462091626E-4</v>
      </c>
      <c r="K441" s="180">
        <v>7.2136303147440504E-4</v>
      </c>
      <c r="L441" s="180">
        <v>-3.0145919518466895E-4</v>
      </c>
      <c r="M441" s="180">
        <v>1.371253710214986E-3</v>
      </c>
      <c r="N441" s="180">
        <v>1.1713887062549742E-3</v>
      </c>
      <c r="O441" s="180">
        <v>6.8149888740689005E-4</v>
      </c>
      <c r="P441" s="180">
        <v>9.2810945195530823E-4</v>
      </c>
      <c r="Q441" s="180">
        <v>7.3578315539153108E-4</v>
      </c>
      <c r="R441" s="180">
        <v>1.3757321359017424E-4</v>
      </c>
      <c r="S441" s="180">
        <v>5.7515792739731505E-4</v>
      </c>
      <c r="T441" s="180">
        <v>2.4076387457302071E-4</v>
      </c>
      <c r="U441" s="180">
        <v>6.7839144071882979E-4</v>
      </c>
      <c r="V441" s="180">
        <v>4.3589033448327737E-4</v>
      </c>
      <c r="W441" s="180">
        <v>4.3355644868225306E-4</v>
      </c>
      <c r="X441" s="180">
        <v>7.5220949128439868E-4</v>
      </c>
      <c r="Y441" s="180">
        <v>3.4083858597475385E-4</v>
      </c>
      <c r="Z441" s="180">
        <v>9.1111393401995618E-4</v>
      </c>
      <c r="AA441" s="180">
        <v>2.7193308407813446E-3</v>
      </c>
      <c r="AB441" s="180">
        <v>5.6615292191577104E-4</v>
      </c>
      <c r="AC441" s="180">
        <v>3.6538493696828688E-4</v>
      </c>
      <c r="AD441" s="180">
        <v>8.9669180264711685E-5</v>
      </c>
      <c r="AE441" s="180">
        <v>4.9140530374502923E-4</v>
      </c>
      <c r="AF441" s="180">
        <v>1.0278859564771125E-5</v>
      </c>
      <c r="AG441" s="180">
        <v>1.2162400994020978E-3</v>
      </c>
      <c r="AH441" s="180">
        <v>1.3266739677968515E-5</v>
      </c>
      <c r="AI441" s="181">
        <v>-1.9722713194093662E-4</v>
      </c>
    </row>
    <row r="442" spans="2:35" x14ac:dyDescent="0.25">
      <c r="B442" s="163" t="str">
        <f>'Market Data'!$B$38</f>
        <v>PFE</v>
      </c>
      <c r="C442" s="160">
        <f>Statistics!$G$40</f>
        <v>7.6042605716081235E-3</v>
      </c>
      <c r="E442" s="168">
        <v>0</v>
      </c>
      <c r="F442" s="85" t="str">
        <v>PFE</v>
      </c>
      <c r="G442" s="179">
        <v>1.105136574328315E-3</v>
      </c>
      <c r="H442" s="180">
        <v>1.0081234358528435E-3</v>
      </c>
      <c r="I442" s="180">
        <v>1.2950969606515986E-3</v>
      </c>
      <c r="J442" s="180">
        <v>7.9610645869862182E-4</v>
      </c>
      <c r="K442" s="180">
        <v>1.5185012123350332E-3</v>
      </c>
      <c r="L442" s="180">
        <v>1.0966581694716135E-3</v>
      </c>
      <c r="M442" s="180">
        <v>2.2541080192876768E-3</v>
      </c>
      <c r="N442" s="180">
        <v>1.4909638464124207E-3</v>
      </c>
      <c r="O442" s="180">
        <v>1.1596920910434683E-3</v>
      </c>
      <c r="P442" s="180">
        <v>1.2974763649140325E-3</v>
      </c>
      <c r="Q442" s="180">
        <v>8.5234066580948517E-4</v>
      </c>
      <c r="R442" s="180">
        <v>7.9545047293496068E-4</v>
      </c>
      <c r="S442" s="180">
        <v>9.9184976149502301E-4</v>
      </c>
      <c r="T442" s="180">
        <v>1.174922395291398E-3</v>
      </c>
      <c r="U442" s="180">
        <v>1.3592270505613203E-3</v>
      </c>
      <c r="V442" s="180">
        <v>6.3614560547018231E-4</v>
      </c>
      <c r="W442" s="180">
        <v>9.4939047744066322E-4</v>
      </c>
      <c r="X442" s="180">
        <v>1.1108584905280188E-3</v>
      </c>
      <c r="Y442" s="180">
        <v>1.3412346285691251E-3</v>
      </c>
      <c r="Z442" s="180">
        <v>1.1007292150403058E-3</v>
      </c>
      <c r="AA442" s="180">
        <v>5.6615292191577104E-4</v>
      </c>
      <c r="AB442" s="180">
        <v>2.4354805215546461E-3</v>
      </c>
      <c r="AC442" s="180">
        <v>7.7698221980775051E-4</v>
      </c>
      <c r="AD442" s="180">
        <v>7.5423895885674786E-4</v>
      </c>
      <c r="AE442" s="180">
        <v>1.3524566727664237E-3</v>
      </c>
      <c r="AF442" s="180">
        <v>6.9733723903610885E-4</v>
      </c>
      <c r="AG442" s="180">
        <v>1.6142857385330945E-3</v>
      </c>
      <c r="AH442" s="180">
        <v>6.1756439897017149E-4</v>
      </c>
      <c r="AI442" s="181">
        <v>8.1835922434987771E-4</v>
      </c>
    </row>
    <row r="443" spans="2:35" x14ac:dyDescent="0.25">
      <c r="B443" s="163" t="str">
        <f>'Market Data'!$B$39</f>
        <v>PG</v>
      </c>
      <c r="C443" s="160">
        <f>Statistics!$G$41</f>
        <v>6.7668222923833359E-3</v>
      </c>
      <c r="E443" s="168">
        <v>0.14972242357725837</v>
      </c>
      <c r="F443" s="85" t="str">
        <v>PG</v>
      </c>
      <c r="G443" s="179">
        <v>1.0336127768185608E-3</v>
      </c>
      <c r="H443" s="180">
        <v>4.150551569421239E-4</v>
      </c>
      <c r="I443" s="180">
        <v>5.997217417536032E-4</v>
      </c>
      <c r="J443" s="180">
        <v>4.9254664842985144E-4</v>
      </c>
      <c r="K443" s="180">
        <v>1.0690588122897406E-3</v>
      </c>
      <c r="L443" s="180">
        <v>8.4385070363078498E-4</v>
      </c>
      <c r="M443" s="180">
        <v>1.1783213677355128E-3</v>
      </c>
      <c r="N443" s="180">
        <v>6.6920552953337459E-4</v>
      </c>
      <c r="O443" s="180">
        <v>8.669689440805547E-4</v>
      </c>
      <c r="P443" s="180">
        <v>6.8796273406052837E-4</v>
      </c>
      <c r="Q443" s="180">
        <v>4.7474349038820928E-4</v>
      </c>
      <c r="R443" s="180">
        <v>5.5361049131124631E-4</v>
      </c>
      <c r="S443" s="180">
        <v>7.9168442412031782E-4</v>
      </c>
      <c r="T443" s="180">
        <v>7.8676359672877393E-4</v>
      </c>
      <c r="U443" s="180">
        <v>7.2953612857905574E-4</v>
      </c>
      <c r="V443" s="180">
        <v>6.5740070509151668E-4</v>
      </c>
      <c r="W443" s="180">
        <v>4.0611550084338323E-4</v>
      </c>
      <c r="X443" s="180">
        <v>7.8023777188204919E-4</v>
      </c>
      <c r="Y443" s="180">
        <v>3.7529952314904947E-4</v>
      </c>
      <c r="Z443" s="180">
        <v>1.0300601718935634E-3</v>
      </c>
      <c r="AA443" s="180">
        <v>3.6538493696828688E-4</v>
      </c>
      <c r="AB443" s="180">
        <v>7.7698221980775051E-4</v>
      </c>
      <c r="AC443" s="180">
        <v>1.4111752678343567E-3</v>
      </c>
      <c r="AD443" s="180">
        <v>1.723275330802805E-4</v>
      </c>
      <c r="AE443" s="180">
        <v>6.4008748533685535E-4</v>
      </c>
      <c r="AF443" s="180">
        <v>2.3535220881827705E-4</v>
      </c>
      <c r="AG443" s="180">
        <v>9.2172519542926422E-4</v>
      </c>
      <c r="AH443" s="180">
        <v>7.2490049760504278E-4</v>
      </c>
      <c r="AI443" s="181">
        <v>6.1092932367000222E-4</v>
      </c>
    </row>
    <row r="444" spans="2:35" x14ac:dyDescent="0.25">
      <c r="B444" s="163" t="str">
        <f>'Market Data'!$B$40</f>
        <v>UNH</v>
      </c>
      <c r="C444" s="160">
        <f>Statistics!$G$42</f>
        <v>2.4695057092687361E-2</v>
      </c>
      <c r="E444" s="168">
        <v>0.2499187462402544</v>
      </c>
      <c r="F444" s="85" t="str">
        <v>UNH</v>
      </c>
      <c r="G444" s="179">
        <v>5.5673881663560775E-4</v>
      </c>
      <c r="H444" s="180">
        <v>9.035040942327959E-4</v>
      </c>
      <c r="I444" s="180">
        <v>6.5863568330466196E-4</v>
      </c>
      <c r="J444" s="180">
        <v>7.8373416165496384E-4</v>
      </c>
      <c r="K444" s="180">
        <v>1.0321561899434074E-3</v>
      </c>
      <c r="L444" s="180">
        <v>8.9699068571536217E-4</v>
      </c>
      <c r="M444" s="180">
        <v>1.3915459916452729E-3</v>
      </c>
      <c r="N444" s="180">
        <v>9.9320622386439117E-4</v>
      </c>
      <c r="O444" s="180">
        <v>6.9406421327386882E-4</v>
      </c>
      <c r="P444" s="180">
        <v>1.248419321363809E-3</v>
      </c>
      <c r="Q444" s="180">
        <v>6.4915062582396636E-4</v>
      </c>
      <c r="R444" s="180">
        <v>8.8298395118505178E-4</v>
      </c>
      <c r="S444" s="180">
        <v>5.6633014876153942E-4</v>
      </c>
      <c r="T444" s="180">
        <v>4.4624886795118808E-4</v>
      </c>
      <c r="U444" s="180">
        <v>1.2617149248905092E-3</v>
      </c>
      <c r="V444" s="180">
        <v>1.2737483924284157E-4</v>
      </c>
      <c r="W444" s="180">
        <v>3.5874031329227935E-4</v>
      </c>
      <c r="X444" s="180">
        <v>9.8369986573183495E-4</v>
      </c>
      <c r="Y444" s="180">
        <v>8.5985137540516086E-4</v>
      </c>
      <c r="Z444" s="180">
        <v>2.4058610256342332E-4</v>
      </c>
      <c r="AA444" s="180">
        <v>8.9669180264711685E-5</v>
      </c>
      <c r="AB444" s="180">
        <v>7.5423895885674786E-4</v>
      </c>
      <c r="AC444" s="180">
        <v>1.723275330802805E-4</v>
      </c>
      <c r="AD444" s="180">
        <v>1.9588021355587989E-3</v>
      </c>
      <c r="AE444" s="180">
        <v>1.3013762269017E-3</v>
      </c>
      <c r="AF444" s="180">
        <v>4.3562344006968111E-4</v>
      </c>
      <c r="AG444" s="180">
        <v>6.7255745531353401E-4</v>
      </c>
      <c r="AH444" s="180">
        <v>2.5472583633253342E-4</v>
      </c>
      <c r="AI444" s="181">
        <v>7.6037739981613735E-4</v>
      </c>
    </row>
    <row r="445" spans="2:35" x14ac:dyDescent="0.25">
      <c r="B445" s="163" t="str">
        <f>'Market Data'!$B$41</f>
        <v>UTX</v>
      </c>
      <c r="C445" s="160">
        <f>Statistics!$G$43</f>
        <v>7.3861111519648165E-3</v>
      </c>
      <c r="E445" s="168">
        <v>0</v>
      </c>
      <c r="F445" s="85" t="str">
        <v>UTX</v>
      </c>
      <c r="G445" s="179">
        <v>1.2367738317379871E-3</v>
      </c>
      <c r="H445" s="180">
        <v>1.9679940702890687E-3</v>
      </c>
      <c r="I445" s="180">
        <v>1.846395156096473E-3</v>
      </c>
      <c r="J445" s="180">
        <v>2.1924453554447642E-3</v>
      </c>
      <c r="K445" s="180">
        <v>2.0848208418056797E-3</v>
      </c>
      <c r="L445" s="180">
        <v>1.7655731333339048E-3</v>
      </c>
      <c r="M445" s="180">
        <v>3.4844332298577191E-3</v>
      </c>
      <c r="N445" s="180">
        <v>1.6618009644053405E-3</v>
      </c>
      <c r="O445" s="180">
        <v>1.9210155408337607E-3</v>
      </c>
      <c r="P445" s="180">
        <v>2.1674424403236793E-3</v>
      </c>
      <c r="Q445" s="180">
        <v>1.2386809813748902E-3</v>
      </c>
      <c r="R445" s="180">
        <v>1.5169272523521361E-3</v>
      </c>
      <c r="S445" s="180">
        <v>1.2132957377483657E-3</v>
      </c>
      <c r="T445" s="180">
        <v>1.0117367356107026E-3</v>
      </c>
      <c r="U445" s="180">
        <v>1.8453743354725578E-3</v>
      </c>
      <c r="V445" s="180">
        <v>5.7087013169956707E-4</v>
      </c>
      <c r="W445" s="180">
        <v>8.7888532505727346E-4</v>
      </c>
      <c r="X445" s="180">
        <v>1.8471574472775569E-3</v>
      </c>
      <c r="Y445" s="180">
        <v>1.4646144344401168E-3</v>
      </c>
      <c r="Z445" s="180">
        <v>9.3007091875184366E-4</v>
      </c>
      <c r="AA445" s="180">
        <v>4.9140530374502923E-4</v>
      </c>
      <c r="AB445" s="180">
        <v>1.3524566727664237E-3</v>
      </c>
      <c r="AC445" s="180">
        <v>6.4008748533685535E-4</v>
      </c>
      <c r="AD445" s="180">
        <v>1.3013762269017E-3</v>
      </c>
      <c r="AE445" s="180">
        <v>3.1502830070701034E-3</v>
      </c>
      <c r="AF445" s="180">
        <v>3.2120511051046262E-4</v>
      </c>
      <c r="AG445" s="180">
        <v>1.6964262161404888E-3</v>
      </c>
      <c r="AH445" s="180">
        <v>2.8814451862251201E-4</v>
      </c>
      <c r="AI445" s="181">
        <v>1.3259012920786922E-3</v>
      </c>
    </row>
    <row r="446" spans="2:35" x14ac:dyDescent="0.25">
      <c r="B446" s="163" t="str">
        <f>'Market Data'!$B$42</f>
        <v>VZ</v>
      </c>
      <c r="C446" s="160">
        <f>Statistics!$G$44</f>
        <v>5.0086030759070753E-3</v>
      </c>
      <c r="E446" s="168">
        <v>0.10818983511706376</v>
      </c>
      <c r="F446" s="85" t="str">
        <v>VZ</v>
      </c>
      <c r="G446" s="179">
        <v>1.8457278448214234E-4</v>
      </c>
      <c r="H446" s="180">
        <v>-7.7366109832012643E-5</v>
      </c>
      <c r="I446" s="180">
        <v>3.7914592931386057E-4</v>
      </c>
      <c r="J446" s="180">
        <v>6.8929109799853135E-4</v>
      </c>
      <c r="K446" s="180">
        <v>5.9888719676582812E-4</v>
      </c>
      <c r="L446" s="180">
        <v>7.5916190680994219E-4</v>
      </c>
      <c r="M446" s="180">
        <v>9.2727826439514978E-4</v>
      </c>
      <c r="N446" s="180">
        <v>5.8624704841600517E-4</v>
      </c>
      <c r="O446" s="180">
        <v>1.0256274934399997E-3</v>
      </c>
      <c r="P446" s="180">
        <v>3.7523862948950627E-4</v>
      </c>
      <c r="Q446" s="180">
        <v>1.1189073531181803E-4</v>
      </c>
      <c r="R446" s="180">
        <v>2.033685246020378E-4</v>
      </c>
      <c r="S446" s="180">
        <v>8.2166255763751334E-4</v>
      </c>
      <c r="T446" s="180">
        <v>7.3214708969514145E-4</v>
      </c>
      <c r="U446" s="180">
        <v>3.9836144643633019E-4</v>
      </c>
      <c r="V446" s="180">
        <v>4.9096142938173941E-4</v>
      </c>
      <c r="W446" s="180">
        <v>6.7734327840461236E-4</v>
      </c>
      <c r="X446" s="180">
        <v>5.9539589470078522E-4</v>
      </c>
      <c r="Y446" s="180">
        <v>3.3006228708408361E-4</v>
      </c>
      <c r="Z446" s="180">
        <v>7.4555370224549768E-4</v>
      </c>
      <c r="AA446" s="180">
        <v>1.0278859564771125E-5</v>
      </c>
      <c r="AB446" s="180">
        <v>6.9733723903610885E-4</v>
      </c>
      <c r="AC446" s="180">
        <v>2.3535220881827705E-4</v>
      </c>
      <c r="AD446" s="180">
        <v>4.3562344006968111E-4</v>
      </c>
      <c r="AE446" s="180">
        <v>3.2120511051046262E-4</v>
      </c>
      <c r="AF446" s="180">
        <v>2.0420562729853461E-3</v>
      </c>
      <c r="AG446" s="180">
        <v>3.5270826394507459E-4</v>
      </c>
      <c r="AH446" s="180">
        <v>4.5696587310639262E-4</v>
      </c>
      <c r="AI446" s="181">
        <v>6.4524949399266879E-4</v>
      </c>
    </row>
    <row r="447" spans="2:35" x14ac:dyDescent="0.25">
      <c r="B447" s="163" t="str">
        <f>'Market Data'!$B$43</f>
        <v>V</v>
      </c>
      <c r="C447" s="160">
        <f>Statistics!$G$45</f>
        <v>1.7947618128132319E-2</v>
      </c>
      <c r="E447" s="168">
        <v>0</v>
      </c>
      <c r="F447" s="85" t="str">
        <v>V</v>
      </c>
      <c r="G447" s="179">
        <v>1.5697677901095443E-3</v>
      </c>
      <c r="H447" s="180">
        <v>2.1563583115517065E-3</v>
      </c>
      <c r="I447" s="180">
        <v>2.2475777063178958E-3</v>
      </c>
      <c r="J447" s="180">
        <v>1.4624027030174886E-3</v>
      </c>
      <c r="K447" s="180">
        <v>2.8598074505702059E-3</v>
      </c>
      <c r="L447" s="180">
        <v>9.2897312946466114E-4</v>
      </c>
      <c r="M447" s="180">
        <v>3.0677861856869904E-3</v>
      </c>
      <c r="N447" s="180">
        <v>2.2204011828610088E-3</v>
      </c>
      <c r="O447" s="180">
        <v>1.7646874198991678E-3</v>
      </c>
      <c r="P447" s="180">
        <v>2.0541307067505868E-3</v>
      </c>
      <c r="Q447" s="180">
        <v>1.2055891827737501E-3</v>
      </c>
      <c r="R447" s="180">
        <v>1.2306885914741903E-3</v>
      </c>
      <c r="S447" s="180">
        <v>1.8678530672680304E-3</v>
      </c>
      <c r="T447" s="180">
        <v>8.2747273857601913E-4</v>
      </c>
      <c r="U447" s="180">
        <v>1.9463933682734615E-3</v>
      </c>
      <c r="V447" s="180">
        <v>9.4999344105865064E-4</v>
      </c>
      <c r="W447" s="180">
        <v>1.0020182531469391E-3</v>
      </c>
      <c r="X447" s="180">
        <v>1.59984129324471E-3</v>
      </c>
      <c r="Y447" s="180">
        <v>1.1984054366898813E-3</v>
      </c>
      <c r="Z447" s="180">
        <v>1.5294825998788863E-3</v>
      </c>
      <c r="AA447" s="180">
        <v>1.2162400994020978E-3</v>
      </c>
      <c r="AB447" s="180">
        <v>1.6142857385330945E-3</v>
      </c>
      <c r="AC447" s="180">
        <v>9.2172519542926422E-4</v>
      </c>
      <c r="AD447" s="180">
        <v>6.7255745531353401E-4</v>
      </c>
      <c r="AE447" s="180">
        <v>1.6964262161404888E-3</v>
      </c>
      <c r="AF447" s="180">
        <v>3.5270826394507459E-4</v>
      </c>
      <c r="AG447" s="180">
        <v>3.6944718915923875E-3</v>
      </c>
      <c r="AH447" s="180">
        <v>2.1280259291490004E-4</v>
      </c>
      <c r="AI447" s="181">
        <v>9.4116112769672574E-4</v>
      </c>
    </row>
    <row r="448" spans="2:35" x14ac:dyDescent="0.25">
      <c r="B448" s="163" t="str">
        <f>'Market Data'!$B$44</f>
        <v>WMT</v>
      </c>
      <c r="C448" s="160">
        <f>Statistics!$G$46</f>
        <v>1.8437214178450567E-3</v>
      </c>
      <c r="E448" s="168">
        <v>0.10478707057644575</v>
      </c>
      <c r="F448" s="85" t="str">
        <v>WMT</v>
      </c>
      <c r="G448" s="179">
        <v>5.7975796375205426E-4</v>
      </c>
      <c r="H448" s="180">
        <v>2.6973274792062105E-5</v>
      </c>
      <c r="I448" s="180">
        <v>1.7979190170774528E-4</v>
      </c>
      <c r="J448" s="180">
        <v>-2.1581932882750213E-4</v>
      </c>
      <c r="K448" s="180">
        <v>3.2563207166723412E-4</v>
      </c>
      <c r="L448" s="180">
        <v>1.437380584121094E-4</v>
      </c>
      <c r="M448" s="180">
        <v>-2.3301122426120984E-5</v>
      </c>
      <c r="N448" s="180">
        <v>-1.1672694641114529E-4</v>
      </c>
      <c r="O448" s="180">
        <v>3.1986346053900631E-5</v>
      </c>
      <c r="P448" s="180">
        <v>-5.4295264980806504E-5</v>
      </c>
      <c r="Q448" s="180">
        <v>1.9815526434870993E-4</v>
      </c>
      <c r="R448" s="180">
        <v>3.7610030291999273E-4</v>
      </c>
      <c r="S448" s="180">
        <v>-1.8556188989019865E-5</v>
      </c>
      <c r="T448" s="180">
        <v>7.1470891411086447E-4</v>
      </c>
      <c r="U448" s="180">
        <v>7.503242005510376E-5</v>
      </c>
      <c r="V448" s="180">
        <v>6.4703627119224946E-4</v>
      </c>
      <c r="W448" s="180">
        <v>4.237060092283065E-5</v>
      </c>
      <c r="X448" s="180">
        <v>4.5051539698961655E-4</v>
      </c>
      <c r="Y448" s="180">
        <v>4.389896882024129E-4</v>
      </c>
      <c r="Z448" s="180">
        <v>-3.4970831020819231E-4</v>
      </c>
      <c r="AA448" s="180">
        <v>1.3266739677968515E-5</v>
      </c>
      <c r="AB448" s="180">
        <v>6.1756439897017149E-4</v>
      </c>
      <c r="AC448" s="180">
        <v>7.2490049760504278E-4</v>
      </c>
      <c r="AD448" s="180">
        <v>2.5472583633253342E-4</v>
      </c>
      <c r="AE448" s="180">
        <v>2.8814451862251201E-4</v>
      </c>
      <c r="AF448" s="180">
        <v>4.5696587310639262E-4</v>
      </c>
      <c r="AG448" s="180">
        <v>2.1280259291490004E-4</v>
      </c>
      <c r="AH448" s="180">
        <v>1.9253008332035728E-3</v>
      </c>
      <c r="AI448" s="181">
        <v>9.9417778748729687E-5</v>
      </c>
    </row>
    <row r="449" spans="2:35" x14ac:dyDescent="0.25">
      <c r="B449" s="164" t="str">
        <f>'Market Data'!$B$45</f>
        <v>XOM</v>
      </c>
      <c r="C449" s="165">
        <f>Statistics!$G$47</f>
        <v>1.7101166353118678E-3</v>
      </c>
      <c r="E449" s="169">
        <v>3.4971217428211342E-3</v>
      </c>
      <c r="F449" s="86" t="str">
        <v>XOM</v>
      </c>
      <c r="G449" s="179">
        <v>8.3126780280069973E-4</v>
      </c>
      <c r="H449" s="180">
        <v>9.0240454872836753E-4</v>
      </c>
      <c r="I449" s="180">
        <v>5.5785917505375118E-4</v>
      </c>
      <c r="J449" s="180">
        <v>1.368945659107327E-3</v>
      </c>
      <c r="K449" s="180">
        <v>1.3701802479257339E-3</v>
      </c>
      <c r="L449" s="180">
        <v>1.9286286807754067E-3</v>
      </c>
      <c r="M449" s="180">
        <v>2.1182301102402332E-3</v>
      </c>
      <c r="N449" s="180">
        <v>1.3292278052638991E-3</v>
      </c>
      <c r="O449" s="180">
        <v>1.6264073394302158E-3</v>
      </c>
      <c r="P449" s="180">
        <v>1.4387650786059658E-3</v>
      </c>
      <c r="Q449" s="180">
        <v>5.7016164369997474E-4</v>
      </c>
      <c r="R449" s="180">
        <v>1.0970123689928199E-3</v>
      </c>
      <c r="S449" s="180">
        <v>1.0791409093812321E-3</v>
      </c>
      <c r="T449" s="180">
        <v>7.4627799983375924E-4</v>
      </c>
      <c r="U449" s="180">
        <v>1.3958094738143344E-3</v>
      </c>
      <c r="V449" s="180">
        <v>5.1805651820066112E-4</v>
      </c>
      <c r="W449" s="180">
        <v>6.6389606634421081E-4</v>
      </c>
      <c r="X449" s="180">
        <v>1.2697174541958882E-3</v>
      </c>
      <c r="Y449" s="180">
        <v>5.8214330295854532E-4</v>
      </c>
      <c r="Z449" s="180">
        <v>1.2219742467918569E-3</v>
      </c>
      <c r="AA449" s="180">
        <v>-1.9722713194093662E-4</v>
      </c>
      <c r="AB449" s="180">
        <v>8.1835922434987771E-4</v>
      </c>
      <c r="AC449" s="180">
        <v>6.1092932367000222E-4</v>
      </c>
      <c r="AD449" s="180">
        <v>7.6037739981613735E-4</v>
      </c>
      <c r="AE449" s="180">
        <v>1.3259012920786922E-3</v>
      </c>
      <c r="AF449" s="180">
        <v>6.4524949399266879E-4</v>
      </c>
      <c r="AG449" s="180">
        <v>9.4116112769672574E-4</v>
      </c>
      <c r="AH449" s="180">
        <v>9.9417778748729687E-5</v>
      </c>
      <c r="AI449" s="181">
        <v>1.845802781732033E-3</v>
      </c>
    </row>
    <row r="450" spans="2:35" x14ac:dyDescent="0.25">
      <c r="B450" s="3"/>
      <c r="C450" s="3"/>
      <c r="D450" s="3"/>
      <c r="E450" s="182">
        <f>SUM(E421:E449)</f>
        <v>0.99999999999999989</v>
      </c>
      <c r="F450" s="3"/>
      <c r="G450" s="184">
        <f>_xll.SumProduct2(TR8_PORTFOLIO_WEIGHTS,G421:G449)*G419</f>
        <v>0</v>
      </c>
      <c r="H450" s="185">
        <f>_xll.SumProduct2(TR8_PORTFOLIO_WEIGHTS,H421:H449)*H419</f>
        <v>0</v>
      </c>
      <c r="I450" s="185">
        <f>_xll.SumProduct2(TR8_PORTFOLIO_WEIGHTS,I421:I449)*I419</f>
        <v>0</v>
      </c>
      <c r="J450" s="185">
        <f>_xll.SumProduct2(TR8_PORTFOLIO_WEIGHTS,J421:J449)*J419</f>
        <v>0</v>
      </c>
      <c r="K450" s="185">
        <f>_xll.SumProduct2(TR8_PORTFOLIO_WEIGHTS,K421:K449)*K419</f>
        <v>0</v>
      </c>
      <c r="L450" s="185">
        <f>_xll.SumProduct2(TR8_PORTFOLIO_WEIGHTS,L421:L449)*L419</f>
        <v>0</v>
      </c>
      <c r="M450" s="185">
        <f>_xll.SumProduct2(TR8_PORTFOLIO_WEIGHTS,M421:M449)*M419</f>
        <v>0</v>
      </c>
      <c r="N450" s="185">
        <f>_xll.SumProduct2(TR8_PORTFOLIO_WEIGHTS,N421:N449)*N419</f>
        <v>0</v>
      </c>
      <c r="O450" s="185">
        <f>_xll.SumProduct2(TR8_PORTFOLIO_WEIGHTS,O421:O449)*O419</f>
        <v>0</v>
      </c>
      <c r="P450" s="185">
        <f>_xll.SumProduct2(TR8_PORTFOLIO_WEIGHTS,P421:P449)*P419</f>
        <v>0</v>
      </c>
      <c r="Q450" s="185">
        <f>_xll.SumProduct2(TR8_PORTFOLIO_WEIGHTS,Q421:Q449)*Q419</f>
        <v>5.6254633877955022E-5</v>
      </c>
      <c r="R450" s="185">
        <f>_xll.SumProduct2(TR8_PORTFOLIO_WEIGHTS,R421:R449)*R419</f>
        <v>0</v>
      </c>
      <c r="S450" s="185">
        <f>_xll.SumProduct2(TR8_PORTFOLIO_WEIGHTS,S421:S449)*S419</f>
        <v>0</v>
      </c>
      <c r="T450" s="185">
        <f>_xll.SumProduct2(TR8_PORTFOLIO_WEIGHTS,T421:T449)*T419</f>
        <v>0</v>
      </c>
      <c r="U450" s="185">
        <f>_xll.SumProduct2(TR8_PORTFOLIO_WEIGHTS,U421:U449)*U419</f>
        <v>0</v>
      </c>
      <c r="V450" s="185">
        <f>_xll.SumProduct2(TR8_PORTFOLIO_WEIGHTS,V421:V449)*V419</f>
        <v>2.5371163659803037E-5</v>
      </c>
      <c r="W450" s="185">
        <f>_xll.SumProduct2(TR8_PORTFOLIO_WEIGHTS,W421:W449)*W419</f>
        <v>4.2897406710664522E-5</v>
      </c>
      <c r="X450" s="185">
        <f>_xll.SumProduct2(TR8_PORTFOLIO_WEIGHTS,X421:X449)*X419</f>
        <v>0</v>
      </c>
      <c r="Y450" s="185">
        <f>_xll.SumProduct2(TR8_PORTFOLIO_WEIGHTS,Y421:Y449)*Y419</f>
        <v>5.8934033850203992E-6</v>
      </c>
      <c r="Z450" s="185">
        <f>_xll.SumProduct2(TR8_PORTFOLIO_WEIGHTS,Z421:Z449)*Z419</f>
        <v>4.3757980512318299E-6</v>
      </c>
      <c r="AA450" s="185">
        <f>_xll.SumProduct2(TR8_PORTFOLIO_WEIGHTS,AA421:AA449)*AA419</f>
        <v>9.4184881336623383E-5</v>
      </c>
      <c r="AB450" s="185">
        <f>_xll.SumProduct2(TR8_PORTFOLIO_WEIGHTS,AB421:AB449)*AB419</f>
        <v>0</v>
      </c>
      <c r="AC450" s="185">
        <f>_xll.SumProduct2(TR8_PORTFOLIO_WEIGHTS,AC421:AC449)*AC419</f>
        <v>7.9353336074668824E-5</v>
      </c>
      <c r="AD450" s="185">
        <f>_xll.SumProduct2(TR8_PORTFOLIO_WEIGHTS,AD421:AD449)*AD419</f>
        <v>1.7664011990225733E-4</v>
      </c>
      <c r="AE450" s="185">
        <f>_xll.SumProduct2(TR8_PORTFOLIO_WEIGHTS,AE421:AE449)*AE419</f>
        <v>0</v>
      </c>
      <c r="AF450" s="185">
        <f>_xll.SumProduct2(TR8_PORTFOLIO_WEIGHTS,AF421:AF449)*AF419</f>
        <v>5.5404177003908011E-5</v>
      </c>
      <c r="AG450" s="185">
        <f>_xll.SumProduct2(TR8_PORTFOLIO_WEIGHTS,AG421:AG449)*AG419</f>
        <v>0</v>
      </c>
      <c r="AH450" s="185">
        <f>_xll.SumProduct2(TR8_PORTFOLIO_WEIGHTS,AH421:AH449)*AH419</f>
        <v>5.0421219094501179E-5</v>
      </c>
      <c r="AI450" s="187">
        <f>_xll.SumProduct2(TR8_PORTFOLIO_WEIGHTS,AI421:AI449)*AI419</f>
        <v>1.6773252755080763E-6</v>
      </c>
    </row>
    <row r="451" spans="2:35" x14ac:dyDescent="0.25">
      <c r="B451" s="3"/>
      <c r="C451" s="3"/>
      <c r="D451" s="3"/>
      <c r="E451" s="3"/>
      <c r="F451" s="3"/>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row>
    <row r="452" spans="2:35" ht="20.25" thickBot="1" x14ac:dyDescent="0.35">
      <c r="B452" s="153" t="str">
        <f>ROUND(TR9_PORTFOLIO_TARGET_RETURN*100, LABEL_ROUNDING) &amp; "% Target Return Portfolio (TR9)"</f>
        <v>1.474% Target Return Portfolio (TR9)</v>
      </c>
      <c r="C452" s="153"/>
      <c r="D452" s="153"/>
      <c r="E452" s="154"/>
      <c r="F452" s="153"/>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row>
    <row r="453" spans="2:35" ht="15.75" thickTop="1" x14ac:dyDescent="0.25">
      <c r="B453" s="156" t="s">
        <v>70</v>
      </c>
      <c r="C453" s="159">
        <f>TR9_PORTFOLIO_TARGET_RETURN</f>
        <v>1.4739095835567604E-2</v>
      </c>
    </row>
    <row r="454" spans="2:35" x14ac:dyDescent="0.25">
      <c r="B454" s="157" t="s">
        <v>60</v>
      </c>
      <c r="C454" s="160">
        <f>_xll.SumProduct2(C459:C487,E459:E487)-RISK_FREE_RATE</f>
        <v>1.4739492053590745E-2</v>
      </c>
    </row>
    <row r="455" spans="2:35" x14ac:dyDescent="0.25">
      <c r="B455" s="157" t="s">
        <v>62</v>
      </c>
      <c r="C455" s="160">
        <f>SQRT(SUM(G488:AI488))</f>
        <v>2.5160169443716199E-2</v>
      </c>
    </row>
    <row r="456" spans="2:35" x14ac:dyDescent="0.25">
      <c r="B456" s="158" t="s">
        <v>103</v>
      </c>
      <c r="C456" s="161" t="str">
        <f>_xll.TimeSeries.CovarianceMatrixCalculator.apply(COVARIANCE_MATRIX_CALCULATOR,'Efficient Frontier'!B459:B487,Statistics!$F$19:$F$47)</f>
        <v>»LabelledMatrix-16705291694770987813</v>
      </c>
      <c r="D456" t="s">
        <v>77</v>
      </c>
    </row>
    <row r="457" spans="2:35" x14ac:dyDescent="0.25">
      <c r="F457" s="111" t="s">
        <v>69</v>
      </c>
      <c r="G457" s="170">
        <f t="array" ref="G457:AI457">TRANSPOSE(E459:E487)</f>
        <v>8.6490893779322068E-3</v>
      </c>
      <c r="H457" s="171">
        <v>0</v>
      </c>
      <c r="I457" s="171">
        <v>0</v>
      </c>
      <c r="J457" s="171">
        <v>0</v>
      </c>
      <c r="K457" s="171">
        <v>0</v>
      </c>
      <c r="L457" s="171">
        <v>0</v>
      </c>
      <c r="M457" s="171">
        <v>0</v>
      </c>
      <c r="N457" s="171">
        <v>0</v>
      </c>
      <c r="O457" s="171">
        <v>0</v>
      </c>
      <c r="P457" s="171">
        <v>0</v>
      </c>
      <c r="Q457" s="171">
        <v>9.413580017513741E-2</v>
      </c>
      <c r="R457" s="171">
        <v>0</v>
      </c>
      <c r="S457" s="171">
        <v>0</v>
      </c>
      <c r="T457" s="171">
        <v>3.9199052939474469E-2</v>
      </c>
      <c r="U457" s="171">
        <v>0</v>
      </c>
      <c r="V457" s="171">
        <v>5.4589381911018591E-3</v>
      </c>
      <c r="W457" s="171">
        <v>6.9362662892110627E-2</v>
      </c>
      <c r="X457" s="171">
        <v>0</v>
      </c>
      <c r="Y457" s="171">
        <v>0</v>
      </c>
      <c r="Z457" s="171">
        <v>2.9852601540973925E-2</v>
      </c>
      <c r="AA457" s="171">
        <v>0.16002612549815395</v>
      </c>
      <c r="AB457" s="171">
        <v>0</v>
      </c>
      <c r="AC457" s="171">
        <v>0.11784543910418399</v>
      </c>
      <c r="AD457" s="171">
        <v>0.28841962025999873</v>
      </c>
      <c r="AE457" s="171">
        <v>0</v>
      </c>
      <c r="AF457" s="171">
        <v>8.5924355164662999E-2</v>
      </c>
      <c r="AG457" s="171">
        <v>0</v>
      </c>
      <c r="AH457" s="171">
        <v>0.10112631485627001</v>
      </c>
      <c r="AI457" s="172">
        <v>0</v>
      </c>
    </row>
    <row r="458" spans="2:35" x14ac:dyDescent="0.25">
      <c r="C458" s="111" t="s">
        <v>63</v>
      </c>
      <c r="E458" s="89" t="s">
        <v>69</v>
      </c>
      <c r="F458" s="166" t="str">
        <f t="array" ref="F458:AI487">_xll.Matrix.ExpandAsArray(C456)</f>
        <v/>
      </c>
      <c r="G458" s="173" t="str">
        <v>AAPL</v>
      </c>
      <c r="H458" s="174" t="str">
        <v>AXP</v>
      </c>
      <c r="I458" s="174" t="str">
        <v>BA</v>
      </c>
      <c r="J458" s="174" t="str">
        <v>CAT</v>
      </c>
      <c r="K458" s="174" t="str">
        <v>CSCO</v>
      </c>
      <c r="L458" s="174" t="str">
        <v>CVX</v>
      </c>
      <c r="M458" s="174" t="str">
        <v>DD</v>
      </c>
      <c r="N458" s="174" t="str">
        <v>DIS</v>
      </c>
      <c r="O458" s="174" t="str">
        <v>GE</v>
      </c>
      <c r="P458" s="174" t="str">
        <v>GS</v>
      </c>
      <c r="Q458" s="174" t="str">
        <v>HD</v>
      </c>
      <c r="R458" s="174" t="str">
        <v>IBM</v>
      </c>
      <c r="S458" s="174" t="str">
        <v>INTC</v>
      </c>
      <c r="T458" s="174" t="str">
        <v>JNJ</v>
      </c>
      <c r="U458" s="174" t="str">
        <v>JPM</v>
      </c>
      <c r="V458" s="174" t="str">
        <v>KO</v>
      </c>
      <c r="W458" s="174" t="str">
        <v>MCD</v>
      </c>
      <c r="X458" s="174" t="str">
        <v>MMM</v>
      </c>
      <c r="Y458" s="174" t="str">
        <v>MRK</v>
      </c>
      <c r="Z458" s="174" t="str">
        <v>MSFT</v>
      </c>
      <c r="AA458" s="174" t="str">
        <v>NKE</v>
      </c>
      <c r="AB458" s="174" t="str">
        <v>PFE</v>
      </c>
      <c r="AC458" s="174" t="str">
        <v>PG</v>
      </c>
      <c r="AD458" s="174" t="str">
        <v>UNH</v>
      </c>
      <c r="AE458" s="174" t="str">
        <v>UTX</v>
      </c>
      <c r="AF458" s="174" t="str">
        <v>VZ</v>
      </c>
      <c r="AG458" s="174" t="str">
        <v>V</v>
      </c>
      <c r="AH458" s="174" t="str">
        <v>WMT</v>
      </c>
      <c r="AI458" s="175" t="str">
        <v>XOM</v>
      </c>
    </row>
    <row r="459" spans="2:35" x14ac:dyDescent="0.25">
      <c r="B459" s="162" t="str">
        <f>'Market Data'!$B$17</f>
        <v>AAPL</v>
      </c>
      <c r="C459" s="159">
        <f>Statistics!$G$19</f>
        <v>2.1230184800142136E-2</v>
      </c>
      <c r="E459" s="167">
        <v>8.6490893779322068E-3</v>
      </c>
      <c r="F459" s="84" t="str">
        <v>AAPL</v>
      </c>
      <c r="G459" s="176">
        <v>4.5162973293162668E-3</v>
      </c>
      <c r="H459" s="177">
        <v>1.6284380645241216E-3</v>
      </c>
      <c r="I459" s="177">
        <v>1.6201491796022521E-3</v>
      </c>
      <c r="J459" s="177">
        <v>1.5690359790962263E-3</v>
      </c>
      <c r="K459" s="177">
        <v>2.3505409053430782E-3</v>
      </c>
      <c r="L459" s="177">
        <v>1.1773098260505132E-3</v>
      </c>
      <c r="M459" s="177">
        <v>2.5889638042653502E-3</v>
      </c>
      <c r="N459" s="177">
        <v>1.366655807124157E-3</v>
      </c>
      <c r="O459" s="177">
        <v>1.5698375611055285E-3</v>
      </c>
      <c r="P459" s="177">
        <v>1.8109156333145874E-3</v>
      </c>
      <c r="Q459" s="177">
        <v>9.8639311096076088E-4</v>
      </c>
      <c r="R459" s="177">
        <v>1.7737023799007877E-3</v>
      </c>
      <c r="S459" s="177">
        <v>1.6293191413582805E-3</v>
      </c>
      <c r="T459" s="177">
        <v>8.2631268301744008E-4</v>
      </c>
      <c r="U459" s="177">
        <v>1.2529926248616137E-3</v>
      </c>
      <c r="V459" s="177">
        <v>9.6129190129553134E-4</v>
      </c>
      <c r="W459" s="177">
        <v>4.3723596630614248E-4</v>
      </c>
      <c r="X459" s="177">
        <v>1.6042263123932821E-3</v>
      </c>
      <c r="Y459" s="177">
        <v>6.6280896407091964E-4</v>
      </c>
      <c r="Z459" s="177">
        <v>1.7656054736670385E-3</v>
      </c>
      <c r="AA459" s="177">
        <v>7.4054258425286133E-4</v>
      </c>
      <c r="AB459" s="177">
        <v>1.105136574328315E-3</v>
      </c>
      <c r="AC459" s="177">
        <v>1.0336127768185608E-3</v>
      </c>
      <c r="AD459" s="177">
        <v>5.5673881663560775E-4</v>
      </c>
      <c r="AE459" s="177">
        <v>1.2367738317379871E-3</v>
      </c>
      <c r="AF459" s="177">
        <v>1.8457278448214234E-4</v>
      </c>
      <c r="AG459" s="177">
        <v>1.5697677901095443E-3</v>
      </c>
      <c r="AH459" s="177">
        <v>5.7975796375205426E-4</v>
      </c>
      <c r="AI459" s="178">
        <v>8.3126780280069973E-4</v>
      </c>
    </row>
    <row r="460" spans="2:35" x14ac:dyDescent="0.25">
      <c r="B460" s="163" t="str">
        <f>'Market Data'!$B$18</f>
        <v>AXP</v>
      </c>
      <c r="C460" s="160">
        <f>Statistics!$G$20</f>
        <v>6.4918343965214677E-3</v>
      </c>
      <c r="E460" s="168">
        <v>0</v>
      </c>
      <c r="F460" s="85" t="str">
        <v>AXP</v>
      </c>
      <c r="G460" s="179">
        <v>1.6284380645241216E-3</v>
      </c>
      <c r="H460" s="180">
        <v>4.0660324753009668E-3</v>
      </c>
      <c r="I460" s="180">
        <v>2.3214948032735548E-3</v>
      </c>
      <c r="J460" s="180">
        <v>2.4672804057197504E-3</v>
      </c>
      <c r="K460" s="180">
        <v>2.2861035048804129E-3</v>
      </c>
      <c r="L460" s="180">
        <v>1.4106472819975181E-3</v>
      </c>
      <c r="M460" s="180">
        <v>3.0070268955997704E-3</v>
      </c>
      <c r="N460" s="180">
        <v>1.9718583562846406E-3</v>
      </c>
      <c r="O460" s="180">
        <v>1.6460552176854309E-3</v>
      </c>
      <c r="P460" s="180">
        <v>3.1197862990926528E-3</v>
      </c>
      <c r="Q460" s="180">
        <v>1.285962047454306E-3</v>
      </c>
      <c r="R460" s="180">
        <v>1.960684724858895E-3</v>
      </c>
      <c r="S460" s="180">
        <v>2.0715314739138896E-3</v>
      </c>
      <c r="T460" s="180">
        <v>7.3945969222275051E-4</v>
      </c>
      <c r="U460" s="180">
        <v>2.7840355446374721E-3</v>
      </c>
      <c r="V460" s="180">
        <v>5.6369017954212687E-4</v>
      </c>
      <c r="W460" s="180">
        <v>5.9016175595858627E-4</v>
      </c>
      <c r="X460" s="180">
        <v>1.3680882736390085E-3</v>
      </c>
      <c r="Y460" s="180">
        <v>9.5675499919051471E-4</v>
      </c>
      <c r="Z460" s="180">
        <v>1.7453927826798744E-3</v>
      </c>
      <c r="AA460" s="180">
        <v>9.1418204127611028E-4</v>
      </c>
      <c r="AB460" s="180">
        <v>1.0081234358528435E-3</v>
      </c>
      <c r="AC460" s="180">
        <v>4.150551569421239E-4</v>
      </c>
      <c r="AD460" s="180">
        <v>9.035040942327959E-4</v>
      </c>
      <c r="AE460" s="180">
        <v>1.9679940702890687E-3</v>
      </c>
      <c r="AF460" s="180">
        <v>-7.7366109832012643E-5</v>
      </c>
      <c r="AG460" s="180">
        <v>2.1563583115517065E-3</v>
      </c>
      <c r="AH460" s="180">
        <v>2.6973274792062105E-5</v>
      </c>
      <c r="AI460" s="181">
        <v>9.0240454872836753E-4</v>
      </c>
    </row>
    <row r="461" spans="2:35" x14ac:dyDescent="0.25">
      <c r="B461" s="163" t="str">
        <f>'Market Data'!$B$19</f>
        <v>BA</v>
      </c>
      <c r="C461" s="160">
        <f>Statistics!$G$21</f>
        <v>1.9250861766613322E-2</v>
      </c>
      <c r="E461" s="168">
        <v>0</v>
      </c>
      <c r="F461" s="85" t="str">
        <v>BA</v>
      </c>
      <c r="G461" s="179">
        <v>1.6201491796022521E-3</v>
      </c>
      <c r="H461" s="180">
        <v>2.3214948032735548E-3</v>
      </c>
      <c r="I461" s="180">
        <v>3.7402935775721971E-3</v>
      </c>
      <c r="J461" s="180">
        <v>1.6046317611050844E-3</v>
      </c>
      <c r="K461" s="180">
        <v>2.1240240973260023E-3</v>
      </c>
      <c r="L461" s="180">
        <v>1.3419066335272889E-3</v>
      </c>
      <c r="M461" s="180">
        <v>3.1629198402818382E-3</v>
      </c>
      <c r="N461" s="180">
        <v>2.193611301570318E-3</v>
      </c>
      <c r="O461" s="180">
        <v>1.7334051959416068E-3</v>
      </c>
      <c r="P461" s="180">
        <v>2.2391121271409182E-3</v>
      </c>
      <c r="Q461" s="180">
        <v>1.2911501083222776E-3</v>
      </c>
      <c r="R461" s="180">
        <v>1.1336433634722555E-3</v>
      </c>
      <c r="S461" s="180">
        <v>1.485647562986758E-3</v>
      </c>
      <c r="T461" s="180">
        <v>7.7470388279684329E-4</v>
      </c>
      <c r="U461" s="180">
        <v>1.8054441283061249E-3</v>
      </c>
      <c r="V461" s="180">
        <v>9.7196182882881919E-4</v>
      </c>
      <c r="W461" s="180">
        <v>1.004575731683145E-3</v>
      </c>
      <c r="X461" s="180">
        <v>1.220072170107771E-3</v>
      </c>
      <c r="Y461" s="180">
        <v>1.3506721993334096E-3</v>
      </c>
      <c r="Z461" s="180">
        <v>1.4618979219237266E-3</v>
      </c>
      <c r="AA461" s="180">
        <v>1.1825978430535619E-3</v>
      </c>
      <c r="AB461" s="180">
        <v>1.2950969606515986E-3</v>
      </c>
      <c r="AC461" s="180">
        <v>5.997217417536032E-4</v>
      </c>
      <c r="AD461" s="180">
        <v>6.5863568330466196E-4</v>
      </c>
      <c r="AE461" s="180">
        <v>1.846395156096473E-3</v>
      </c>
      <c r="AF461" s="180">
        <v>3.7914592931386057E-4</v>
      </c>
      <c r="AG461" s="180">
        <v>2.2475777063178958E-3</v>
      </c>
      <c r="AH461" s="180">
        <v>1.7979190170774528E-4</v>
      </c>
      <c r="AI461" s="181">
        <v>5.5785917505375118E-4</v>
      </c>
    </row>
    <row r="462" spans="2:35" x14ac:dyDescent="0.25">
      <c r="B462" s="163" t="str">
        <f>'Market Data'!$B$20</f>
        <v>CAT</v>
      </c>
      <c r="C462" s="160">
        <f>Statistics!$G$22</f>
        <v>6.3545919720494892E-3</v>
      </c>
      <c r="E462" s="168">
        <v>0</v>
      </c>
      <c r="F462" s="85" t="str">
        <v>CAT</v>
      </c>
      <c r="G462" s="179">
        <v>1.5690359790962263E-3</v>
      </c>
      <c r="H462" s="180">
        <v>2.4672804057197504E-3</v>
      </c>
      <c r="I462" s="180">
        <v>1.6046317611050844E-3</v>
      </c>
      <c r="J462" s="180">
        <v>4.5013491323716076E-3</v>
      </c>
      <c r="K462" s="180">
        <v>1.8532157140411887E-3</v>
      </c>
      <c r="L462" s="180">
        <v>2.2352946064681648E-3</v>
      </c>
      <c r="M462" s="180">
        <v>3.0429489894058951E-3</v>
      </c>
      <c r="N462" s="180">
        <v>1.6981712196612736E-3</v>
      </c>
      <c r="O462" s="180">
        <v>2.2046623152336968E-3</v>
      </c>
      <c r="P462" s="180">
        <v>2.3825247137119567E-3</v>
      </c>
      <c r="Q462" s="180">
        <v>1.0587514228509517E-3</v>
      </c>
      <c r="R462" s="180">
        <v>2.1554825858441308E-3</v>
      </c>
      <c r="S462" s="180">
        <v>2.3005603160952529E-3</v>
      </c>
      <c r="T462" s="180">
        <v>9.0633949973445221E-4</v>
      </c>
      <c r="U462" s="180">
        <v>2.011937601179676E-3</v>
      </c>
      <c r="V462" s="180">
        <v>6.586205973694774E-4</v>
      </c>
      <c r="W462" s="180">
        <v>1.2118483675212872E-3</v>
      </c>
      <c r="X462" s="180">
        <v>1.3778500117759705E-3</v>
      </c>
      <c r="Y462" s="180">
        <v>1.6454661341138513E-3</v>
      </c>
      <c r="Z462" s="180">
        <v>2.2842322526096018E-3</v>
      </c>
      <c r="AA462" s="180">
        <v>-1.1104731462091626E-4</v>
      </c>
      <c r="AB462" s="180">
        <v>7.9610645869862182E-4</v>
      </c>
      <c r="AC462" s="180">
        <v>4.9254664842985144E-4</v>
      </c>
      <c r="AD462" s="180">
        <v>7.8373416165496384E-4</v>
      </c>
      <c r="AE462" s="180">
        <v>2.1924453554447642E-3</v>
      </c>
      <c r="AF462" s="180">
        <v>6.8929109799853135E-4</v>
      </c>
      <c r="AG462" s="180">
        <v>1.4624027030174886E-3</v>
      </c>
      <c r="AH462" s="180">
        <v>-2.1581932882750213E-4</v>
      </c>
      <c r="AI462" s="181">
        <v>1.368945659107327E-3</v>
      </c>
    </row>
    <row r="463" spans="2:35" x14ac:dyDescent="0.25">
      <c r="B463" s="163" t="str">
        <f>'Market Data'!$B$21</f>
        <v>CSCO</v>
      </c>
      <c r="C463" s="160">
        <f>Statistics!$G$23</f>
        <v>1.4928779568119917E-2</v>
      </c>
      <c r="E463" s="168">
        <v>0</v>
      </c>
      <c r="F463" s="85" t="str">
        <v>CSCO</v>
      </c>
      <c r="G463" s="179">
        <v>2.3505409053430782E-3</v>
      </c>
      <c r="H463" s="180">
        <v>2.2861035048804129E-3</v>
      </c>
      <c r="I463" s="180">
        <v>2.1240240973260023E-3</v>
      </c>
      <c r="J463" s="180">
        <v>1.8532157140411887E-3</v>
      </c>
      <c r="K463" s="180">
        <v>4.2943797540477393E-3</v>
      </c>
      <c r="L463" s="180">
        <v>1.6495950515362169E-3</v>
      </c>
      <c r="M463" s="180">
        <v>3.7036865533827041E-3</v>
      </c>
      <c r="N463" s="180">
        <v>1.9090150380186609E-3</v>
      </c>
      <c r="O463" s="180">
        <v>2.0168425927536027E-3</v>
      </c>
      <c r="P463" s="180">
        <v>2.2177683830845976E-3</v>
      </c>
      <c r="Q463" s="180">
        <v>9.8504335267051509E-4</v>
      </c>
      <c r="R463" s="180">
        <v>2.2508292865696072E-3</v>
      </c>
      <c r="S463" s="180">
        <v>2.2625583672846289E-3</v>
      </c>
      <c r="T463" s="180">
        <v>1.1094225673998865E-3</v>
      </c>
      <c r="U463" s="180">
        <v>2.0831844183308271E-3</v>
      </c>
      <c r="V463" s="180">
        <v>1.0904984859812852E-3</v>
      </c>
      <c r="W463" s="180">
        <v>8.8656407550750189E-4</v>
      </c>
      <c r="X463" s="180">
        <v>1.6594658489014636E-3</v>
      </c>
      <c r="Y463" s="180">
        <v>1.2877752599161352E-3</v>
      </c>
      <c r="Z463" s="180">
        <v>2.1511833371391734E-3</v>
      </c>
      <c r="AA463" s="180">
        <v>7.2136303147440504E-4</v>
      </c>
      <c r="AB463" s="180">
        <v>1.5185012123350332E-3</v>
      </c>
      <c r="AC463" s="180">
        <v>1.0690588122897406E-3</v>
      </c>
      <c r="AD463" s="180">
        <v>1.0321561899434074E-3</v>
      </c>
      <c r="AE463" s="180">
        <v>2.0848208418056797E-3</v>
      </c>
      <c r="AF463" s="180">
        <v>5.9888719676582812E-4</v>
      </c>
      <c r="AG463" s="180">
        <v>2.8598074505702059E-3</v>
      </c>
      <c r="AH463" s="180">
        <v>3.2563207166723412E-4</v>
      </c>
      <c r="AI463" s="181">
        <v>1.3701802479257339E-3</v>
      </c>
    </row>
    <row r="464" spans="2:35" x14ac:dyDescent="0.25">
      <c r="B464" s="163" t="str">
        <f>'Market Data'!$B$22</f>
        <v>CVX</v>
      </c>
      <c r="C464" s="160">
        <f>Statistics!$G$24</f>
        <v>2.6845541907593424E-3</v>
      </c>
      <c r="E464" s="168">
        <v>0</v>
      </c>
      <c r="F464" s="85" t="str">
        <v>CVX</v>
      </c>
      <c r="G464" s="179">
        <v>1.1773098260505132E-3</v>
      </c>
      <c r="H464" s="180">
        <v>1.4106472819975181E-3</v>
      </c>
      <c r="I464" s="180">
        <v>1.3419066335272889E-3</v>
      </c>
      <c r="J464" s="180">
        <v>2.2352946064681648E-3</v>
      </c>
      <c r="K464" s="180">
        <v>1.6495950515362169E-3</v>
      </c>
      <c r="L464" s="180">
        <v>3.2764948408559465E-3</v>
      </c>
      <c r="M464" s="180">
        <v>2.8277959806832817E-3</v>
      </c>
      <c r="N464" s="180">
        <v>1.8200348202442435E-3</v>
      </c>
      <c r="O464" s="180">
        <v>2.0997855192430963E-3</v>
      </c>
      <c r="P464" s="180">
        <v>2.495859527554455E-3</v>
      </c>
      <c r="Q464" s="180">
        <v>7.9860489883547216E-4</v>
      </c>
      <c r="R464" s="180">
        <v>1.7099575851328929E-3</v>
      </c>
      <c r="S464" s="180">
        <v>1.762362573764028E-3</v>
      </c>
      <c r="T464" s="180">
        <v>1.0006982850928254E-3</v>
      </c>
      <c r="U464" s="180">
        <v>2.159640132817216E-3</v>
      </c>
      <c r="V464" s="180">
        <v>7.7350953916938299E-4</v>
      </c>
      <c r="W464" s="180">
        <v>1.2445101608031307E-3</v>
      </c>
      <c r="X464" s="180">
        <v>1.3396872809028706E-3</v>
      </c>
      <c r="Y464" s="180">
        <v>1.0548817345930506E-3</v>
      </c>
      <c r="Z464" s="180">
        <v>1.921523261676006E-3</v>
      </c>
      <c r="AA464" s="180">
        <v>-3.0145919518466895E-4</v>
      </c>
      <c r="AB464" s="180">
        <v>1.0966581694716135E-3</v>
      </c>
      <c r="AC464" s="180">
        <v>8.4385070363078498E-4</v>
      </c>
      <c r="AD464" s="180">
        <v>8.9699068571536217E-4</v>
      </c>
      <c r="AE464" s="180">
        <v>1.7655731333339048E-3</v>
      </c>
      <c r="AF464" s="180">
        <v>7.5916190680994219E-4</v>
      </c>
      <c r="AG464" s="180">
        <v>9.2897312946466114E-4</v>
      </c>
      <c r="AH464" s="180">
        <v>1.437380584121094E-4</v>
      </c>
      <c r="AI464" s="181">
        <v>1.9286286807754067E-3</v>
      </c>
    </row>
    <row r="465" spans="2:35" x14ac:dyDescent="0.25">
      <c r="B465" s="163" t="str">
        <f>'Market Data'!$B$23</f>
        <v>DD</v>
      </c>
      <c r="C465" s="160">
        <f>Statistics!$G$25</f>
        <v>1.7349865519574785E-2</v>
      </c>
      <c r="E465" s="168">
        <v>0</v>
      </c>
      <c r="F465" s="85" t="str">
        <v>DD</v>
      </c>
      <c r="G465" s="179">
        <v>2.5889638042653502E-3</v>
      </c>
      <c r="H465" s="180">
        <v>3.0070268955997704E-3</v>
      </c>
      <c r="I465" s="180">
        <v>3.1629198402818382E-3</v>
      </c>
      <c r="J465" s="180">
        <v>3.0429489894058951E-3</v>
      </c>
      <c r="K465" s="180">
        <v>3.7036865533827041E-3</v>
      </c>
      <c r="L465" s="180">
        <v>2.8277959806832817E-3</v>
      </c>
      <c r="M465" s="180">
        <v>7.2090294001774871E-3</v>
      </c>
      <c r="N465" s="180">
        <v>3.2246456006375726E-3</v>
      </c>
      <c r="O465" s="180">
        <v>3.2408092269649337E-3</v>
      </c>
      <c r="P465" s="180">
        <v>3.1194558916632768E-3</v>
      </c>
      <c r="Q465" s="180">
        <v>2.0138415935295195E-3</v>
      </c>
      <c r="R465" s="180">
        <v>2.4056181433013803E-3</v>
      </c>
      <c r="S465" s="180">
        <v>2.9333641814070907E-3</v>
      </c>
      <c r="T465" s="180">
        <v>1.7073269232421356E-3</v>
      </c>
      <c r="U465" s="180">
        <v>2.9403656750226037E-3</v>
      </c>
      <c r="V465" s="180">
        <v>1.3828838928124146E-3</v>
      </c>
      <c r="W465" s="180">
        <v>1.5566945864839937E-3</v>
      </c>
      <c r="X465" s="180">
        <v>2.4333011024343194E-3</v>
      </c>
      <c r="Y465" s="180">
        <v>2.1034755337789339E-3</v>
      </c>
      <c r="Z465" s="180">
        <v>3.4647817866697963E-3</v>
      </c>
      <c r="AA465" s="180">
        <v>1.371253710214986E-3</v>
      </c>
      <c r="AB465" s="180">
        <v>2.2541080192876768E-3</v>
      </c>
      <c r="AC465" s="180">
        <v>1.1783213677355128E-3</v>
      </c>
      <c r="AD465" s="180">
        <v>1.3915459916452729E-3</v>
      </c>
      <c r="AE465" s="180">
        <v>3.4844332298577191E-3</v>
      </c>
      <c r="AF465" s="180">
        <v>9.2727826439514978E-4</v>
      </c>
      <c r="AG465" s="180">
        <v>3.0677861856869904E-3</v>
      </c>
      <c r="AH465" s="180">
        <v>-2.3301122426120984E-5</v>
      </c>
      <c r="AI465" s="181">
        <v>2.1182301102402332E-3</v>
      </c>
    </row>
    <row r="466" spans="2:35" x14ac:dyDescent="0.25">
      <c r="B466" s="163" t="str">
        <f>'Market Data'!$B$24</f>
        <v>DIS</v>
      </c>
      <c r="C466" s="160">
        <f>Statistics!$G$26</f>
        <v>1.7109009470709015E-2</v>
      </c>
      <c r="E466" s="168">
        <v>0</v>
      </c>
      <c r="F466" s="85" t="str">
        <v>DIS</v>
      </c>
      <c r="G466" s="179">
        <v>1.366655807124157E-3</v>
      </c>
      <c r="H466" s="180">
        <v>1.9718583562846406E-3</v>
      </c>
      <c r="I466" s="180">
        <v>2.193611301570318E-3</v>
      </c>
      <c r="J466" s="180">
        <v>1.6981712196612736E-3</v>
      </c>
      <c r="K466" s="180">
        <v>1.9090150380186609E-3</v>
      </c>
      <c r="L466" s="180">
        <v>1.8200348202442435E-3</v>
      </c>
      <c r="M466" s="180">
        <v>3.2246456006375726E-3</v>
      </c>
      <c r="N466" s="180">
        <v>3.2225637954133132E-3</v>
      </c>
      <c r="O466" s="180">
        <v>1.7980110839806059E-3</v>
      </c>
      <c r="P466" s="180">
        <v>2.5910429203650125E-3</v>
      </c>
      <c r="Q466" s="180">
        <v>1.4438567521116873E-3</v>
      </c>
      <c r="R466" s="180">
        <v>1.2533920720746924E-3</v>
      </c>
      <c r="S466" s="180">
        <v>1.4872846501875279E-3</v>
      </c>
      <c r="T466" s="180">
        <v>7.6090581351824873E-4</v>
      </c>
      <c r="U466" s="180">
        <v>2.3150492241015347E-3</v>
      </c>
      <c r="V466" s="180">
        <v>7.3157249166013263E-4</v>
      </c>
      <c r="W466" s="180">
        <v>1.0434476997331528E-3</v>
      </c>
      <c r="X466" s="180">
        <v>1.3935802423237448E-3</v>
      </c>
      <c r="Y466" s="180">
        <v>1.1180874248259017E-3</v>
      </c>
      <c r="Z466" s="180">
        <v>1.7514488094562146E-3</v>
      </c>
      <c r="AA466" s="180">
        <v>1.1713887062549742E-3</v>
      </c>
      <c r="AB466" s="180">
        <v>1.4909638464124207E-3</v>
      </c>
      <c r="AC466" s="180">
        <v>6.6920552953337459E-4</v>
      </c>
      <c r="AD466" s="180">
        <v>9.9320622386439117E-4</v>
      </c>
      <c r="AE466" s="180">
        <v>1.6618009644053405E-3</v>
      </c>
      <c r="AF466" s="180">
        <v>5.8624704841600517E-4</v>
      </c>
      <c r="AG466" s="180">
        <v>2.2204011828610088E-3</v>
      </c>
      <c r="AH466" s="180">
        <v>-1.1672694641114529E-4</v>
      </c>
      <c r="AI466" s="181">
        <v>1.3292278052638991E-3</v>
      </c>
    </row>
    <row r="467" spans="2:35" x14ac:dyDescent="0.25">
      <c r="B467" s="163" t="str">
        <f>'Market Data'!$B$25</f>
        <v>GE</v>
      </c>
      <c r="C467" s="160">
        <f>Statistics!$G$27</f>
        <v>9.2719197536449416E-3</v>
      </c>
      <c r="E467" s="168">
        <v>0</v>
      </c>
      <c r="F467" s="85" t="str">
        <v>GE</v>
      </c>
      <c r="G467" s="179">
        <v>1.5698375611055285E-3</v>
      </c>
      <c r="H467" s="180">
        <v>1.6460552176854309E-3</v>
      </c>
      <c r="I467" s="180">
        <v>1.7334051959416068E-3</v>
      </c>
      <c r="J467" s="180">
        <v>2.2046623152336968E-3</v>
      </c>
      <c r="K467" s="180">
        <v>2.0168425927536027E-3</v>
      </c>
      <c r="L467" s="180">
        <v>2.0997855192430963E-3</v>
      </c>
      <c r="M467" s="180">
        <v>3.2408092269649337E-3</v>
      </c>
      <c r="N467" s="180">
        <v>1.7980110839806059E-3</v>
      </c>
      <c r="O467" s="180">
        <v>2.8739818723832944E-3</v>
      </c>
      <c r="P467" s="180">
        <v>2.2255962061739098E-3</v>
      </c>
      <c r="Q467" s="180">
        <v>1.1779071347684854E-3</v>
      </c>
      <c r="R467" s="180">
        <v>1.4606469135339543E-3</v>
      </c>
      <c r="S467" s="180">
        <v>1.8413857882482649E-3</v>
      </c>
      <c r="T467" s="180">
        <v>1.1338883047798758E-3</v>
      </c>
      <c r="U467" s="180">
        <v>1.9825602222543746E-3</v>
      </c>
      <c r="V467" s="180">
        <v>1.0900315820250495E-3</v>
      </c>
      <c r="W467" s="180">
        <v>1.4080437366372094E-3</v>
      </c>
      <c r="X467" s="180">
        <v>1.6476299492810176E-3</v>
      </c>
      <c r="Y467" s="180">
        <v>7.4080885300837902E-4</v>
      </c>
      <c r="Z467" s="180">
        <v>2.1782812682115105E-3</v>
      </c>
      <c r="AA467" s="180">
        <v>6.8149888740689005E-4</v>
      </c>
      <c r="AB467" s="180">
        <v>1.1596920910434683E-3</v>
      </c>
      <c r="AC467" s="180">
        <v>8.669689440805547E-4</v>
      </c>
      <c r="AD467" s="180">
        <v>6.9406421327386882E-4</v>
      </c>
      <c r="AE467" s="180">
        <v>1.9210155408337607E-3</v>
      </c>
      <c r="AF467" s="180">
        <v>1.0256274934399997E-3</v>
      </c>
      <c r="AG467" s="180">
        <v>1.7646874198991678E-3</v>
      </c>
      <c r="AH467" s="180">
        <v>3.1986346053900631E-5</v>
      </c>
      <c r="AI467" s="181">
        <v>1.6264073394302158E-3</v>
      </c>
    </row>
    <row r="468" spans="2:35" x14ac:dyDescent="0.25">
      <c r="B468" s="163" t="str">
        <f>'Market Data'!$B$26</f>
        <v>GS</v>
      </c>
      <c r="C468" s="160">
        <f>Statistics!$G$28</f>
        <v>1.2775975133106521E-2</v>
      </c>
      <c r="E468" s="168">
        <v>0</v>
      </c>
      <c r="F468" s="85" t="str">
        <v>GS</v>
      </c>
      <c r="G468" s="179">
        <v>1.8109156333145874E-3</v>
      </c>
      <c r="H468" s="180">
        <v>3.1197862990926528E-3</v>
      </c>
      <c r="I468" s="180">
        <v>2.2391121271409182E-3</v>
      </c>
      <c r="J468" s="180">
        <v>2.3825247137119567E-3</v>
      </c>
      <c r="K468" s="180">
        <v>2.2177683830845976E-3</v>
      </c>
      <c r="L468" s="180">
        <v>2.495859527554455E-3</v>
      </c>
      <c r="M468" s="180">
        <v>3.1194558916632768E-3</v>
      </c>
      <c r="N468" s="180">
        <v>2.5910429203650125E-3</v>
      </c>
      <c r="O468" s="180">
        <v>2.2255962061739098E-3</v>
      </c>
      <c r="P468" s="180">
        <v>4.8815099105356504E-3</v>
      </c>
      <c r="Q468" s="180">
        <v>1.5442152510598698E-3</v>
      </c>
      <c r="R468" s="180">
        <v>2.2308798805711167E-3</v>
      </c>
      <c r="S468" s="180">
        <v>1.7997270101458302E-3</v>
      </c>
      <c r="T468" s="180">
        <v>7.4857834611503948E-4</v>
      </c>
      <c r="U468" s="180">
        <v>3.8267678235899111E-3</v>
      </c>
      <c r="V468" s="180">
        <v>5.0884399749192373E-4</v>
      </c>
      <c r="W468" s="180">
        <v>1.1844149472533348E-3</v>
      </c>
      <c r="X468" s="180">
        <v>1.5580261625844892E-3</v>
      </c>
      <c r="Y468" s="180">
        <v>9.5059394038900442E-4</v>
      </c>
      <c r="Z468" s="180">
        <v>1.9881521509949444E-3</v>
      </c>
      <c r="AA468" s="180">
        <v>9.2810945195530823E-4</v>
      </c>
      <c r="AB468" s="180">
        <v>1.2974763649140325E-3</v>
      </c>
      <c r="AC468" s="180">
        <v>6.8796273406052837E-4</v>
      </c>
      <c r="AD468" s="180">
        <v>1.248419321363809E-3</v>
      </c>
      <c r="AE468" s="180">
        <v>2.1674424403236793E-3</v>
      </c>
      <c r="AF468" s="180">
        <v>3.7523862948950627E-4</v>
      </c>
      <c r="AG468" s="180">
        <v>2.0541307067505868E-3</v>
      </c>
      <c r="AH468" s="180">
        <v>-5.4295264980806504E-5</v>
      </c>
      <c r="AI468" s="181">
        <v>1.4387650786059658E-3</v>
      </c>
    </row>
    <row r="469" spans="2:35" x14ac:dyDescent="0.25">
      <c r="B469" s="163" t="str">
        <f>'Market Data'!$B$27</f>
        <v>HD</v>
      </c>
      <c r="C469" s="160">
        <f>Statistics!$G$29</f>
        <v>1.8352985528230569E-2</v>
      </c>
      <c r="E469" s="168">
        <v>9.413580017513741E-2</v>
      </c>
      <c r="F469" s="85" t="str">
        <v>HD</v>
      </c>
      <c r="G469" s="179">
        <v>9.8639311096076088E-4</v>
      </c>
      <c r="H469" s="180">
        <v>1.285962047454306E-3</v>
      </c>
      <c r="I469" s="180">
        <v>1.2911501083222776E-3</v>
      </c>
      <c r="J469" s="180">
        <v>1.0587514228509517E-3</v>
      </c>
      <c r="K469" s="180">
        <v>9.8504335267051509E-4</v>
      </c>
      <c r="L469" s="180">
        <v>7.9860489883547216E-4</v>
      </c>
      <c r="M469" s="180">
        <v>2.0138415935295195E-3</v>
      </c>
      <c r="N469" s="180">
        <v>1.4438567521116873E-3</v>
      </c>
      <c r="O469" s="180">
        <v>1.1779071347684854E-3</v>
      </c>
      <c r="P469" s="180">
        <v>1.5442152510598698E-3</v>
      </c>
      <c r="Q469" s="180">
        <v>1.8880219117441428E-3</v>
      </c>
      <c r="R469" s="180">
        <v>9.3173966010624539E-4</v>
      </c>
      <c r="S469" s="180">
        <v>9.2701062278089308E-4</v>
      </c>
      <c r="T469" s="180">
        <v>6.2481040103688149E-4</v>
      </c>
      <c r="U469" s="180">
        <v>1.4284505514434026E-3</v>
      </c>
      <c r="V469" s="180">
        <v>5.5799413673053339E-4</v>
      </c>
      <c r="W469" s="180">
        <v>7.381374461617429E-4</v>
      </c>
      <c r="X469" s="180">
        <v>1.0633975936011025E-3</v>
      </c>
      <c r="Y469" s="180">
        <v>7.161428946835201E-4</v>
      </c>
      <c r="Z469" s="180">
        <v>1.0017697174583111E-3</v>
      </c>
      <c r="AA469" s="180">
        <v>7.3578315539153108E-4</v>
      </c>
      <c r="AB469" s="180">
        <v>8.5234066580948517E-4</v>
      </c>
      <c r="AC469" s="180">
        <v>4.7474349038820928E-4</v>
      </c>
      <c r="AD469" s="180">
        <v>6.4915062582396636E-4</v>
      </c>
      <c r="AE469" s="180">
        <v>1.2386809813748902E-3</v>
      </c>
      <c r="AF469" s="180">
        <v>1.1189073531181803E-4</v>
      </c>
      <c r="AG469" s="180">
        <v>1.2055891827737501E-3</v>
      </c>
      <c r="AH469" s="180">
        <v>1.9815526434870993E-4</v>
      </c>
      <c r="AI469" s="181">
        <v>5.7016164369997474E-4</v>
      </c>
    </row>
    <row r="470" spans="2:35" x14ac:dyDescent="0.25">
      <c r="B470" s="163" t="str">
        <f>'Market Data'!$B$28</f>
        <v>IBM</v>
      </c>
      <c r="C470" s="160">
        <f>Statistics!$G$30</f>
        <v>-1.0805706759468385E-4</v>
      </c>
      <c r="E470" s="168">
        <v>0</v>
      </c>
      <c r="F470" s="85" t="str">
        <v>IBM</v>
      </c>
      <c r="G470" s="179">
        <v>1.7737023799007877E-3</v>
      </c>
      <c r="H470" s="180">
        <v>1.960684724858895E-3</v>
      </c>
      <c r="I470" s="180">
        <v>1.1336433634722555E-3</v>
      </c>
      <c r="J470" s="180">
        <v>2.1554825858441308E-3</v>
      </c>
      <c r="K470" s="180">
        <v>2.2508292865696072E-3</v>
      </c>
      <c r="L470" s="180">
        <v>1.7099575851328929E-3</v>
      </c>
      <c r="M470" s="180">
        <v>2.4056181433013803E-3</v>
      </c>
      <c r="N470" s="180">
        <v>1.2533920720746924E-3</v>
      </c>
      <c r="O470" s="180">
        <v>1.4606469135339543E-3</v>
      </c>
      <c r="P470" s="180">
        <v>2.2308798805711167E-3</v>
      </c>
      <c r="Q470" s="180">
        <v>9.3173966010624539E-4</v>
      </c>
      <c r="R470" s="180">
        <v>3.3622126456479009E-3</v>
      </c>
      <c r="S470" s="180">
        <v>1.4043690490920693E-3</v>
      </c>
      <c r="T470" s="180">
        <v>5.9347717242683358E-4</v>
      </c>
      <c r="U470" s="180">
        <v>2.0888390371824788E-3</v>
      </c>
      <c r="V470" s="180">
        <v>5.7019303114958723E-4</v>
      </c>
      <c r="W470" s="180">
        <v>5.4513263389601688E-4</v>
      </c>
      <c r="X470" s="180">
        <v>1.0275296737018624E-3</v>
      </c>
      <c r="Y470" s="180">
        <v>1.0097860441379664E-3</v>
      </c>
      <c r="Z470" s="180">
        <v>1.4353906099659559E-3</v>
      </c>
      <c r="AA470" s="180">
        <v>1.3757321359017424E-4</v>
      </c>
      <c r="AB470" s="180">
        <v>7.9545047293496068E-4</v>
      </c>
      <c r="AC470" s="180">
        <v>5.5361049131124631E-4</v>
      </c>
      <c r="AD470" s="180">
        <v>8.8298395118505178E-4</v>
      </c>
      <c r="AE470" s="180">
        <v>1.5169272523521361E-3</v>
      </c>
      <c r="AF470" s="180">
        <v>2.033685246020378E-4</v>
      </c>
      <c r="AG470" s="180">
        <v>1.2306885914741903E-3</v>
      </c>
      <c r="AH470" s="180">
        <v>3.7610030291999273E-4</v>
      </c>
      <c r="AI470" s="181">
        <v>1.0970123689928199E-3</v>
      </c>
    </row>
    <row r="471" spans="2:35" x14ac:dyDescent="0.25">
      <c r="B471" s="163" t="str">
        <f>'Market Data'!$B$29</f>
        <v>INTC</v>
      </c>
      <c r="C471" s="160">
        <f>Statistics!$G$31</f>
        <v>1.4825313209679855E-2</v>
      </c>
      <c r="E471" s="168">
        <v>0</v>
      </c>
      <c r="F471" s="85" t="str">
        <v>INTC</v>
      </c>
      <c r="G471" s="179">
        <v>1.6293191413582805E-3</v>
      </c>
      <c r="H471" s="180">
        <v>2.0715314739138896E-3</v>
      </c>
      <c r="I471" s="180">
        <v>1.485647562986758E-3</v>
      </c>
      <c r="J471" s="180">
        <v>2.3005603160952529E-3</v>
      </c>
      <c r="K471" s="180">
        <v>2.2625583672846289E-3</v>
      </c>
      <c r="L471" s="180">
        <v>1.762362573764028E-3</v>
      </c>
      <c r="M471" s="180">
        <v>2.9333641814070907E-3</v>
      </c>
      <c r="N471" s="180">
        <v>1.4872846501875279E-3</v>
      </c>
      <c r="O471" s="180">
        <v>1.8413857882482649E-3</v>
      </c>
      <c r="P471" s="180">
        <v>1.7997270101458302E-3</v>
      </c>
      <c r="Q471" s="180">
        <v>9.2701062278089308E-4</v>
      </c>
      <c r="R471" s="180">
        <v>1.4043690490920693E-3</v>
      </c>
      <c r="S471" s="180">
        <v>3.8953291630483993E-3</v>
      </c>
      <c r="T471" s="180">
        <v>8.7155825849789608E-4</v>
      </c>
      <c r="U471" s="180">
        <v>1.6338310266769979E-3</v>
      </c>
      <c r="V471" s="180">
        <v>1.1107691361801554E-3</v>
      </c>
      <c r="W471" s="180">
        <v>9.1762089354393737E-4</v>
      </c>
      <c r="X471" s="180">
        <v>1.3291856750406272E-3</v>
      </c>
      <c r="Y471" s="180">
        <v>1.2481991200788169E-3</v>
      </c>
      <c r="Z471" s="180">
        <v>2.824290151917595E-3</v>
      </c>
      <c r="AA471" s="180">
        <v>5.7515792739731505E-4</v>
      </c>
      <c r="AB471" s="180">
        <v>9.9184976149502301E-4</v>
      </c>
      <c r="AC471" s="180">
        <v>7.9168442412031782E-4</v>
      </c>
      <c r="AD471" s="180">
        <v>5.6633014876153942E-4</v>
      </c>
      <c r="AE471" s="180">
        <v>1.2132957377483657E-3</v>
      </c>
      <c r="AF471" s="180">
        <v>8.2166255763751334E-4</v>
      </c>
      <c r="AG471" s="180">
        <v>1.8678530672680304E-3</v>
      </c>
      <c r="AH471" s="180">
        <v>-1.8556188989019865E-5</v>
      </c>
      <c r="AI471" s="181">
        <v>1.0791409093812321E-3</v>
      </c>
    </row>
    <row r="472" spans="2:35" x14ac:dyDescent="0.25">
      <c r="B472" s="163" t="str">
        <f>'Market Data'!$B$30</f>
        <v>JNJ</v>
      </c>
      <c r="C472" s="160">
        <f>Statistics!$G$32</f>
        <v>1.2075919577819831E-2</v>
      </c>
      <c r="E472" s="168">
        <v>3.9199052939474469E-2</v>
      </c>
      <c r="F472" s="85" t="str">
        <v>JNJ</v>
      </c>
      <c r="G472" s="179">
        <v>8.2631268301744008E-4</v>
      </c>
      <c r="H472" s="180">
        <v>7.3945969222275051E-4</v>
      </c>
      <c r="I472" s="180">
        <v>7.7470388279684329E-4</v>
      </c>
      <c r="J472" s="180">
        <v>9.0633949973445221E-4</v>
      </c>
      <c r="K472" s="180">
        <v>1.1094225673998865E-3</v>
      </c>
      <c r="L472" s="180">
        <v>1.0006982850928254E-3</v>
      </c>
      <c r="M472" s="180">
        <v>1.7073269232421356E-3</v>
      </c>
      <c r="N472" s="180">
        <v>7.6090581351824873E-4</v>
      </c>
      <c r="O472" s="180">
        <v>1.1338883047798758E-3</v>
      </c>
      <c r="P472" s="180">
        <v>7.4857834611503948E-4</v>
      </c>
      <c r="Q472" s="180">
        <v>6.2481040103688149E-4</v>
      </c>
      <c r="R472" s="180">
        <v>5.9347717242683358E-4</v>
      </c>
      <c r="S472" s="180">
        <v>8.7155825849789608E-4</v>
      </c>
      <c r="T472" s="180">
        <v>1.3437205064186324E-3</v>
      </c>
      <c r="U472" s="180">
        <v>9.2330996350035955E-4</v>
      </c>
      <c r="V472" s="180">
        <v>8.0248592661524116E-4</v>
      </c>
      <c r="W472" s="180">
        <v>7.2064842002941051E-4</v>
      </c>
      <c r="X472" s="180">
        <v>9.1647163555960687E-4</v>
      </c>
      <c r="Y472" s="180">
        <v>7.8932636294384688E-4</v>
      </c>
      <c r="Z472" s="180">
        <v>8.3950208317612799E-4</v>
      </c>
      <c r="AA472" s="180">
        <v>2.4076387457302071E-4</v>
      </c>
      <c r="AB472" s="180">
        <v>1.174922395291398E-3</v>
      </c>
      <c r="AC472" s="180">
        <v>7.8676359672877393E-4</v>
      </c>
      <c r="AD472" s="180">
        <v>4.4624886795118808E-4</v>
      </c>
      <c r="AE472" s="180">
        <v>1.0117367356107026E-3</v>
      </c>
      <c r="AF472" s="180">
        <v>7.3214708969514145E-4</v>
      </c>
      <c r="AG472" s="180">
        <v>8.2747273857601913E-4</v>
      </c>
      <c r="AH472" s="180">
        <v>7.1470891411086447E-4</v>
      </c>
      <c r="AI472" s="181">
        <v>7.4627799983375924E-4</v>
      </c>
    </row>
    <row r="473" spans="2:35" x14ac:dyDescent="0.25">
      <c r="B473" s="163" t="str">
        <f>'Market Data'!$B$31</f>
        <v>JPM</v>
      </c>
      <c r="C473" s="160">
        <f>Statistics!$G$33</f>
        <v>1.7183196749963128E-2</v>
      </c>
      <c r="E473" s="168">
        <v>0</v>
      </c>
      <c r="F473" s="85" t="str">
        <v>JPM</v>
      </c>
      <c r="G473" s="179">
        <v>1.2529926248616137E-3</v>
      </c>
      <c r="H473" s="180">
        <v>2.7840355446374721E-3</v>
      </c>
      <c r="I473" s="180">
        <v>1.8054441283061249E-3</v>
      </c>
      <c r="J473" s="180">
        <v>2.011937601179676E-3</v>
      </c>
      <c r="K473" s="180">
        <v>2.0831844183308271E-3</v>
      </c>
      <c r="L473" s="180">
        <v>2.159640132817216E-3</v>
      </c>
      <c r="M473" s="180">
        <v>2.9403656750226037E-3</v>
      </c>
      <c r="N473" s="180">
        <v>2.3150492241015347E-3</v>
      </c>
      <c r="O473" s="180">
        <v>1.9825602222543746E-3</v>
      </c>
      <c r="P473" s="180">
        <v>3.8267678235899111E-3</v>
      </c>
      <c r="Q473" s="180">
        <v>1.4284505514434026E-3</v>
      </c>
      <c r="R473" s="180">
        <v>2.0888390371824788E-3</v>
      </c>
      <c r="S473" s="180">
        <v>1.6338310266769979E-3</v>
      </c>
      <c r="T473" s="180">
        <v>9.2330996350035955E-4</v>
      </c>
      <c r="U473" s="180">
        <v>3.6504820104783621E-3</v>
      </c>
      <c r="V473" s="180">
        <v>6.292727988425526E-4</v>
      </c>
      <c r="W473" s="180">
        <v>1.135373183104091E-3</v>
      </c>
      <c r="X473" s="180">
        <v>1.3229022331511452E-3</v>
      </c>
      <c r="Y473" s="180">
        <v>9.9035410413519649E-4</v>
      </c>
      <c r="Z473" s="180">
        <v>2.1029083027690664E-3</v>
      </c>
      <c r="AA473" s="180">
        <v>6.7839144071882979E-4</v>
      </c>
      <c r="AB473" s="180">
        <v>1.3592270505613203E-3</v>
      </c>
      <c r="AC473" s="180">
        <v>7.2953612857905574E-4</v>
      </c>
      <c r="AD473" s="180">
        <v>1.2617149248905092E-3</v>
      </c>
      <c r="AE473" s="180">
        <v>1.8453743354725578E-3</v>
      </c>
      <c r="AF473" s="180">
        <v>3.9836144643633019E-4</v>
      </c>
      <c r="AG473" s="180">
        <v>1.9463933682734615E-3</v>
      </c>
      <c r="AH473" s="180">
        <v>7.503242005510376E-5</v>
      </c>
      <c r="AI473" s="181">
        <v>1.3958094738143344E-3</v>
      </c>
    </row>
    <row r="474" spans="2:35" x14ac:dyDescent="0.25">
      <c r="B474" s="163" t="str">
        <f>'Market Data'!$B$32</f>
        <v>KO</v>
      </c>
      <c r="C474" s="160">
        <f>Statistics!$G$34</f>
        <v>4.1810541872704362E-3</v>
      </c>
      <c r="E474" s="168">
        <v>5.4589381911018591E-3</v>
      </c>
      <c r="F474" s="85" t="str">
        <v>KO</v>
      </c>
      <c r="G474" s="179">
        <v>9.6129190129553134E-4</v>
      </c>
      <c r="H474" s="180">
        <v>5.6369017954212687E-4</v>
      </c>
      <c r="I474" s="180">
        <v>9.7196182882881919E-4</v>
      </c>
      <c r="J474" s="180">
        <v>6.586205973694774E-4</v>
      </c>
      <c r="K474" s="180">
        <v>1.0904984859812852E-3</v>
      </c>
      <c r="L474" s="180">
        <v>7.7350953916938299E-4</v>
      </c>
      <c r="M474" s="180">
        <v>1.3828838928124146E-3</v>
      </c>
      <c r="N474" s="180">
        <v>7.3157249166013263E-4</v>
      </c>
      <c r="O474" s="180">
        <v>1.0900315820250495E-3</v>
      </c>
      <c r="P474" s="180">
        <v>5.0884399749192373E-4</v>
      </c>
      <c r="Q474" s="180">
        <v>5.5799413673053339E-4</v>
      </c>
      <c r="R474" s="180">
        <v>5.7019303114958723E-4</v>
      </c>
      <c r="S474" s="180">
        <v>1.1107691361801554E-3</v>
      </c>
      <c r="T474" s="180">
        <v>8.0248592661524116E-4</v>
      </c>
      <c r="U474" s="180">
        <v>6.292727988425526E-4</v>
      </c>
      <c r="V474" s="180">
        <v>1.2210270669043683E-3</v>
      </c>
      <c r="W474" s="180">
        <v>7.9000312454904529E-4</v>
      </c>
      <c r="X474" s="180">
        <v>6.5400026561614926E-4</v>
      </c>
      <c r="Y474" s="180">
        <v>5.6925923112739025E-4</v>
      </c>
      <c r="Z474" s="180">
        <v>1.0711085481253278E-3</v>
      </c>
      <c r="AA474" s="180">
        <v>4.3589033448327737E-4</v>
      </c>
      <c r="AB474" s="180">
        <v>6.3614560547018231E-4</v>
      </c>
      <c r="AC474" s="180">
        <v>6.5740070509151668E-4</v>
      </c>
      <c r="AD474" s="180">
        <v>1.2737483924284157E-4</v>
      </c>
      <c r="AE474" s="180">
        <v>5.7087013169956707E-4</v>
      </c>
      <c r="AF474" s="180">
        <v>4.9096142938173941E-4</v>
      </c>
      <c r="AG474" s="180">
        <v>9.4999344105865064E-4</v>
      </c>
      <c r="AH474" s="180">
        <v>6.4703627119224946E-4</v>
      </c>
      <c r="AI474" s="181">
        <v>5.1805651820066112E-4</v>
      </c>
    </row>
    <row r="475" spans="2:35" x14ac:dyDescent="0.25">
      <c r="B475" s="163" t="str">
        <f>'Market Data'!$B$33</f>
        <v>MCD</v>
      </c>
      <c r="C475" s="160">
        <f>Statistics!$G$35</f>
        <v>8.998422120903465E-3</v>
      </c>
      <c r="E475" s="168">
        <v>6.9362662892110627E-2</v>
      </c>
      <c r="F475" s="85" t="str">
        <v>MCD</v>
      </c>
      <c r="G475" s="179">
        <v>4.3723596630614248E-4</v>
      </c>
      <c r="H475" s="180">
        <v>5.9016175595858627E-4</v>
      </c>
      <c r="I475" s="180">
        <v>1.004575731683145E-3</v>
      </c>
      <c r="J475" s="180">
        <v>1.2118483675212872E-3</v>
      </c>
      <c r="K475" s="180">
        <v>8.8656407550750189E-4</v>
      </c>
      <c r="L475" s="180">
        <v>1.2445101608031307E-3</v>
      </c>
      <c r="M475" s="180">
        <v>1.5566945864839937E-3</v>
      </c>
      <c r="N475" s="180">
        <v>1.0434476997331528E-3</v>
      </c>
      <c r="O475" s="180">
        <v>1.4080437366372094E-3</v>
      </c>
      <c r="P475" s="180">
        <v>1.1844149472533348E-3</v>
      </c>
      <c r="Q475" s="180">
        <v>7.381374461617429E-4</v>
      </c>
      <c r="R475" s="180">
        <v>5.4513263389601688E-4</v>
      </c>
      <c r="S475" s="180">
        <v>9.1762089354393737E-4</v>
      </c>
      <c r="T475" s="180">
        <v>7.2064842002941051E-4</v>
      </c>
      <c r="U475" s="180">
        <v>1.135373183104091E-3</v>
      </c>
      <c r="V475" s="180">
        <v>7.9000312454904529E-4</v>
      </c>
      <c r="W475" s="180">
        <v>1.7650690545216805E-3</v>
      </c>
      <c r="X475" s="180">
        <v>7.9590651205676567E-4</v>
      </c>
      <c r="Y475" s="180">
        <v>5.886623345512683E-4</v>
      </c>
      <c r="Z475" s="180">
        <v>1.2284698745461862E-3</v>
      </c>
      <c r="AA475" s="180">
        <v>4.3355644868225306E-4</v>
      </c>
      <c r="AB475" s="180">
        <v>9.4939047744066322E-4</v>
      </c>
      <c r="AC475" s="180">
        <v>4.0611550084338323E-4</v>
      </c>
      <c r="AD475" s="180">
        <v>3.5874031329227935E-4</v>
      </c>
      <c r="AE475" s="180">
        <v>8.7888532505727346E-4</v>
      </c>
      <c r="AF475" s="180">
        <v>6.7734327840461236E-4</v>
      </c>
      <c r="AG475" s="180">
        <v>1.0020182531469391E-3</v>
      </c>
      <c r="AH475" s="180">
        <v>4.237060092283065E-5</v>
      </c>
      <c r="AI475" s="181">
        <v>6.6389606634421081E-4</v>
      </c>
    </row>
    <row r="476" spans="2:35" x14ac:dyDescent="0.25">
      <c r="B476" s="163" t="str">
        <f>'Market Data'!$B$34</f>
        <v>MMM</v>
      </c>
      <c r="C476" s="160">
        <f>Statistics!$G$36</f>
        <v>1.5280500930100561E-2</v>
      </c>
      <c r="E476" s="168">
        <v>0</v>
      </c>
      <c r="F476" s="85" t="str">
        <v>MMM</v>
      </c>
      <c r="G476" s="179">
        <v>1.6042263123932821E-3</v>
      </c>
      <c r="H476" s="180">
        <v>1.3680882736390085E-3</v>
      </c>
      <c r="I476" s="180">
        <v>1.220072170107771E-3</v>
      </c>
      <c r="J476" s="180">
        <v>1.3778500117759705E-3</v>
      </c>
      <c r="K476" s="180">
        <v>1.6594658489014636E-3</v>
      </c>
      <c r="L476" s="180">
        <v>1.3396872809028706E-3</v>
      </c>
      <c r="M476" s="180">
        <v>2.4333011024343194E-3</v>
      </c>
      <c r="N476" s="180">
        <v>1.3935802423237448E-3</v>
      </c>
      <c r="O476" s="180">
        <v>1.6476299492810176E-3</v>
      </c>
      <c r="P476" s="180">
        <v>1.5580261625844892E-3</v>
      </c>
      <c r="Q476" s="180">
        <v>1.0633975936011025E-3</v>
      </c>
      <c r="R476" s="180">
        <v>1.0275296737018624E-3</v>
      </c>
      <c r="S476" s="180">
        <v>1.3291856750406272E-3</v>
      </c>
      <c r="T476" s="180">
        <v>9.1647163555960687E-4</v>
      </c>
      <c r="U476" s="180">
        <v>1.3229022331511452E-3</v>
      </c>
      <c r="V476" s="180">
        <v>6.5400026561614926E-4</v>
      </c>
      <c r="W476" s="180">
        <v>7.9590651205676567E-4</v>
      </c>
      <c r="X476" s="180">
        <v>1.9007159701372343E-3</v>
      </c>
      <c r="Y476" s="180">
        <v>9.3087542856500223E-4</v>
      </c>
      <c r="Z476" s="180">
        <v>9.5021437706372129E-4</v>
      </c>
      <c r="AA476" s="180">
        <v>7.5220949128439868E-4</v>
      </c>
      <c r="AB476" s="180">
        <v>1.1108584905280188E-3</v>
      </c>
      <c r="AC476" s="180">
        <v>7.8023777188204919E-4</v>
      </c>
      <c r="AD476" s="180">
        <v>9.8369986573183495E-4</v>
      </c>
      <c r="AE476" s="180">
        <v>1.8471574472775569E-3</v>
      </c>
      <c r="AF476" s="180">
        <v>5.9539589470078522E-4</v>
      </c>
      <c r="AG476" s="180">
        <v>1.59984129324471E-3</v>
      </c>
      <c r="AH476" s="180">
        <v>4.5051539698961655E-4</v>
      </c>
      <c r="AI476" s="181">
        <v>1.2697174541958882E-3</v>
      </c>
    </row>
    <row r="477" spans="2:35" x14ac:dyDescent="0.25">
      <c r="B477" s="163" t="str">
        <f>'Market Data'!$B$35</f>
        <v>MRK</v>
      </c>
      <c r="C477" s="160">
        <f>Statistics!$G$37</f>
        <v>1.1473476041634185E-2</v>
      </c>
      <c r="E477" s="168">
        <v>0</v>
      </c>
      <c r="F477" s="85" t="str">
        <v>MRK</v>
      </c>
      <c r="G477" s="179">
        <v>6.6280896407091964E-4</v>
      </c>
      <c r="H477" s="180">
        <v>9.5675499919051471E-4</v>
      </c>
      <c r="I477" s="180">
        <v>1.3506721993334096E-3</v>
      </c>
      <c r="J477" s="180">
        <v>1.6454661341138513E-3</v>
      </c>
      <c r="K477" s="180">
        <v>1.2877752599161352E-3</v>
      </c>
      <c r="L477" s="180">
        <v>1.0548817345930506E-3</v>
      </c>
      <c r="M477" s="180">
        <v>2.1034755337789339E-3</v>
      </c>
      <c r="N477" s="180">
        <v>1.1180874248259017E-3</v>
      </c>
      <c r="O477" s="180">
        <v>7.4080885300837902E-4</v>
      </c>
      <c r="P477" s="180">
        <v>9.5059394038900442E-4</v>
      </c>
      <c r="Q477" s="180">
        <v>7.161428946835201E-4</v>
      </c>
      <c r="R477" s="180">
        <v>1.0097860441379664E-3</v>
      </c>
      <c r="S477" s="180">
        <v>1.2481991200788169E-3</v>
      </c>
      <c r="T477" s="180">
        <v>7.8932636294384688E-4</v>
      </c>
      <c r="U477" s="180">
        <v>9.9035410413519649E-4</v>
      </c>
      <c r="V477" s="180">
        <v>5.6925923112739025E-4</v>
      </c>
      <c r="W477" s="180">
        <v>5.886623345512683E-4</v>
      </c>
      <c r="X477" s="180">
        <v>9.3087542856500223E-4</v>
      </c>
      <c r="Y477" s="180">
        <v>2.5431403633519077E-3</v>
      </c>
      <c r="Z477" s="180">
        <v>1.0039618395335291E-3</v>
      </c>
      <c r="AA477" s="180">
        <v>3.4083858597475385E-4</v>
      </c>
      <c r="AB477" s="180">
        <v>1.3412346285691251E-3</v>
      </c>
      <c r="AC477" s="180">
        <v>3.7529952314904947E-4</v>
      </c>
      <c r="AD477" s="180">
        <v>8.5985137540516086E-4</v>
      </c>
      <c r="AE477" s="180">
        <v>1.4646144344401168E-3</v>
      </c>
      <c r="AF477" s="180">
        <v>3.3006228708408361E-4</v>
      </c>
      <c r="AG477" s="180">
        <v>1.1984054366898813E-3</v>
      </c>
      <c r="AH477" s="180">
        <v>4.389896882024129E-4</v>
      </c>
      <c r="AI477" s="181">
        <v>5.8214330295854532E-4</v>
      </c>
    </row>
    <row r="478" spans="2:35" x14ac:dyDescent="0.25">
      <c r="B478" s="163" t="str">
        <f>'Market Data'!$B$36</f>
        <v>MSFT</v>
      </c>
      <c r="C478" s="160">
        <f>Statistics!$G$38</f>
        <v>2.1777833497491961E-2</v>
      </c>
      <c r="E478" s="168">
        <v>2.9852601540973925E-2</v>
      </c>
      <c r="F478" s="85" t="str">
        <v>MSFT</v>
      </c>
      <c r="G478" s="179">
        <v>1.7656054736670385E-3</v>
      </c>
      <c r="H478" s="180">
        <v>1.7453927826798744E-3</v>
      </c>
      <c r="I478" s="180">
        <v>1.4618979219237266E-3</v>
      </c>
      <c r="J478" s="180">
        <v>2.2842322526096018E-3</v>
      </c>
      <c r="K478" s="180">
        <v>2.1511833371391734E-3</v>
      </c>
      <c r="L478" s="180">
        <v>1.921523261676006E-3</v>
      </c>
      <c r="M478" s="180">
        <v>3.4647817866697963E-3</v>
      </c>
      <c r="N478" s="180">
        <v>1.7514488094562146E-3</v>
      </c>
      <c r="O478" s="180">
        <v>2.1782812682115105E-3</v>
      </c>
      <c r="P478" s="180">
        <v>1.9881521509949444E-3</v>
      </c>
      <c r="Q478" s="180">
        <v>1.0017697174583111E-3</v>
      </c>
      <c r="R478" s="180">
        <v>1.4353906099659559E-3</v>
      </c>
      <c r="S478" s="180">
        <v>2.824290151917595E-3</v>
      </c>
      <c r="T478" s="180">
        <v>8.3950208317612799E-4</v>
      </c>
      <c r="U478" s="180">
        <v>2.1029083027690664E-3</v>
      </c>
      <c r="V478" s="180">
        <v>1.0711085481253278E-3</v>
      </c>
      <c r="W478" s="180">
        <v>1.2284698745461862E-3</v>
      </c>
      <c r="X478" s="180">
        <v>9.5021437706372129E-4</v>
      </c>
      <c r="Y478" s="180">
        <v>1.0039618395335291E-3</v>
      </c>
      <c r="Z478" s="180">
        <v>4.5817164894349687E-3</v>
      </c>
      <c r="AA478" s="180">
        <v>9.1111393401995618E-4</v>
      </c>
      <c r="AB478" s="180">
        <v>1.1007292150403058E-3</v>
      </c>
      <c r="AC478" s="180">
        <v>1.0300601718935634E-3</v>
      </c>
      <c r="AD478" s="180">
        <v>2.4058610256342332E-4</v>
      </c>
      <c r="AE478" s="180">
        <v>9.3007091875184366E-4</v>
      </c>
      <c r="AF478" s="180">
        <v>7.4555370224549768E-4</v>
      </c>
      <c r="AG478" s="180">
        <v>1.5294825998788863E-3</v>
      </c>
      <c r="AH478" s="180">
        <v>-3.4970831020819231E-4</v>
      </c>
      <c r="AI478" s="181">
        <v>1.2219742467918569E-3</v>
      </c>
    </row>
    <row r="479" spans="2:35" x14ac:dyDescent="0.25">
      <c r="B479" s="163" t="str">
        <f>'Market Data'!$B$37</f>
        <v>NKE</v>
      </c>
      <c r="C479" s="160">
        <f>Statistics!$G$39</f>
        <v>1.5970247269241938E-2</v>
      </c>
      <c r="E479" s="168">
        <v>0.16002612549815395</v>
      </c>
      <c r="F479" s="85" t="str">
        <v>NKE</v>
      </c>
      <c r="G479" s="179">
        <v>7.4054258425286133E-4</v>
      </c>
      <c r="H479" s="180">
        <v>9.1418204127611028E-4</v>
      </c>
      <c r="I479" s="180">
        <v>1.1825978430535619E-3</v>
      </c>
      <c r="J479" s="180">
        <v>-1.1104731462091626E-4</v>
      </c>
      <c r="K479" s="180">
        <v>7.2136303147440504E-4</v>
      </c>
      <c r="L479" s="180">
        <v>-3.0145919518466895E-4</v>
      </c>
      <c r="M479" s="180">
        <v>1.371253710214986E-3</v>
      </c>
      <c r="N479" s="180">
        <v>1.1713887062549742E-3</v>
      </c>
      <c r="O479" s="180">
        <v>6.8149888740689005E-4</v>
      </c>
      <c r="P479" s="180">
        <v>9.2810945195530823E-4</v>
      </c>
      <c r="Q479" s="180">
        <v>7.3578315539153108E-4</v>
      </c>
      <c r="R479" s="180">
        <v>1.3757321359017424E-4</v>
      </c>
      <c r="S479" s="180">
        <v>5.7515792739731505E-4</v>
      </c>
      <c r="T479" s="180">
        <v>2.4076387457302071E-4</v>
      </c>
      <c r="U479" s="180">
        <v>6.7839144071882979E-4</v>
      </c>
      <c r="V479" s="180">
        <v>4.3589033448327737E-4</v>
      </c>
      <c r="W479" s="180">
        <v>4.3355644868225306E-4</v>
      </c>
      <c r="X479" s="180">
        <v>7.5220949128439868E-4</v>
      </c>
      <c r="Y479" s="180">
        <v>3.4083858597475385E-4</v>
      </c>
      <c r="Z479" s="180">
        <v>9.1111393401995618E-4</v>
      </c>
      <c r="AA479" s="180">
        <v>2.7193308407813446E-3</v>
      </c>
      <c r="AB479" s="180">
        <v>5.6615292191577104E-4</v>
      </c>
      <c r="AC479" s="180">
        <v>3.6538493696828688E-4</v>
      </c>
      <c r="AD479" s="180">
        <v>8.9669180264711685E-5</v>
      </c>
      <c r="AE479" s="180">
        <v>4.9140530374502923E-4</v>
      </c>
      <c r="AF479" s="180">
        <v>1.0278859564771125E-5</v>
      </c>
      <c r="AG479" s="180">
        <v>1.2162400994020978E-3</v>
      </c>
      <c r="AH479" s="180">
        <v>1.3266739677968515E-5</v>
      </c>
      <c r="AI479" s="181">
        <v>-1.9722713194093662E-4</v>
      </c>
    </row>
    <row r="480" spans="2:35" x14ac:dyDescent="0.25">
      <c r="B480" s="163" t="str">
        <f>'Market Data'!$B$38</f>
        <v>PFE</v>
      </c>
      <c r="C480" s="160">
        <f>Statistics!$G$40</f>
        <v>7.6042605716081235E-3</v>
      </c>
      <c r="E480" s="168">
        <v>0</v>
      </c>
      <c r="F480" s="85" t="str">
        <v>PFE</v>
      </c>
      <c r="G480" s="179">
        <v>1.105136574328315E-3</v>
      </c>
      <c r="H480" s="180">
        <v>1.0081234358528435E-3</v>
      </c>
      <c r="I480" s="180">
        <v>1.2950969606515986E-3</v>
      </c>
      <c r="J480" s="180">
        <v>7.9610645869862182E-4</v>
      </c>
      <c r="K480" s="180">
        <v>1.5185012123350332E-3</v>
      </c>
      <c r="L480" s="180">
        <v>1.0966581694716135E-3</v>
      </c>
      <c r="M480" s="180">
        <v>2.2541080192876768E-3</v>
      </c>
      <c r="N480" s="180">
        <v>1.4909638464124207E-3</v>
      </c>
      <c r="O480" s="180">
        <v>1.1596920910434683E-3</v>
      </c>
      <c r="P480" s="180">
        <v>1.2974763649140325E-3</v>
      </c>
      <c r="Q480" s="180">
        <v>8.5234066580948517E-4</v>
      </c>
      <c r="R480" s="180">
        <v>7.9545047293496068E-4</v>
      </c>
      <c r="S480" s="180">
        <v>9.9184976149502301E-4</v>
      </c>
      <c r="T480" s="180">
        <v>1.174922395291398E-3</v>
      </c>
      <c r="U480" s="180">
        <v>1.3592270505613203E-3</v>
      </c>
      <c r="V480" s="180">
        <v>6.3614560547018231E-4</v>
      </c>
      <c r="W480" s="180">
        <v>9.4939047744066322E-4</v>
      </c>
      <c r="X480" s="180">
        <v>1.1108584905280188E-3</v>
      </c>
      <c r="Y480" s="180">
        <v>1.3412346285691251E-3</v>
      </c>
      <c r="Z480" s="180">
        <v>1.1007292150403058E-3</v>
      </c>
      <c r="AA480" s="180">
        <v>5.6615292191577104E-4</v>
      </c>
      <c r="AB480" s="180">
        <v>2.4354805215546461E-3</v>
      </c>
      <c r="AC480" s="180">
        <v>7.7698221980775051E-4</v>
      </c>
      <c r="AD480" s="180">
        <v>7.5423895885674786E-4</v>
      </c>
      <c r="AE480" s="180">
        <v>1.3524566727664237E-3</v>
      </c>
      <c r="AF480" s="180">
        <v>6.9733723903610885E-4</v>
      </c>
      <c r="AG480" s="180">
        <v>1.6142857385330945E-3</v>
      </c>
      <c r="AH480" s="180">
        <v>6.1756439897017149E-4</v>
      </c>
      <c r="AI480" s="181">
        <v>8.1835922434987771E-4</v>
      </c>
    </row>
    <row r="481" spans="2:35" x14ac:dyDescent="0.25">
      <c r="B481" s="163" t="str">
        <f>'Market Data'!$B$39</f>
        <v>PG</v>
      </c>
      <c r="C481" s="160">
        <f>Statistics!$G$41</f>
        <v>6.7668222923833359E-3</v>
      </c>
      <c r="E481" s="168">
        <v>0.11784543910418399</v>
      </c>
      <c r="F481" s="85" t="str">
        <v>PG</v>
      </c>
      <c r="G481" s="179">
        <v>1.0336127768185608E-3</v>
      </c>
      <c r="H481" s="180">
        <v>4.150551569421239E-4</v>
      </c>
      <c r="I481" s="180">
        <v>5.997217417536032E-4</v>
      </c>
      <c r="J481" s="180">
        <v>4.9254664842985144E-4</v>
      </c>
      <c r="K481" s="180">
        <v>1.0690588122897406E-3</v>
      </c>
      <c r="L481" s="180">
        <v>8.4385070363078498E-4</v>
      </c>
      <c r="M481" s="180">
        <v>1.1783213677355128E-3</v>
      </c>
      <c r="N481" s="180">
        <v>6.6920552953337459E-4</v>
      </c>
      <c r="O481" s="180">
        <v>8.669689440805547E-4</v>
      </c>
      <c r="P481" s="180">
        <v>6.8796273406052837E-4</v>
      </c>
      <c r="Q481" s="180">
        <v>4.7474349038820928E-4</v>
      </c>
      <c r="R481" s="180">
        <v>5.5361049131124631E-4</v>
      </c>
      <c r="S481" s="180">
        <v>7.9168442412031782E-4</v>
      </c>
      <c r="T481" s="180">
        <v>7.8676359672877393E-4</v>
      </c>
      <c r="U481" s="180">
        <v>7.2953612857905574E-4</v>
      </c>
      <c r="V481" s="180">
        <v>6.5740070509151668E-4</v>
      </c>
      <c r="W481" s="180">
        <v>4.0611550084338323E-4</v>
      </c>
      <c r="X481" s="180">
        <v>7.8023777188204919E-4</v>
      </c>
      <c r="Y481" s="180">
        <v>3.7529952314904947E-4</v>
      </c>
      <c r="Z481" s="180">
        <v>1.0300601718935634E-3</v>
      </c>
      <c r="AA481" s="180">
        <v>3.6538493696828688E-4</v>
      </c>
      <c r="AB481" s="180">
        <v>7.7698221980775051E-4</v>
      </c>
      <c r="AC481" s="180">
        <v>1.4111752678343567E-3</v>
      </c>
      <c r="AD481" s="180">
        <v>1.723275330802805E-4</v>
      </c>
      <c r="AE481" s="180">
        <v>6.4008748533685535E-4</v>
      </c>
      <c r="AF481" s="180">
        <v>2.3535220881827705E-4</v>
      </c>
      <c r="AG481" s="180">
        <v>9.2172519542926422E-4</v>
      </c>
      <c r="AH481" s="180">
        <v>7.2490049760504278E-4</v>
      </c>
      <c r="AI481" s="181">
        <v>6.1092932367000222E-4</v>
      </c>
    </row>
    <row r="482" spans="2:35" x14ac:dyDescent="0.25">
      <c r="B482" s="163" t="str">
        <f>'Market Data'!$B$40</f>
        <v>UNH</v>
      </c>
      <c r="C482" s="160">
        <f>Statistics!$G$42</f>
        <v>2.4695057092687361E-2</v>
      </c>
      <c r="E482" s="168">
        <v>0.28841962025999873</v>
      </c>
      <c r="F482" s="85" t="str">
        <v>UNH</v>
      </c>
      <c r="G482" s="179">
        <v>5.5673881663560775E-4</v>
      </c>
      <c r="H482" s="180">
        <v>9.035040942327959E-4</v>
      </c>
      <c r="I482" s="180">
        <v>6.5863568330466196E-4</v>
      </c>
      <c r="J482" s="180">
        <v>7.8373416165496384E-4</v>
      </c>
      <c r="K482" s="180">
        <v>1.0321561899434074E-3</v>
      </c>
      <c r="L482" s="180">
        <v>8.9699068571536217E-4</v>
      </c>
      <c r="M482" s="180">
        <v>1.3915459916452729E-3</v>
      </c>
      <c r="N482" s="180">
        <v>9.9320622386439117E-4</v>
      </c>
      <c r="O482" s="180">
        <v>6.9406421327386882E-4</v>
      </c>
      <c r="P482" s="180">
        <v>1.248419321363809E-3</v>
      </c>
      <c r="Q482" s="180">
        <v>6.4915062582396636E-4</v>
      </c>
      <c r="R482" s="180">
        <v>8.8298395118505178E-4</v>
      </c>
      <c r="S482" s="180">
        <v>5.6633014876153942E-4</v>
      </c>
      <c r="T482" s="180">
        <v>4.4624886795118808E-4</v>
      </c>
      <c r="U482" s="180">
        <v>1.2617149248905092E-3</v>
      </c>
      <c r="V482" s="180">
        <v>1.2737483924284157E-4</v>
      </c>
      <c r="W482" s="180">
        <v>3.5874031329227935E-4</v>
      </c>
      <c r="X482" s="180">
        <v>9.8369986573183495E-4</v>
      </c>
      <c r="Y482" s="180">
        <v>8.5985137540516086E-4</v>
      </c>
      <c r="Z482" s="180">
        <v>2.4058610256342332E-4</v>
      </c>
      <c r="AA482" s="180">
        <v>8.9669180264711685E-5</v>
      </c>
      <c r="AB482" s="180">
        <v>7.5423895885674786E-4</v>
      </c>
      <c r="AC482" s="180">
        <v>1.723275330802805E-4</v>
      </c>
      <c r="AD482" s="180">
        <v>1.9588021355587989E-3</v>
      </c>
      <c r="AE482" s="180">
        <v>1.3013762269017E-3</v>
      </c>
      <c r="AF482" s="180">
        <v>4.3562344006968111E-4</v>
      </c>
      <c r="AG482" s="180">
        <v>6.7255745531353401E-4</v>
      </c>
      <c r="AH482" s="180">
        <v>2.5472583633253342E-4</v>
      </c>
      <c r="AI482" s="181">
        <v>7.6037739981613735E-4</v>
      </c>
    </row>
    <row r="483" spans="2:35" x14ac:dyDescent="0.25">
      <c r="B483" s="163" t="str">
        <f>'Market Data'!$B$41</f>
        <v>UTX</v>
      </c>
      <c r="C483" s="160">
        <f>Statistics!$G$43</f>
        <v>7.3861111519648165E-3</v>
      </c>
      <c r="E483" s="168">
        <v>0</v>
      </c>
      <c r="F483" s="85" t="str">
        <v>UTX</v>
      </c>
      <c r="G483" s="179">
        <v>1.2367738317379871E-3</v>
      </c>
      <c r="H483" s="180">
        <v>1.9679940702890687E-3</v>
      </c>
      <c r="I483" s="180">
        <v>1.846395156096473E-3</v>
      </c>
      <c r="J483" s="180">
        <v>2.1924453554447642E-3</v>
      </c>
      <c r="K483" s="180">
        <v>2.0848208418056797E-3</v>
      </c>
      <c r="L483" s="180">
        <v>1.7655731333339048E-3</v>
      </c>
      <c r="M483" s="180">
        <v>3.4844332298577191E-3</v>
      </c>
      <c r="N483" s="180">
        <v>1.6618009644053405E-3</v>
      </c>
      <c r="O483" s="180">
        <v>1.9210155408337607E-3</v>
      </c>
      <c r="P483" s="180">
        <v>2.1674424403236793E-3</v>
      </c>
      <c r="Q483" s="180">
        <v>1.2386809813748902E-3</v>
      </c>
      <c r="R483" s="180">
        <v>1.5169272523521361E-3</v>
      </c>
      <c r="S483" s="180">
        <v>1.2132957377483657E-3</v>
      </c>
      <c r="T483" s="180">
        <v>1.0117367356107026E-3</v>
      </c>
      <c r="U483" s="180">
        <v>1.8453743354725578E-3</v>
      </c>
      <c r="V483" s="180">
        <v>5.7087013169956707E-4</v>
      </c>
      <c r="W483" s="180">
        <v>8.7888532505727346E-4</v>
      </c>
      <c r="X483" s="180">
        <v>1.8471574472775569E-3</v>
      </c>
      <c r="Y483" s="180">
        <v>1.4646144344401168E-3</v>
      </c>
      <c r="Z483" s="180">
        <v>9.3007091875184366E-4</v>
      </c>
      <c r="AA483" s="180">
        <v>4.9140530374502923E-4</v>
      </c>
      <c r="AB483" s="180">
        <v>1.3524566727664237E-3</v>
      </c>
      <c r="AC483" s="180">
        <v>6.4008748533685535E-4</v>
      </c>
      <c r="AD483" s="180">
        <v>1.3013762269017E-3</v>
      </c>
      <c r="AE483" s="180">
        <v>3.1502830070701034E-3</v>
      </c>
      <c r="AF483" s="180">
        <v>3.2120511051046262E-4</v>
      </c>
      <c r="AG483" s="180">
        <v>1.6964262161404888E-3</v>
      </c>
      <c r="AH483" s="180">
        <v>2.8814451862251201E-4</v>
      </c>
      <c r="AI483" s="181">
        <v>1.3259012920786922E-3</v>
      </c>
    </row>
    <row r="484" spans="2:35" x14ac:dyDescent="0.25">
      <c r="B484" s="163" t="str">
        <f>'Market Data'!$B$42</f>
        <v>VZ</v>
      </c>
      <c r="C484" s="160">
        <f>Statistics!$G$44</f>
        <v>5.0086030759070753E-3</v>
      </c>
      <c r="E484" s="168">
        <v>8.5924355164662999E-2</v>
      </c>
      <c r="F484" s="85" t="str">
        <v>VZ</v>
      </c>
      <c r="G484" s="179">
        <v>1.8457278448214234E-4</v>
      </c>
      <c r="H484" s="180">
        <v>-7.7366109832012643E-5</v>
      </c>
      <c r="I484" s="180">
        <v>3.7914592931386057E-4</v>
      </c>
      <c r="J484" s="180">
        <v>6.8929109799853135E-4</v>
      </c>
      <c r="K484" s="180">
        <v>5.9888719676582812E-4</v>
      </c>
      <c r="L484" s="180">
        <v>7.5916190680994219E-4</v>
      </c>
      <c r="M484" s="180">
        <v>9.2727826439514978E-4</v>
      </c>
      <c r="N484" s="180">
        <v>5.8624704841600517E-4</v>
      </c>
      <c r="O484" s="180">
        <v>1.0256274934399997E-3</v>
      </c>
      <c r="P484" s="180">
        <v>3.7523862948950627E-4</v>
      </c>
      <c r="Q484" s="180">
        <v>1.1189073531181803E-4</v>
      </c>
      <c r="R484" s="180">
        <v>2.033685246020378E-4</v>
      </c>
      <c r="S484" s="180">
        <v>8.2166255763751334E-4</v>
      </c>
      <c r="T484" s="180">
        <v>7.3214708969514145E-4</v>
      </c>
      <c r="U484" s="180">
        <v>3.9836144643633019E-4</v>
      </c>
      <c r="V484" s="180">
        <v>4.9096142938173941E-4</v>
      </c>
      <c r="W484" s="180">
        <v>6.7734327840461236E-4</v>
      </c>
      <c r="X484" s="180">
        <v>5.9539589470078522E-4</v>
      </c>
      <c r="Y484" s="180">
        <v>3.3006228708408361E-4</v>
      </c>
      <c r="Z484" s="180">
        <v>7.4555370224549768E-4</v>
      </c>
      <c r="AA484" s="180">
        <v>1.0278859564771125E-5</v>
      </c>
      <c r="AB484" s="180">
        <v>6.9733723903610885E-4</v>
      </c>
      <c r="AC484" s="180">
        <v>2.3535220881827705E-4</v>
      </c>
      <c r="AD484" s="180">
        <v>4.3562344006968111E-4</v>
      </c>
      <c r="AE484" s="180">
        <v>3.2120511051046262E-4</v>
      </c>
      <c r="AF484" s="180">
        <v>2.0420562729853461E-3</v>
      </c>
      <c r="AG484" s="180">
        <v>3.5270826394507459E-4</v>
      </c>
      <c r="AH484" s="180">
        <v>4.5696587310639262E-4</v>
      </c>
      <c r="AI484" s="181">
        <v>6.4524949399266879E-4</v>
      </c>
    </row>
    <row r="485" spans="2:35" x14ac:dyDescent="0.25">
      <c r="B485" s="163" t="str">
        <f>'Market Data'!$B$43</f>
        <v>V</v>
      </c>
      <c r="C485" s="160">
        <f>Statistics!$G$45</f>
        <v>1.7947618128132319E-2</v>
      </c>
      <c r="E485" s="168">
        <v>0</v>
      </c>
      <c r="F485" s="85" t="str">
        <v>V</v>
      </c>
      <c r="G485" s="179">
        <v>1.5697677901095443E-3</v>
      </c>
      <c r="H485" s="180">
        <v>2.1563583115517065E-3</v>
      </c>
      <c r="I485" s="180">
        <v>2.2475777063178958E-3</v>
      </c>
      <c r="J485" s="180">
        <v>1.4624027030174886E-3</v>
      </c>
      <c r="K485" s="180">
        <v>2.8598074505702059E-3</v>
      </c>
      <c r="L485" s="180">
        <v>9.2897312946466114E-4</v>
      </c>
      <c r="M485" s="180">
        <v>3.0677861856869904E-3</v>
      </c>
      <c r="N485" s="180">
        <v>2.2204011828610088E-3</v>
      </c>
      <c r="O485" s="180">
        <v>1.7646874198991678E-3</v>
      </c>
      <c r="P485" s="180">
        <v>2.0541307067505868E-3</v>
      </c>
      <c r="Q485" s="180">
        <v>1.2055891827737501E-3</v>
      </c>
      <c r="R485" s="180">
        <v>1.2306885914741903E-3</v>
      </c>
      <c r="S485" s="180">
        <v>1.8678530672680304E-3</v>
      </c>
      <c r="T485" s="180">
        <v>8.2747273857601913E-4</v>
      </c>
      <c r="U485" s="180">
        <v>1.9463933682734615E-3</v>
      </c>
      <c r="V485" s="180">
        <v>9.4999344105865064E-4</v>
      </c>
      <c r="W485" s="180">
        <v>1.0020182531469391E-3</v>
      </c>
      <c r="X485" s="180">
        <v>1.59984129324471E-3</v>
      </c>
      <c r="Y485" s="180">
        <v>1.1984054366898813E-3</v>
      </c>
      <c r="Z485" s="180">
        <v>1.5294825998788863E-3</v>
      </c>
      <c r="AA485" s="180">
        <v>1.2162400994020978E-3</v>
      </c>
      <c r="AB485" s="180">
        <v>1.6142857385330945E-3</v>
      </c>
      <c r="AC485" s="180">
        <v>9.2172519542926422E-4</v>
      </c>
      <c r="AD485" s="180">
        <v>6.7255745531353401E-4</v>
      </c>
      <c r="AE485" s="180">
        <v>1.6964262161404888E-3</v>
      </c>
      <c r="AF485" s="180">
        <v>3.5270826394507459E-4</v>
      </c>
      <c r="AG485" s="180">
        <v>3.6944718915923875E-3</v>
      </c>
      <c r="AH485" s="180">
        <v>2.1280259291490004E-4</v>
      </c>
      <c r="AI485" s="181">
        <v>9.4116112769672574E-4</v>
      </c>
    </row>
    <row r="486" spans="2:35" x14ac:dyDescent="0.25">
      <c r="B486" s="163" t="str">
        <f>'Market Data'!$B$44</f>
        <v>WMT</v>
      </c>
      <c r="C486" s="160">
        <f>Statistics!$G$46</f>
        <v>1.8437214178450567E-3</v>
      </c>
      <c r="E486" s="168">
        <v>0.10112631485627001</v>
      </c>
      <c r="F486" s="85" t="str">
        <v>WMT</v>
      </c>
      <c r="G486" s="179">
        <v>5.7975796375205426E-4</v>
      </c>
      <c r="H486" s="180">
        <v>2.6973274792062105E-5</v>
      </c>
      <c r="I486" s="180">
        <v>1.7979190170774528E-4</v>
      </c>
      <c r="J486" s="180">
        <v>-2.1581932882750213E-4</v>
      </c>
      <c r="K486" s="180">
        <v>3.2563207166723412E-4</v>
      </c>
      <c r="L486" s="180">
        <v>1.437380584121094E-4</v>
      </c>
      <c r="M486" s="180">
        <v>-2.3301122426120984E-5</v>
      </c>
      <c r="N486" s="180">
        <v>-1.1672694641114529E-4</v>
      </c>
      <c r="O486" s="180">
        <v>3.1986346053900631E-5</v>
      </c>
      <c r="P486" s="180">
        <v>-5.4295264980806504E-5</v>
      </c>
      <c r="Q486" s="180">
        <v>1.9815526434870993E-4</v>
      </c>
      <c r="R486" s="180">
        <v>3.7610030291999273E-4</v>
      </c>
      <c r="S486" s="180">
        <v>-1.8556188989019865E-5</v>
      </c>
      <c r="T486" s="180">
        <v>7.1470891411086447E-4</v>
      </c>
      <c r="U486" s="180">
        <v>7.503242005510376E-5</v>
      </c>
      <c r="V486" s="180">
        <v>6.4703627119224946E-4</v>
      </c>
      <c r="W486" s="180">
        <v>4.237060092283065E-5</v>
      </c>
      <c r="X486" s="180">
        <v>4.5051539698961655E-4</v>
      </c>
      <c r="Y486" s="180">
        <v>4.389896882024129E-4</v>
      </c>
      <c r="Z486" s="180">
        <v>-3.4970831020819231E-4</v>
      </c>
      <c r="AA486" s="180">
        <v>1.3266739677968515E-5</v>
      </c>
      <c r="AB486" s="180">
        <v>6.1756439897017149E-4</v>
      </c>
      <c r="AC486" s="180">
        <v>7.2490049760504278E-4</v>
      </c>
      <c r="AD486" s="180">
        <v>2.5472583633253342E-4</v>
      </c>
      <c r="AE486" s="180">
        <v>2.8814451862251201E-4</v>
      </c>
      <c r="AF486" s="180">
        <v>4.5696587310639262E-4</v>
      </c>
      <c r="AG486" s="180">
        <v>2.1280259291490004E-4</v>
      </c>
      <c r="AH486" s="180">
        <v>1.9253008332035728E-3</v>
      </c>
      <c r="AI486" s="181">
        <v>9.9417778748729687E-5</v>
      </c>
    </row>
    <row r="487" spans="2:35" x14ac:dyDescent="0.25">
      <c r="B487" s="164" t="str">
        <f>'Market Data'!$B$45</f>
        <v>XOM</v>
      </c>
      <c r="C487" s="165">
        <f>Statistics!$G$47</f>
        <v>1.7101166353118678E-3</v>
      </c>
      <c r="E487" s="169">
        <v>0</v>
      </c>
      <c r="F487" s="86" t="str">
        <v>XOM</v>
      </c>
      <c r="G487" s="179">
        <v>8.3126780280069973E-4</v>
      </c>
      <c r="H487" s="180">
        <v>9.0240454872836753E-4</v>
      </c>
      <c r="I487" s="180">
        <v>5.5785917505375118E-4</v>
      </c>
      <c r="J487" s="180">
        <v>1.368945659107327E-3</v>
      </c>
      <c r="K487" s="180">
        <v>1.3701802479257339E-3</v>
      </c>
      <c r="L487" s="180">
        <v>1.9286286807754067E-3</v>
      </c>
      <c r="M487" s="180">
        <v>2.1182301102402332E-3</v>
      </c>
      <c r="N487" s="180">
        <v>1.3292278052638991E-3</v>
      </c>
      <c r="O487" s="180">
        <v>1.6264073394302158E-3</v>
      </c>
      <c r="P487" s="180">
        <v>1.4387650786059658E-3</v>
      </c>
      <c r="Q487" s="180">
        <v>5.7016164369997474E-4</v>
      </c>
      <c r="R487" s="180">
        <v>1.0970123689928199E-3</v>
      </c>
      <c r="S487" s="180">
        <v>1.0791409093812321E-3</v>
      </c>
      <c r="T487" s="180">
        <v>7.4627799983375924E-4</v>
      </c>
      <c r="U487" s="180">
        <v>1.3958094738143344E-3</v>
      </c>
      <c r="V487" s="180">
        <v>5.1805651820066112E-4</v>
      </c>
      <c r="W487" s="180">
        <v>6.6389606634421081E-4</v>
      </c>
      <c r="X487" s="180">
        <v>1.2697174541958882E-3</v>
      </c>
      <c r="Y487" s="180">
        <v>5.8214330295854532E-4</v>
      </c>
      <c r="Z487" s="180">
        <v>1.2219742467918569E-3</v>
      </c>
      <c r="AA487" s="180">
        <v>-1.9722713194093662E-4</v>
      </c>
      <c r="AB487" s="180">
        <v>8.1835922434987771E-4</v>
      </c>
      <c r="AC487" s="180">
        <v>6.1092932367000222E-4</v>
      </c>
      <c r="AD487" s="180">
        <v>7.6037739981613735E-4</v>
      </c>
      <c r="AE487" s="180">
        <v>1.3259012920786922E-3</v>
      </c>
      <c r="AF487" s="180">
        <v>6.4524949399266879E-4</v>
      </c>
      <c r="AG487" s="180">
        <v>9.4116112769672574E-4</v>
      </c>
      <c r="AH487" s="180">
        <v>9.9417778748729687E-5</v>
      </c>
      <c r="AI487" s="181">
        <v>1.845802781732033E-3</v>
      </c>
    </row>
    <row r="488" spans="2:35" x14ac:dyDescent="0.25">
      <c r="B488" s="3"/>
      <c r="C488" s="3"/>
      <c r="D488" s="3"/>
      <c r="E488" s="182">
        <f>SUM(E459:E487)</f>
        <v>1.0000000000000002</v>
      </c>
      <c r="F488" s="3"/>
      <c r="G488" s="184">
        <f>_xll.SumProduct2(TR9_PORTFOLIO_WEIGHTS,G459:G487)*G457</f>
        <v>6.2962432866716392E-6</v>
      </c>
      <c r="H488" s="185">
        <f>_xll.SumProduct2(TR9_PORTFOLIO_WEIGHTS,H459:H487)*H457</f>
        <v>0</v>
      </c>
      <c r="I488" s="185">
        <f>_xll.SumProduct2(TR9_PORTFOLIO_WEIGHTS,I459:I487)*I457</f>
        <v>0</v>
      </c>
      <c r="J488" s="185">
        <f>_xll.SumProduct2(TR9_PORTFOLIO_WEIGHTS,J459:J487)*J457</f>
        <v>0</v>
      </c>
      <c r="K488" s="185">
        <f>_xll.SumProduct2(TR9_PORTFOLIO_WEIGHTS,K459:K487)*K457</f>
        <v>0</v>
      </c>
      <c r="L488" s="185">
        <f>_xll.SumProduct2(TR9_PORTFOLIO_WEIGHTS,L459:L487)*L457</f>
        <v>0</v>
      </c>
      <c r="M488" s="185">
        <f>_xll.SumProduct2(TR9_PORTFOLIO_WEIGHTS,M459:M487)*M457</f>
        <v>0</v>
      </c>
      <c r="N488" s="185">
        <f>_xll.SumProduct2(TR9_PORTFOLIO_WEIGHTS,N459:N487)*N457</f>
        <v>0</v>
      </c>
      <c r="O488" s="185">
        <f>_xll.SumProduct2(TR9_PORTFOLIO_WEIGHTS,O459:O487)*O457</f>
        <v>0</v>
      </c>
      <c r="P488" s="185">
        <f>_xll.SumProduct2(TR9_PORTFOLIO_WEIGHTS,P459:P487)*P457</f>
        <v>0</v>
      </c>
      <c r="Q488" s="185">
        <f>_xll.SumProduct2(TR9_PORTFOLIO_WEIGHTS,Q459:Q487)*Q457</f>
        <v>6.4527832581031896E-5</v>
      </c>
      <c r="R488" s="185">
        <f>_xll.SumProduct2(TR9_PORTFOLIO_WEIGHTS,R459:R487)*R457</f>
        <v>0</v>
      </c>
      <c r="S488" s="185">
        <f>_xll.SumProduct2(TR9_PORTFOLIO_WEIGHTS,S459:S487)*S457</f>
        <v>0</v>
      </c>
      <c r="T488" s="185">
        <f>_xll.SumProduct2(TR9_PORTFOLIO_WEIGHTS,T459:T487)*T457</f>
        <v>2.3252943747286073E-5</v>
      </c>
      <c r="U488" s="185">
        <f>_xll.SumProduct2(TR9_PORTFOLIO_WEIGHTS,U459:U487)*U457</f>
        <v>0</v>
      </c>
      <c r="V488" s="185">
        <f>_xll.SumProduct2(TR9_PORTFOLIO_WEIGHTS,V459:V487)*V457</f>
        <v>2.6056422408688991E-6</v>
      </c>
      <c r="W488" s="185">
        <f>_xll.SumProduct2(TR9_PORTFOLIO_WEIGHTS,W459:W487)*W457</f>
        <v>3.8019278338280114E-5</v>
      </c>
      <c r="X488" s="185">
        <f>_xll.SumProduct2(TR9_PORTFOLIO_WEIGHTS,X459:X487)*X457</f>
        <v>0</v>
      </c>
      <c r="Y488" s="185">
        <f>_xll.SumProduct2(TR9_PORTFOLIO_WEIGHTS,Y459:Y487)*Y457</f>
        <v>0</v>
      </c>
      <c r="Z488" s="185">
        <f>_xll.SumProduct2(TR9_PORTFOLIO_WEIGHTS,Z459:Z487)*Z457</f>
        <v>2.1959285936491099E-5</v>
      </c>
      <c r="AA488" s="185">
        <f>_xll.SumProduct2(TR9_PORTFOLIO_WEIGHTS,AA459:AA487)*AA457</f>
        <v>1.0418782849050122E-4</v>
      </c>
      <c r="AB488" s="185">
        <f>_xll.SumProduct2(TR9_PORTFOLIO_WEIGHTS,AB459:AB487)*AB457</f>
        <v>0</v>
      </c>
      <c r="AC488" s="185">
        <f>_xll.SumProduct2(TR9_PORTFOLIO_WEIGHTS,AC459:AC487)*AC457</f>
        <v>6.0688261424282882E-5</v>
      </c>
      <c r="AD488" s="185">
        <f>_xll.SumProduct2(TR9_PORTFOLIO_WEIGHTS,AD459:AD487)*AD457</f>
        <v>2.2467349302557788E-4</v>
      </c>
      <c r="AE488" s="185">
        <f>_xll.SumProduct2(TR9_PORTFOLIO_WEIGHTS,AE459:AE487)*AE457</f>
        <v>0</v>
      </c>
      <c r="AF488" s="185">
        <f>_xll.SumProduct2(TR9_PORTFOLIO_WEIGHTS,AF459:AF487)*AF457</f>
        <v>4.205516206304206E-5</v>
      </c>
      <c r="AG488" s="185">
        <f>_xll.SumProduct2(TR9_PORTFOLIO_WEIGHTS,AG459:AG487)*AG457</f>
        <v>0</v>
      </c>
      <c r="AH488" s="185">
        <f>_xll.SumProduct2(TR9_PORTFOLIO_WEIGHTS,AH459:AH487)*AH457</f>
        <v>4.4768155302476441E-5</v>
      </c>
      <c r="AI488" s="189">
        <f>_xll.SumProduct2(TR9_PORTFOLIO_WEIGHTS,AI459:AI487)*AI457</f>
        <v>0</v>
      </c>
    </row>
    <row r="489" spans="2:35" x14ac:dyDescent="0.25">
      <c r="B489" s="3"/>
      <c r="C489" s="3"/>
      <c r="D489" s="3"/>
      <c r="E489" s="3"/>
      <c r="F489" s="3"/>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row>
    <row r="490" spans="2:35" ht="20.25" thickBot="1" x14ac:dyDescent="0.35">
      <c r="B490" s="153" t="str">
        <f>ROUND(TR10_PORTFOLIO_TARGET_RETURN*100, LABEL_ROUNDING) &amp; "% Target Return Portfolio (TR10)"</f>
        <v>1.639% Target Return Portfolio (TR10)</v>
      </c>
      <c r="C490" s="153"/>
      <c r="D490" s="153"/>
      <c r="E490" s="154"/>
      <c r="F490" s="153"/>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row>
    <row r="491" spans="2:35" ht="15.75" thickTop="1" x14ac:dyDescent="0.25">
      <c r="B491" s="156" t="s">
        <v>70</v>
      </c>
      <c r="C491" s="159">
        <f>TR10_PORTFOLIO_TARGET_RETURN</f>
        <v>1.6392636779586404E-2</v>
      </c>
    </row>
    <row r="492" spans="2:35" x14ac:dyDescent="0.25">
      <c r="B492" s="157" t="s">
        <v>60</v>
      </c>
      <c r="C492" s="160">
        <f>_xll.SumProduct2(C497:C525,E497:E525)-RISK_FREE_RATE</f>
        <v>1.6392636875104203E-2</v>
      </c>
    </row>
    <row r="493" spans="2:35" x14ac:dyDescent="0.25">
      <c r="B493" s="157" t="s">
        <v>62</v>
      </c>
      <c r="C493" s="160">
        <f>SQRT(SUM(G526:AI526))</f>
        <v>2.6290798268936693E-2</v>
      </c>
    </row>
    <row r="494" spans="2:35" x14ac:dyDescent="0.25">
      <c r="B494" s="158" t="s">
        <v>103</v>
      </c>
      <c r="C494" s="161" t="str">
        <f>_xll.TimeSeries.CovarianceMatrixCalculator.apply(COVARIANCE_MATRIX_CALCULATOR,'Efficient Frontier'!B497:B525,Statistics!$F$19:$F$47)</f>
        <v>»LabelledMatrix-16705291694770987825</v>
      </c>
      <c r="D494" t="s">
        <v>77</v>
      </c>
    </row>
    <row r="495" spans="2:35" x14ac:dyDescent="0.25">
      <c r="F495" s="111" t="s">
        <v>69</v>
      </c>
      <c r="G495" s="170">
        <f t="array" ref="G495:AI495">TRANSPOSE(E497:E525)</f>
        <v>1.6704250109755226E-2</v>
      </c>
      <c r="H495" s="171">
        <v>0</v>
      </c>
      <c r="I495" s="171">
        <v>0</v>
      </c>
      <c r="J495" s="171">
        <v>0</v>
      </c>
      <c r="K495" s="171">
        <v>0</v>
      </c>
      <c r="L495" s="171">
        <v>0</v>
      </c>
      <c r="M495" s="171">
        <v>0</v>
      </c>
      <c r="N495" s="171">
        <v>0</v>
      </c>
      <c r="O495" s="171">
        <v>0</v>
      </c>
      <c r="P495" s="171">
        <v>0</v>
      </c>
      <c r="Q495" s="171">
        <v>9.8522056856095303E-2</v>
      </c>
      <c r="R495" s="171">
        <v>0</v>
      </c>
      <c r="S495" s="171">
        <v>0</v>
      </c>
      <c r="T495" s="171">
        <v>7.7884864471724491E-2</v>
      </c>
      <c r="U495" s="171">
        <v>0</v>
      </c>
      <c r="V495" s="171">
        <v>0</v>
      </c>
      <c r="W495" s="171">
        <v>4.2230691919194784E-2</v>
      </c>
      <c r="X495" s="171">
        <v>0</v>
      </c>
      <c r="Y495" s="171">
        <v>0</v>
      </c>
      <c r="Z495" s="171">
        <v>4.985641556892164E-2</v>
      </c>
      <c r="AA495" s="171">
        <v>0.16725299283031431</v>
      </c>
      <c r="AB495" s="171">
        <v>0</v>
      </c>
      <c r="AC495" s="171">
        <v>7.7142798939081075E-2</v>
      </c>
      <c r="AD495" s="171">
        <v>0.33325751201369247</v>
      </c>
      <c r="AE495" s="171">
        <v>0</v>
      </c>
      <c r="AF495" s="171">
        <v>5.7657313786574002E-2</v>
      </c>
      <c r="AG495" s="171">
        <v>0</v>
      </c>
      <c r="AH495" s="171">
        <v>7.9491103504646651E-2</v>
      </c>
      <c r="AI495" s="172">
        <v>0</v>
      </c>
    </row>
    <row r="496" spans="2:35" x14ac:dyDescent="0.25">
      <c r="C496" s="111" t="s">
        <v>63</v>
      </c>
      <c r="E496" s="89" t="s">
        <v>69</v>
      </c>
      <c r="F496" s="166" t="str">
        <f t="array" ref="F496:AI525">_xll.Matrix.ExpandAsArray(C494)</f>
        <v/>
      </c>
      <c r="G496" s="173" t="str">
        <v>AAPL</v>
      </c>
      <c r="H496" s="174" t="str">
        <v>AXP</v>
      </c>
      <c r="I496" s="174" t="str">
        <v>BA</v>
      </c>
      <c r="J496" s="174" t="str">
        <v>CAT</v>
      </c>
      <c r="K496" s="174" t="str">
        <v>CSCO</v>
      </c>
      <c r="L496" s="174" t="str">
        <v>CVX</v>
      </c>
      <c r="M496" s="174" t="str">
        <v>DD</v>
      </c>
      <c r="N496" s="174" t="str">
        <v>DIS</v>
      </c>
      <c r="O496" s="174" t="str">
        <v>GE</v>
      </c>
      <c r="P496" s="174" t="str">
        <v>GS</v>
      </c>
      <c r="Q496" s="174" t="str">
        <v>HD</v>
      </c>
      <c r="R496" s="174" t="str">
        <v>IBM</v>
      </c>
      <c r="S496" s="174" t="str">
        <v>INTC</v>
      </c>
      <c r="T496" s="174" t="str">
        <v>JNJ</v>
      </c>
      <c r="U496" s="174" t="str">
        <v>JPM</v>
      </c>
      <c r="V496" s="174" t="str">
        <v>KO</v>
      </c>
      <c r="W496" s="174" t="str">
        <v>MCD</v>
      </c>
      <c r="X496" s="174" t="str">
        <v>MMM</v>
      </c>
      <c r="Y496" s="174" t="str">
        <v>MRK</v>
      </c>
      <c r="Z496" s="174" t="str">
        <v>MSFT</v>
      </c>
      <c r="AA496" s="174" t="str">
        <v>NKE</v>
      </c>
      <c r="AB496" s="174" t="str">
        <v>PFE</v>
      </c>
      <c r="AC496" s="174" t="str">
        <v>PG</v>
      </c>
      <c r="AD496" s="174" t="str">
        <v>UNH</v>
      </c>
      <c r="AE496" s="174" t="str">
        <v>UTX</v>
      </c>
      <c r="AF496" s="174" t="str">
        <v>VZ</v>
      </c>
      <c r="AG496" s="174" t="str">
        <v>V</v>
      </c>
      <c r="AH496" s="174" t="str">
        <v>WMT</v>
      </c>
      <c r="AI496" s="175" t="str">
        <v>XOM</v>
      </c>
    </row>
    <row r="497" spans="2:35" x14ac:dyDescent="0.25">
      <c r="B497" s="162" t="str">
        <f>'Market Data'!$B$17</f>
        <v>AAPL</v>
      </c>
      <c r="C497" s="159">
        <f>Statistics!$G$19</f>
        <v>2.1230184800142136E-2</v>
      </c>
      <c r="E497" s="167">
        <v>1.6704250109755226E-2</v>
      </c>
      <c r="F497" s="84" t="str">
        <v>AAPL</v>
      </c>
      <c r="G497" s="176">
        <v>4.5162973293162668E-3</v>
      </c>
      <c r="H497" s="177">
        <v>1.6284380645241216E-3</v>
      </c>
      <c r="I497" s="177">
        <v>1.6201491796022521E-3</v>
      </c>
      <c r="J497" s="177">
        <v>1.5690359790962263E-3</v>
      </c>
      <c r="K497" s="177">
        <v>2.3505409053430782E-3</v>
      </c>
      <c r="L497" s="177">
        <v>1.1773098260505132E-3</v>
      </c>
      <c r="M497" s="177">
        <v>2.5889638042653502E-3</v>
      </c>
      <c r="N497" s="177">
        <v>1.366655807124157E-3</v>
      </c>
      <c r="O497" s="177">
        <v>1.5698375611055285E-3</v>
      </c>
      <c r="P497" s="177">
        <v>1.8109156333145874E-3</v>
      </c>
      <c r="Q497" s="177">
        <v>9.8639311096076088E-4</v>
      </c>
      <c r="R497" s="177">
        <v>1.7737023799007877E-3</v>
      </c>
      <c r="S497" s="177">
        <v>1.6293191413582805E-3</v>
      </c>
      <c r="T497" s="177">
        <v>8.2631268301744008E-4</v>
      </c>
      <c r="U497" s="177">
        <v>1.2529926248616137E-3</v>
      </c>
      <c r="V497" s="177">
        <v>9.6129190129553134E-4</v>
      </c>
      <c r="W497" s="177">
        <v>4.3723596630614248E-4</v>
      </c>
      <c r="X497" s="177">
        <v>1.6042263123932821E-3</v>
      </c>
      <c r="Y497" s="177">
        <v>6.6280896407091964E-4</v>
      </c>
      <c r="Z497" s="177">
        <v>1.7656054736670385E-3</v>
      </c>
      <c r="AA497" s="177">
        <v>7.4054258425286133E-4</v>
      </c>
      <c r="AB497" s="177">
        <v>1.105136574328315E-3</v>
      </c>
      <c r="AC497" s="177">
        <v>1.0336127768185608E-3</v>
      </c>
      <c r="AD497" s="177">
        <v>5.5673881663560775E-4</v>
      </c>
      <c r="AE497" s="177">
        <v>1.2367738317379871E-3</v>
      </c>
      <c r="AF497" s="177">
        <v>1.8457278448214234E-4</v>
      </c>
      <c r="AG497" s="177">
        <v>1.5697677901095443E-3</v>
      </c>
      <c r="AH497" s="177">
        <v>5.7975796375205426E-4</v>
      </c>
      <c r="AI497" s="178">
        <v>8.3126780280069973E-4</v>
      </c>
    </row>
    <row r="498" spans="2:35" x14ac:dyDescent="0.25">
      <c r="B498" s="163" t="str">
        <f>'Market Data'!$B$18</f>
        <v>AXP</v>
      </c>
      <c r="C498" s="160">
        <f>Statistics!$G$20</f>
        <v>6.4918343965214677E-3</v>
      </c>
      <c r="E498" s="168">
        <v>0</v>
      </c>
      <c r="F498" s="85" t="str">
        <v>AXP</v>
      </c>
      <c r="G498" s="179">
        <v>1.6284380645241216E-3</v>
      </c>
      <c r="H498" s="180">
        <v>4.0660324753009668E-3</v>
      </c>
      <c r="I498" s="180">
        <v>2.3214948032735548E-3</v>
      </c>
      <c r="J498" s="180">
        <v>2.4672804057197504E-3</v>
      </c>
      <c r="K498" s="180">
        <v>2.2861035048804129E-3</v>
      </c>
      <c r="L498" s="180">
        <v>1.4106472819975181E-3</v>
      </c>
      <c r="M498" s="180">
        <v>3.0070268955997704E-3</v>
      </c>
      <c r="N498" s="180">
        <v>1.9718583562846406E-3</v>
      </c>
      <c r="O498" s="180">
        <v>1.6460552176854309E-3</v>
      </c>
      <c r="P498" s="180">
        <v>3.1197862990926528E-3</v>
      </c>
      <c r="Q498" s="180">
        <v>1.285962047454306E-3</v>
      </c>
      <c r="R498" s="180">
        <v>1.960684724858895E-3</v>
      </c>
      <c r="S498" s="180">
        <v>2.0715314739138896E-3</v>
      </c>
      <c r="T498" s="180">
        <v>7.3945969222275051E-4</v>
      </c>
      <c r="U498" s="180">
        <v>2.7840355446374721E-3</v>
      </c>
      <c r="V498" s="180">
        <v>5.6369017954212687E-4</v>
      </c>
      <c r="W498" s="180">
        <v>5.9016175595858627E-4</v>
      </c>
      <c r="X498" s="180">
        <v>1.3680882736390085E-3</v>
      </c>
      <c r="Y498" s="180">
        <v>9.5675499919051471E-4</v>
      </c>
      <c r="Z498" s="180">
        <v>1.7453927826798744E-3</v>
      </c>
      <c r="AA498" s="180">
        <v>9.1418204127611028E-4</v>
      </c>
      <c r="AB498" s="180">
        <v>1.0081234358528435E-3</v>
      </c>
      <c r="AC498" s="180">
        <v>4.150551569421239E-4</v>
      </c>
      <c r="AD498" s="180">
        <v>9.035040942327959E-4</v>
      </c>
      <c r="AE498" s="180">
        <v>1.9679940702890687E-3</v>
      </c>
      <c r="AF498" s="180">
        <v>-7.7366109832012643E-5</v>
      </c>
      <c r="AG498" s="180">
        <v>2.1563583115517065E-3</v>
      </c>
      <c r="AH498" s="180">
        <v>2.6973274792062105E-5</v>
      </c>
      <c r="AI498" s="181">
        <v>9.0240454872836753E-4</v>
      </c>
    </row>
    <row r="499" spans="2:35" x14ac:dyDescent="0.25">
      <c r="B499" s="163" t="str">
        <f>'Market Data'!$B$19</f>
        <v>BA</v>
      </c>
      <c r="C499" s="160">
        <f>Statistics!$G$21</f>
        <v>1.9250861766613322E-2</v>
      </c>
      <c r="E499" s="168">
        <v>0</v>
      </c>
      <c r="F499" s="85" t="str">
        <v>BA</v>
      </c>
      <c r="G499" s="179">
        <v>1.6201491796022521E-3</v>
      </c>
      <c r="H499" s="180">
        <v>2.3214948032735548E-3</v>
      </c>
      <c r="I499" s="180">
        <v>3.7402935775721971E-3</v>
      </c>
      <c r="J499" s="180">
        <v>1.6046317611050844E-3</v>
      </c>
      <c r="K499" s="180">
        <v>2.1240240973260023E-3</v>
      </c>
      <c r="L499" s="180">
        <v>1.3419066335272889E-3</v>
      </c>
      <c r="M499" s="180">
        <v>3.1629198402818382E-3</v>
      </c>
      <c r="N499" s="180">
        <v>2.193611301570318E-3</v>
      </c>
      <c r="O499" s="180">
        <v>1.7334051959416068E-3</v>
      </c>
      <c r="P499" s="180">
        <v>2.2391121271409182E-3</v>
      </c>
      <c r="Q499" s="180">
        <v>1.2911501083222776E-3</v>
      </c>
      <c r="R499" s="180">
        <v>1.1336433634722555E-3</v>
      </c>
      <c r="S499" s="180">
        <v>1.485647562986758E-3</v>
      </c>
      <c r="T499" s="180">
        <v>7.7470388279684329E-4</v>
      </c>
      <c r="U499" s="180">
        <v>1.8054441283061249E-3</v>
      </c>
      <c r="V499" s="180">
        <v>9.7196182882881919E-4</v>
      </c>
      <c r="W499" s="180">
        <v>1.004575731683145E-3</v>
      </c>
      <c r="X499" s="180">
        <v>1.220072170107771E-3</v>
      </c>
      <c r="Y499" s="180">
        <v>1.3506721993334096E-3</v>
      </c>
      <c r="Z499" s="180">
        <v>1.4618979219237266E-3</v>
      </c>
      <c r="AA499" s="180">
        <v>1.1825978430535619E-3</v>
      </c>
      <c r="AB499" s="180">
        <v>1.2950969606515986E-3</v>
      </c>
      <c r="AC499" s="180">
        <v>5.997217417536032E-4</v>
      </c>
      <c r="AD499" s="180">
        <v>6.5863568330466196E-4</v>
      </c>
      <c r="AE499" s="180">
        <v>1.846395156096473E-3</v>
      </c>
      <c r="AF499" s="180">
        <v>3.7914592931386057E-4</v>
      </c>
      <c r="AG499" s="180">
        <v>2.2475777063178958E-3</v>
      </c>
      <c r="AH499" s="180">
        <v>1.7979190170774528E-4</v>
      </c>
      <c r="AI499" s="181">
        <v>5.5785917505375118E-4</v>
      </c>
    </row>
    <row r="500" spans="2:35" x14ac:dyDescent="0.25">
      <c r="B500" s="163" t="str">
        <f>'Market Data'!$B$20</f>
        <v>CAT</v>
      </c>
      <c r="C500" s="160">
        <f>Statistics!$G$22</f>
        <v>6.3545919720494892E-3</v>
      </c>
      <c r="E500" s="168">
        <v>0</v>
      </c>
      <c r="F500" s="85" t="str">
        <v>CAT</v>
      </c>
      <c r="G500" s="179">
        <v>1.5690359790962263E-3</v>
      </c>
      <c r="H500" s="180">
        <v>2.4672804057197504E-3</v>
      </c>
      <c r="I500" s="180">
        <v>1.6046317611050844E-3</v>
      </c>
      <c r="J500" s="180">
        <v>4.5013491323716076E-3</v>
      </c>
      <c r="K500" s="180">
        <v>1.8532157140411887E-3</v>
      </c>
      <c r="L500" s="180">
        <v>2.2352946064681648E-3</v>
      </c>
      <c r="M500" s="180">
        <v>3.0429489894058951E-3</v>
      </c>
      <c r="N500" s="180">
        <v>1.6981712196612736E-3</v>
      </c>
      <c r="O500" s="180">
        <v>2.2046623152336968E-3</v>
      </c>
      <c r="P500" s="180">
        <v>2.3825247137119567E-3</v>
      </c>
      <c r="Q500" s="180">
        <v>1.0587514228509517E-3</v>
      </c>
      <c r="R500" s="180">
        <v>2.1554825858441308E-3</v>
      </c>
      <c r="S500" s="180">
        <v>2.3005603160952529E-3</v>
      </c>
      <c r="T500" s="180">
        <v>9.0633949973445221E-4</v>
      </c>
      <c r="U500" s="180">
        <v>2.011937601179676E-3</v>
      </c>
      <c r="V500" s="180">
        <v>6.586205973694774E-4</v>
      </c>
      <c r="W500" s="180">
        <v>1.2118483675212872E-3</v>
      </c>
      <c r="X500" s="180">
        <v>1.3778500117759705E-3</v>
      </c>
      <c r="Y500" s="180">
        <v>1.6454661341138513E-3</v>
      </c>
      <c r="Z500" s="180">
        <v>2.2842322526096018E-3</v>
      </c>
      <c r="AA500" s="180">
        <v>-1.1104731462091626E-4</v>
      </c>
      <c r="AB500" s="180">
        <v>7.9610645869862182E-4</v>
      </c>
      <c r="AC500" s="180">
        <v>4.9254664842985144E-4</v>
      </c>
      <c r="AD500" s="180">
        <v>7.8373416165496384E-4</v>
      </c>
      <c r="AE500" s="180">
        <v>2.1924453554447642E-3</v>
      </c>
      <c r="AF500" s="180">
        <v>6.8929109799853135E-4</v>
      </c>
      <c r="AG500" s="180">
        <v>1.4624027030174886E-3</v>
      </c>
      <c r="AH500" s="180">
        <v>-2.1581932882750213E-4</v>
      </c>
      <c r="AI500" s="181">
        <v>1.368945659107327E-3</v>
      </c>
    </row>
    <row r="501" spans="2:35" x14ac:dyDescent="0.25">
      <c r="B501" s="163" t="str">
        <f>'Market Data'!$B$21</f>
        <v>CSCO</v>
      </c>
      <c r="C501" s="160">
        <f>Statistics!$G$23</f>
        <v>1.4928779568119917E-2</v>
      </c>
      <c r="E501" s="168">
        <v>0</v>
      </c>
      <c r="F501" s="85" t="str">
        <v>CSCO</v>
      </c>
      <c r="G501" s="179">
        <v>2.3505409053430782E-3</v>
      </c>
      <c r="H501" s="180">
        <v>2.2861035048804129E-3</v>
      </c>
      <c r="I501" s="180">
        <v>2.1240240973260023E-3</v>
      </c>
      <c r="J501" s="180">
        <v>1.8532157140411887E-3</v>
      </c>
      <c r="K501" s="180">
        <v>4.2943797540477393E-3</v>
      </c>
      <c r="L501" s="180">
        <v>1.6495950515362169E-3</v>
      </c>
      <c r="M501" s="180">
        <v>3.7036865533827041E-3</v>
      </c>
      <c r="N501" s="180">
        <v>1.9090150380186609E-3</v>
      </c>
      <c r="O501" s="180">
        <v>2.0168425927536027E-3</v>
      </c>
      <c r="P501" s="180">
        <v>2.2177683830845976E-3</v>
      </c>
      <c r="Q501" s="180">
        <v>9.8504335267051509E-4</v>
      </c>
      <c r="R501" s="180">
        <v>2.2508292865696072E-3</v>
      </c>
      <c r="S501" s="180">
        <v>2.2625583672846289E-3</v>
      </c>
      <c r="T501" s="180">
        <v>1.1094225673998865E-3</v>
      </c>
      <c r="U501" s="180">
        <v>2.0831844183308271E-3</v>
      </c>
      <c r="V501" s="180">
        <v>1.0904984859812852E-3</v>
      </c>
      <c r="W501" s="180">
        <v>8.8656407550750189E-4</v>
      </c>
      <c r="X501" s="180">
        <v>1.6594658489014636E-3</v>
      </c>
      <c r="Y501" s="180">
        <v>1.2877752599161352E-3</v>
      </c>
      <c r="Z501" s="180">
        <v>2.1511833371391734E-3</v>
      </c>
      <c r="AA501" s="180">
        <v>7.2136303147440504E-4</v>
      </c>
      <c r="AB501" s="180">
        <v>1.5185012123350332E-3</v>
      </c>
      <c r="AC501" s="180">
        <v>1.0690588122897406E-3</v>
      </c>
      <c r="AD501" s="180">
        <v>1.0321561899434074E-3</v>
      </c>
      <c r="AE501" s="180">
        <v>2.0848208418056797E-3</v>
      </c>
      <c r="AF501" s="180">
        <v>5.9888719676582812E-4</v>
      </c>
      <c r="AG501" s="180">
        <v>2.8598074505702059E-3</v>
      </c>
      <c r="AH501" s="180">
        <v>3.2563207166723412E-4</v>
      </c>
      <c r="AI501" s="181">
        <v>1.3701802479257339E-3</v>
      </c>
    </row>
    <row r="502" spans="2:35" x14ac:dyDescent="0.25">
      <c r="B502" s="163" t="str">
        <f>'Market Data'!$B$22</f>
        <v>CVX</v>
      </c>
      <c r="C502" s="160">
        <f>Statistics!$G$24</f>
        <v>2.6845541907593424E-3</v>
      </c>
      <c r="E502" s="168">
        <v>0</v>
      </c>
      <c r="F502" s="85" t="str">
        <v>CVX</v>
      </c>
      <c r="G502" s="179">
        <v>1.1773098260505132E-3</v>
      </c>
      <c r="H502" s="180">
        <v>1.4106472819975181E-3</v>
      </c>
      <c r="I502" s="180">
        <v>1.3419066335272889E-3</v>
      </c>
      <c r="J502" s="180">
        <v>2.2352946064681648E-3</v>
      </c>
      <c r="K502" s="180">
        <v>1.6495950515362169E-3</v>
      </c>
      <c r="L502" s="180">
        <v>3.2764948408559465E-3</v>
      </c>
      <c r="M502" s="180">
        <v>2.8277959806832817E-3</v>
      </c>
      <c r="N502" s="180">
        <v>1.8200348202442435E-3</v>
      </c>
      <c r="O502" s="180">
        <v>2.0997855192430963E-3</v>
      </c>
      <c r="P502" s="180">
        <v>2.495859527554455E-3</v>
      </c>
      <c r="Q502" s="180">
        <v>7.9860489883547216E-4</v>
      </c>
      <c r="R502" s="180">
        <v>1.7099575851328929E-3</v>
      </c>
      <c r="S502" s="180">
        <v>1.762362573764028E-3</v>
      </c>
      <c r="T502" s="180">
        <v>1.0006982850928254E-3</v>
      </c>
      <c r="U502" s="180">
        <v>2.159640132817216E-3</v>
      </c>
      <c r="V502" s="180">
        <v>7.7350953916938299E-4</v>
      </c>
      <c r="W502" s="180">
        <v>1.2445101608031307E-3</v>
      </c>
      <c r="X502" s="180">
        <v>1.3396872809028706E-3</v>
      </c>
      <c r="Y502" s="180">
        <v>1.0548817345930506E-3</v>
      </c>
      <c r="Z502" s="180">
        <v>1.921523261676006E-3</v>
      </c>
      <c r="AA502" s="180">
        <v>-3.0145919518466895E-4</v>
      </c>
      <c r="AB502" s="180">
        <v>1.0966581694716135E-3</v>
      </c>
      <c r="AC502" s="180">
        <v>8.4385070363078498E-4</v>
      </c>
      <c r="AD502" s="180">
        <v>8.9699068571536217E-4</v>
      </c>
      <c r="AE502" s="180">
        <v>1.7655731333339048E-3</v>
      </c>
      <c r="AF502" s="180">
        <v>7.5916190680994219E-4</v>
      </c>
      <c r="AG502" s="180">
        <v>9.2897312946466114E-4</v>
      </c>
      <c r="AH502" s="180">
        <v>1.437380584121094E-4</v>
      </c>
      <c r="AI502" s="181">
        <v>1.9286286807754067E-3</v>
      </c>
    </row>
    <row r="503" spans="2:35" x14ac:dyDescent="0.25">
      <c r="B503" s="163" t="str">
        <f>'Market Data'!$B$23</f>
        <v>DD</v>
      </c>
      <c r="C503" s="160">
        <f>Statistics!$G$25</f>
        <v>1.7349865519574785E-2</v>
      </c>
      <c r="E503" s="168">
        <v>0</v>
      </c>
      <c r="F503" s="85" t="str">
        <v>DD</v>
      </c>
      <c r="G503" s="179">
        <v>2.5889638042653502E-3</v>
      </c>
      <c r="H503" s="180">
        <v>3.0070268955997704E-3</v>
      </c>
      <c r="I503" s="180">
        <v>3.1629198402818382E-3</v>
      </c>
      <c r="J503" s="180">
        <v>3.0429489894058951E-3</v>
      </c>
      <c r="K503" s="180">
        <v>3.7036865533827041E-3</v>
      </c>
      <c r="L503" s="180">
        <v>2.8277959806832817E-3</v>
      </c>
      <c r="M503" s="180">
        <v>7.2090294001774871E-3</v>
      </c>
      <c r="N503" s="180">
        <v>3.2246456006375726E-3</v>
      </c>
      <c r="O503" s="180">
        <v>3.2408092269649337E-3</v>
      </c>
      <c r="P503" s="180">
        <v>3.1194558916632768E-3</v>
      </c>
      <c r="Q503" s="180">
        <v>2.0138415935295195E-3</v>
      </c>
      <c r="R503" s="180">
        <v>2.4056181433013803E-3</v>
      </c>
      <c r="S503" s="180">
        <v>2.9333641814070907E-3</v>
      </c>
      <c r="T503" s="180">
        <v>1.7073269232421356E-3</v>
      </c>
      <c r="U503" s="180">
        <v>2.9403656750226037E-3</v>
      </c>
      <c r="V503" s="180">
        <v>1.3828838928124146E-3</v>
      </c>
      <c r="W503" s="180">
        <v>1.5566945864839937E-3</v>
      </c>
      <c r="X503" s="180">
        <v>2.4333011024343194E-3</v>
      </c>
      <c r="Y503" s="180">
        <v>2.1034755337789339E-3</v>
      </c>
      <c r="Z503" s="180">
        <v>3.4647817866697963E-3</v>
      </c>
      <c r="AA503" s="180">
        <v>1.371253710214986E-3</v>
      </c>
      <c r="AB503" s="180">
        <v>2.2541080192876768E-3</v>
      </c>
      <c r="AC503" s="180">
        <v>1.1783213677355128E-3</v>
      </c>
      <c r="AD503" s="180">
        <v>1.3915459916452729E-3</v>
      </c>
      <c r="AE503" s="180">
        <v>3.4844332298577191E-3</v>
      </c>
      <c r="AF503" s="180">
        <v>9.2727826439514978E-4</v>
      </c>
      <c r="AG503" s="180">
        <v>3.0677861856869904E-3</v>
      </c>
      <c r="AH503" s="180">
        <v>-2.3301122426120984E-5</v>
      </c>
      <c r="AI503" s="181">
        <v>2.1182301102402332E-3</v>
      </c>
    </row>
    <row r="504" spans="2:35" x14ac:dyDescent="0.25">
      <c r="B504" s="163" t="str">
        <f>'Market Data'!$B$24</f>
        <v>DIS</v>
      </c>
      <c r="C504" s="160">
        <f>Statistics!$G$26</f>
        <v>1.7109009470709015E-2</v>
      </c>
      <c r="E504" s="168">
        <v>0</v>
      </c>
      <c r="F504" s="85" t="str">
        <v>DIS</v>
      </c>
      <c r="G504" s="179">
        <v>1.366655807124157E-3</v>
      </c>
      <c r="H504" s="180">
        <v>1.9718583562846406E-3</v>
      </c>
      <c r="I504" s="180">
        <v>2.193611301570318E-3</v>
      </c>
      <c r="J504" s="180">
        <v>1.6981712196612736E-3</v>
      </c>
      <c r="K504" s="180">
        <v>1.9090150380186609E-3</v>
      </c>
      <c r="L504" s="180">
        <v>1.8200348202442435E-3</v>
      </c>
      <c r="M504" s="180">
        <v>3.2246456006375726E-3</v>
      </c>
      <c r="N504" s="180">
        <v>3.2225637954133132E-3</v>
      </c>
      <c r="O504" s="180">
        <v>1.7980110839806059E-3</v>
      </c>
      <c r="P504" s="180">
        <v>2.5910429203650125E-3</v>
      </c>
      <c r="Q504" s="180">
        <v>1.4438567521116873E-3</v>
      </c>
      <c r="R504" s="180">
        <v>1.2533920720746924E-3</v>
      </c>
      <c r="S504" s="180">
        <v>1.4872846501875279E-3</v>
      </c>
      <c r="T504" s="180">
        <v>7.6090581351824873E-4</v>
      </c>
      <c r="U504" s="180">
        <v>2.3150492241015347E-3</v>
      </c>
      <c r="V504" s="180">
        <v>7.3157249166013263E-4</v>
      </c>
      <c r="W504" s="180">
        <v>1.0434476997331528E-3</v>
      </c>
      <c r="X504" s="180">
        <v>1.3935802423237448E-3</v>
      </c>
      <c r="Y504" s="180">
        <v>1.1180874248259017E-3</v>
      </c>
      <c r="Z504" s="180">
        <v>1.7514488094562146E-3</v>
      </c>
      <c r="AA504" s="180">
        <v>1.1713887062549742E-3</v>
      </c>
      <c r="AB504" s="180">
        <v>1.4909638464124207E-3</v>
      </c>
      <c r="AC504" s="180">
        <v>6.6920552953337459E-4</v>
      </c>
      <c r="AD504" s="180">
        <v>9.9320622386439117E-4</v>
      </c>
      <c r="AE504" s="180">
        <v>1.6618009644053405E-3</v>
      </c>
      <c r="AF504" s="180">
        <v>5.8624704841600517E-4</v>
      </c>
      <c r="AG504" s="180">
        <v>2.2204011828610088E-3</v>
      </c>
      <c r="AH504" s="180">
        <v>-1.1672694641114529E-4</v>
      </c>
      <c r="AI504" s="181">
        <v>1.3292278052638991E-3</v>
      </c>
    </row>
    <row r="505" spans="2:35" x14ac:dyDescent="0.25">
      <c r="B505" s="163" t="str">
        <f>'Market Data'!$B$25</f>
        <v>GE</v>
      </c>
      <c r="C505" s="160">
        <f>Statistics!$G$27</f>
        <v>9.2719197536449416E-3</v>
      </c>
      <c r="E505" s="168">
        <v>0</v>
      </c>
      <c r="F505" s="85" t="str">
        <v>GE</v>
      </c>
      <c r="G505" s="179">
        <v>1.5698375611055285E-3</v>
      </c>
      <c r="H505" s="180">
        <v>1.6460552176854309E-3</v>
      </c>
      <c r="I505" s="180">
        <v>1.7334051959416068E-3</v>
      </c>
      <c r="J505" s="180">
        <v>2.2046623152336968E-3</v>
      </c>
      <c r="K505" s="180">
        <v>2.0168425927536027E-3</v>
      </c>
      <c r="L505" s="180">
        <v>2.0997855192430963E-3</v>
      </c>
      <c r="M505" s="180">
        <v>3.2408092269649337E-3</v>
      </c>
      <c r="N505" s="180">
        <v>1.7980110839806059E-3</v>
      </c>
      <c r="O505" s="180">
        <v>2.8739818723832944E-3</v>
      </c>
      <c r="P505" s="180">
        <v>2.2255962061739098E-3</v>
      </c>
      <c r="Q505" s="180">
        <v>1.1779071347684854E-3</v>
      </c>
      <c r="R505" s="180">
        <v>1.4606469135339543E-3</v>
      </c>
      <c r="S505" s="180">
        <v>1.8413857882482649E-3</v>
      </c>
      <c r="T505" s="180">
        <v>1.1338883047798758E-3</v>
      </c>
      <c r="U505" s="180">
        <v>1.9825602222543746E-3</v>
      </c>
      <c r="V505" s="180">
        <v>1.0900315820250495E-3</v>
      </c>
      <c r="W505" s="180">
        <v>1.4080437366372094E-3</v>
      </c>
      <c r="X505" s="180">
        <v>1.6476299492810176E-3</v>
      </c>
      <c r="Y505" s="180">
        <v>7.4080885300837902E-4</v>
      </c>
      <c r="Z505" s="180">
        <v>2.1782812682115105E-3</v>
      </c>
      <c r="AA505" s="180">
        <v>6.8149888740689005E-4</v>
      </c>
      <c r="AB505" s="180">
        <v>1.1596920910434683E-3</v>
      </c>
      <c r="AC505" s="180">
        <v>8.669689440805547E-4</v>
      </c>
      <c r="AD505" s="180">
        <v>6.9406421327386882E-4</v>
      </c>
      <c r="AE505" s="180">
        <v>1.9210155408337607E-3</v>
      </c>
      <c r="AF505" s="180">
        <v>1.0256274934399997E-3</v>
      </c>
      <c r="AG505" s="180">
        <v>1.7646874198991678E-3</v>
      </c>
      <c r="AH505" s="180">
        <v>3.1986346053900631E-5</v>
      </c>
      <c r="AI505" s="181">
        <v>1.6264073394302158E-3</v>
      </c>
    </row>
    <row r="506" spans="2:35" x14ac:dyDescent="0.25">
      <c r="B506" s="163" t="str">
        <f>'Market Data'!$B$26</f>
        <v>GS</v>
      </c>
      <c r="C506" s="160">
        <f>Statistics!$G$28</f>
        <v>1.2775975133106521E-2</v>
      </c>
      <c r="E506" s="168">
        <v>0</v>
      </c>
      <c r="F506" s="85" t="str">
        <v>GS</v>
      </c>
      <c r="G506" s="179">
        <v>1.8109156333145874E-3</v>
      </c>
      <c r="H506" s="180">
        <v>3.1197862990926528E-3</v>
      </c>
      <c r="I506" s="180">
        <v>2.2391121271409182E-3</v>
      </c>
      <c r="J506" s="180">
        <v>2.3825247137119567E-3</v>
      </c>
      <c r="K506" s="180">
        <v>2.2177683830845976E-3</v>
      </c>
      <c r="L506" s="180">
        <v>2.495859527554455E-3</v>
      </c>
      <c r="M506" s="180">
        <v>3.1194558916632768E-3</v>
      </c>
      <c r="N506" s="180">
        <v>2.5910429203650125E-3</v>
      </c>
      <c r="O506" s="180">
        <v>2.2255962061739098E-3</v>
      </c>
      <c r="P506" s="180">
        <v>4.8815099105356504E-3</v>
      </c>
      <c r="Q506" s="180">
        <v>1.5442152510598698E-3</v>
      </c>
      <c r="R506" s="180">
        <v>2.2308798805711167E-3</v>
      </c>
      <c r="S506" s="180">
        <v>1.7997270101458302E-3</v>
      </c>
      <c r="T506" s="180">
        <v>7.4857834611503948E-4</v>
      </c>
      <c r="U506" s="180">
        <v>3.8267678235899111E-3</v>
      </c>
      <c r="V506" s="180">
        <v>5.0884399749192373E-4</v>
      </c>
      <c r="W506" s="180">
        <v>1.1844149472533348E-3</v>
      </c>
      <c r="X506" s="180">
        <v>1.5580261625844892E-3</v>
      </c>
      <c r="Y506" s="180">
        <v>9.5059394038900442E-4</v>
      </c>
      <c r="Z506" s="180">
        <v>1.9881521509949444E-3</v>
      </c>
      <c r="AA506" s="180">
        <v>9.2810945195530823E-4</v>
      </c>
      <c r="AB506" s="180">
        <v>1.2974763649140325E-3</v>
      </c>
      <c r="AC506" s="180">
        <v>6.8796273406052837E-4</v>
      </c>
      <c r="AD506" s="180">
        <v>1.248419321363809E-3</v>
      </c>
      <c r="AE506" s="180">
        <v>2.1674424403236793E-3</v>
      </c>
      <c r="AF506" s="180">
        <v>3.7523862948950627E-4</v>
      </c>
      <c r="AG506" s="180">
        <v>2.0541307067505868E-3</v>
      </c>
      <c r="AH506" s="180">
        <v>-5.4295264980806504E-5</v>
      </c>
      <c r="AI506" s="181">
        <v>1.4387650786059658E-3</v>
      </c>
    </row>
    <row r="507" spans="2:35" x14ac:dyDescent="0.25">
      <c r="B507" s="163" t="str">
        <f>'Market Data'!$B$27</f>
        <v>HD</v>
      </c>
      <c r="C507" s="160">
        <f>Statistics!$G$29</f>
        <v>1.8352985528230569E-2</v>
      </c>
      <c r="E507" s="168">
        <v>9.8522056856095303E-2</v>
      </c>
      <c r="F507" s="85" t="str">
        <v>HD</v>
      </c>
      <c r="G507" s="179">
        <v>9.8639311096076088E-4</v>
      </c>
      <c r="H507" s="180">
        <v>1.285962047454306E-3</v>
      </c>
      <c r="I507" s="180">
        <v>1.2911501083222776E-3</v>
      </c>
      <c r="J507" s="180">
        <v>1.0587514228509517E-3</v>
      </c>
      <c r="K507" s="180">
        <v>9.8504335267051509E-4</v>
      </c>
      <c r="L507" s="180">
        <v>7.9860489883547216E-4</v>
      </c>
      <c r="M507" s="180">
        <v>2.0138415935295195E-3</v>
      </c>
      <c r="N507" s="180">
        <v>1.4438567521116873E-3</v>
      </c>
      <c r="O507" s="180">
        <v>1.1779071347684854E-3</v>
      </c>
      <c r="P507" s="180">
        <v>1.5442152510598698E-3</v>
      </c>
      <c r="Q507" s="180">
        <v>1.8880219117441428E-3</v>
      </c>
      <c r="R507" s="180">
        <v>9.3173966010624539E-4</v>
      </c>
      <c r="S507" s="180">
        <v>9.2701062278089308E-4</v>
      </c>
      <c r="T507" s="180">
        <v>6.2481040103688149E-4</v>
      </c>
      <c r="U507" s="180">
        <v>1.4284505514434026E-3</v>
      </c>
      <c r="V507" s="180">
        <v>5.5799413673053339E-4</v>
      </c>
      <c r="W507" s="180">
        <v>7.381374461617429E-4</v>
      </c>
      <c r="X507" s="180">
        <v>1.0633975936011025E-3</v>
      </c>
      <c r="Y507" s="180">
        <v>7.161428946835201E-4</v>
      </c>
      <c r="Z507" s="180">
        <v>1.0017697174583111E-3</v>
      </c>
      <c r="AA507" s="180">
        <v>7.3578315539153108E-4</v>
      </c>
      <c r="AB507" s="180">
        <v>8.5234066580948517E-4</v>
      </c>
      <c r="AC507" s="180">
        <v>4.7474349038820928E-4</v>
      </c>
      <c r="AD507" s="180">
        <v>6.4915062582396636E-4</v>
      </c>
      <c r="AE507" s="180">
        <v>1.2386809813748902E-3</v>
      </c>
      <c r="AF507" s="180">
        <v>1.1189073531181803E-4</v>
      </c>
      <c r="AG507" s="180">
        <v>1.2055891827737501E-3</v>
      </c>
      <c r="AH507" s="180">
        <v>1.9815526434870993E-4</v>
      </c>
      <c r="AI507" s="181">
        <v>5.7016164369997474E-4</v>
      </c>
    </row>
    <row r="508" spans="2:35" x14ac:dyDescent="0.25">
      <c r="B508" s="163" t="str">
        <f>'Market Data'!$B$28</f>
        <v>IBM</v>
      </c>
      <c r="C508" s="160">
        <f>Statistics!$G$30</f>
        <v>-1.0805706759468385E-4</v>
      </c>
      <c r="E508" s="168">
        <v>0</v>
      </c>
      <c r="F508" s="85" t="str">
        <v>IBM</v>
      </c>
      <c r="G508" s="179">
        <v>1.7737023799007877E-3</v>
      </c>
      <c r="H508" s="180">
        <v>1.960684724858895E-3</v>
      </c>
      <c r="I508" s="180">
        <v>1.1336433634722555E-3</v>
      </c>
      <c r="J508" s="180">
        <v>2.1554825858441308E-3</v>
      </c>
      <c r="K508" s="180">
        <v>2.2508292865696072E-3</v>
      </c>
      <c r="L508" s="180">
        <v>1.7099575851328929E-3</v>
      </c>
      <c r="M508" s="180">
        <v>2.4056181433013803E-3</v>
      </c>
      <c r="N508" s="180">
        <v>1.2533920720746924E-3</v>
      </c>
      <c r="O508" s="180">
        <v>1.4606469135339543E-3</v>
      </c>
      <c r="P508" s="180">
        <v>2.2308798805711167E-3</v>
      </c>
      <c r="Q508" s="180">
        <v>9.3173966010624539E-4</v>
      </c>
      <c r="R508" s="180">
        <v>3.3622126456479009E-3</v>
      </c>
      <c r="S508" s="180">
        <v>1.4043690490920693E-3</v>
      </c>
      <c r="T508" s="180">
        <v>5.9347717242683358E-4</v>
      </c>
      <c r="U508" s="180">
        <v>2.0888390371824788E-3</v>
      </c>
      <c r="V508" s="180">
        <v>5.7019303114958723E-4</v>
      </c>
      <c r="W508" s="180">
        <v>5.4513263389601688E-4</v>
      </c>
      <c r="X508" s="180">
        <v>1.0275296737018624E-3</v>
      </c>
      <c r="Y508" s="180">
        <v>1.0097860441379664E-3</v>
      </c>
      <c r="Z508" s="180">
        <v>1.4353906099659559E-3</v>
      </c>
      <c r="AA508" s="180">
        <v>1.3757321359017424E-4</v>
      </c>
      <c r="AB508" s="180">
        <v>7.9545047293496068E-4</v>
      </c>
      <c r="AC508" s="180">
        <v>5.5361049131124631E-4</v>
      </c>
      <c r="AD508" s="180">
        <v>8.8298395118505178E-4</v>
      </c>
      <c r="AE508" s="180">
        <v>1.5169272523521361E-3</v>
      </c>
      <c r="AF508" s="180">
        <v>2.033685246020378E-4</v>
      </c>
      <c r="AG508" s="180">
        <v>1.2306885914741903E-3</v>
      </c>
      <c r="AH508" s="180">
        <v>3.7610030291999273E-4</v>
      </c>
      <c r="AI508" s="181">
        <v>1.0970123689928199E-3</v>
      </c>
    </row>
    <row r="509" spans="2:35" x14ac:dyDescent="0.25">
      <c r="B509" s="163" t="str">
        <f>'Market Data'!$B$29</f>
        <v>INTC</v>
      </c>
      <c r="C509" s="160">
        <f>Statistics!$G$31</f>
        <v>1.4825313209679855E-2</v>
      </c>
      <c r="E509" s="168">
        <v>0</v>
      </c>
      <c r="F509" s="85" t="str">
        <v>INTC</v>
      </c>
      <c r="G509" s="179">
        <v>1.6293191413582805E-3</v>
      </c>
      <c r="H509" s="180">
        <v>2.0715314739138896E-3</v>
      </c>
      <c r="I509" s="180">
        <v>1.485647562986758E-3</v>
      </c>
      <c r="J509" s="180">
        <v>2.3005603160952529E-3</v>
      </c>
      <c r="K509" s="180">
        <v>2.2625583672846289E-3</v>
      </c>
      <c r="L509" s="180">
        <v>1.762362573764028E-3</v>
      </c>
      <c r="M509" s="180">
        <v>2.9333641814070907E-3</v>
      </c>
      <c r="N509" s="180">
        <v>1.4872846501875279E-3</v>
      </c>
      <c r="O509" s="180">
        <v>1.8413857882482649E-3</v>
      </c>
      <c r="P509" s="180">
        <v>1.7997270101458302E-3</v>
      </c>
      <c r="Q509" s="180">
        <v>9.2701062278089308E-4</v>
      </c>
      <c r="R509" s="180">
        <v>1.4043690490920693E-3</v>
      </c>
      <c r="S509" s="180">
        <v>3.8953291630483993E-3</v>
      </c>
      <c r="T509" s="180">
        <v>8.7155825849789608E-4</v>
      </c>
      <c r="U509" s="180">
        <v>1.6338310266769979E-3</v>
      </c>
      <c r="V509" s="180">
        <v>1.1107691361801554E-3</v>
      </c>
      <c r="W509" s="180">
        <v>9.1762089354393737E-4</v>
      </c>
      <c r="X509" s="180">
        <v>1.3291856750406272E-3</v>
      </c>
      <c r="Y509" s="180">
        <v>1.2481991200788169E-3</v>
      </c>
      <c r="Z509" s="180">
        <v>2.824290151917595E-3</v>
      </c>
      <c r="AA509" s="180">
        <v>5.7515792739731505E-4</v>
      </c>
      <c r="AB509" s="180">
        <v>9.9184976149502301E-4</v>
      </c>
      <c r="AC509" s="180">
        <v>7.9168442412031782E-4</v>
      </c>
      <c r="AD509" s="180">
        <v>5.6633014876153942E-4</v>
      </c>
      <c r="AE509" s="180">
        <v>1.2132957377483657E-3</v>
      </c>
      <c r="AF509" s="180">
        <v>8.2166255763751334E-4</v>
      </c>
      <c r="AG509" s="180">
        <v>1.8678530672680304E-3</v>
      </c>
      <c r="AH509" s="180">
        <v>-1.8556188989019865E-5</v>
      </c>
      <c r="AI509" s="181">
        <v>1.0791409093812321E-3</v>
      </c>
    </row>
    <row r="510" spans="2:35" x14ac:dyDescent="0.25">
      <c r="B510" s="163" t="str">
        <f>'Market Data'!$B$30</f>
        <v>JNJ</v>
      </c>
      <c r="C510" s="160">
        <f>Statistics!$G$32</f>
        <v>1.2075919577819831E-2</v>
      </c>
      <c r="E510" s="168">
        <v>7.7884864471724491E-2</v>
      </c>
      <c r="F510" s="85" t="str">
        <v>JNJ</v>
      </c>
      <c r="G510" s="179">
        <v>8.2631268301744008E-4</v>
      </c>
      <c r="H510" s="180">
        <v>7.3945969222275051E-4</v>
      </c>
      <c r="I510" s="180">
        <v>7.7470388279684329E-4</v>
      </c>
      <c r="J510" s="180">
        <v>9.0633949973445221E-4</v>
      </c>
      <c r="K510" s="180">
        <v>1.1094225673998865E-3</v>
      </c>
      <c r="L510" s="180">
        <v>1.0006982850928254E-3</v>
      </c>
      <c r="M510" s="180">
        <v>1.7073269232421356E-3</v>
      </c>
      <c r="N510" s="180">
        <v>7.6090581351824873E-4</v>
      </c>
      <c r="O510" s="180">
        <v>1.1338883047798758E-3</v>
      </c>
      <c r="P510" s="180">
        <v>7.4857834611503948E-4</v>
      </c>
      <c r="Q510" s="180">
        <v>6.2481040103688149E-4</v>
      </c>
      <c r="R510" s="180">
        <v>5.9347717242683358E-4</v>
      </c>
      <c r="S510" s="180">
        <v>8.7155825849789608E-4</v>
      </c>
      <c r="T510" s="180">
        <v>1.3437205064186324E-3</v>
      </c>
      <c r="U510" s="180">
        <v>9.2330996350035955E-4</v>
      </c>
      <c r="V510" s="180">
        <v>8.0248592661524116E-4</v>
      </c>
      <c r="W510" s="180">
        <v>7.2064842002941051E-4</v>
      </c>
      <c r="X510" s="180">
        <v>9.1647163555960687E-4</v>
      </c>
      <c r="Y510" s="180">
        <v>7.8932636294384688E-4</v>
      </c>
      <c r="Z510" s="180">
        <v>8.3950208317612799E-4</v>
      </c>
      <c r="AA510" s="180">
        <v>2.4076387457302071E-4</v>
      </c>
      <c r="AB510" s="180">
        <v>1.174922395291398E-3</v>
      </c>
      <c r="AC510" s="180">
        <v>7.8676359672877393E-4</v>
      </c>
      <c r="AD510" s="180">
        <v>4.4624886795118808E-4</v>
      </c>
      <c r="AE510" s="180">
        <v>1.0117367356107026E-3</v>
      </c>
      <c r="AF510" s="180">
        <v>7.3214708969514145E-4</v>
      </c>
      <c r="AG510" s="180">
        <v>8.2747273857601913E-4</v>
      </c>
      <c r="AH510" s="180">
        <v>7.1470891411086447E-4</v>
      </c>
      <c r="AI510" s="181">
        <v>7.4627799983375924E-4</v>
      </c>
    </row>
    <row r="511" spans="2:35" x14ac:dyDescent="0.25">
      <c r="B511" s="163" t="str">
        <f>'Market Data'!$B$31</f>
        <v>JPM</v>
      </c>
      <c r="C511" s="160">
        <f>Statistics!$G$33</f>
        <v>1.7183196749963128E-2</v>
      </c>
      <c r="E511" s="168">
        <v>0</v>
      </c>
      <c r="F511" s="85" t="str">
        <v>JPM</v>
      </c>
      <c r="G511" s="179">
        <v>1.2529926248616137E-3</v>
      </c>
      <c r="H511" s="180">
        <v>2.7840355446374721E-3</v>
      </c>
      <c r="I511" s="180">
        <v>1.8054441283061249E-3</v>
      </c>
      <c r="J511" s="180">
        <v>2.011937601179676E-3</v>
      </c>
      <c r="K511" s="180">
        <v>2.0831844183308271E-3</v>
      </c>
      <c r="L511" s="180">
        <v>2.159640132817216E-3</v>
      </c>
      <c r="M511" s="180">
        <v>2.9403656750226037E-3</v>
      </c>
      <c r="N511" s="180">
        <v>2.3150492241015347E-3</v>
      </c>
      <c r="O511" s="180">
        <v>1.9825602222543746E-3</v>
      </c>
      <c r="P511" s="180">
        <v>3.8267678235899111E-3</v>
      </c>
      <c r="Q511" s="180">
        <v>1.4284505514434026E-3</v>
      </c>
      <c r="R511" s="180">
        <v>2.0888390371824788E-3</v>
      </c>
      <c r="S511" s="180">
        <v>1.6338310266769979E-3</v>
      </c>
      <c r="T511" s="180">
        <v>9.2330996350035955E-4</v>
      </c>
      <c r="U511" s="180">
        <v>3.6504820104783621E-3</v>
      </c>
      <c r="V511" s="180">
        <v>6.292727988425526E-4</v>
      </c>
      <c r="W511" s="180">
        <v>1.135373183104091E-3</v>
      </c>
      <c r="X511" s="180">
        <v>1.3229022331511452E-3</v>
      </c>
      <c r="Y511" s="180">
        <v>9.9035410413519649E-4</v>
      </c>
      <c r="Z511" s="180">
        <v>2.1029083027690664E-3</v>
      </c>
      <c r="AA511" s="180">
        <v>6.7839144071882979E-4</v>
      </c>
      <c r="AB511" s="180">
        <v>1.3592270505613203E-3</v>
      </c>
      <c r="AC511" s="180">
        <v>7.2953612857905574E-4</v>
      </c>
      <c r="AD511" s="180">
        <v>1.2617149248905092E-3</v>
      </c>
      <c r="AE511" s="180">
        <v>1.8453743354725578E-3</v>
      </c>
      <c r="AF511" s="180">
        <v>3.9836144643633019E-4</v>
      </c>
      <c r="AG511" s="180">
        <v>1.9463933682734615E-3</v>
      </c>
      <c r="AH511" s="180">
        <v>7.503242005510376E-5</v>
      </c>
      <c r="AI511" s="181">
        <v>1.3958094738143344E-3</v>
      </c>
    </row>
    <row r="512" spans="2:35" x14ac:dyDescent="0.25">
      <c r="B512" s="163" t="str">
        <f>'Market Data'!$B$32</f>
        <v>KO</v>
      </c>
      <c r="C512" s="160">
        <f>Statistics!$G$34</f>
        <v>4.1810541872704362E-3</v>
      </c>
      <c r="E512" s="168">
        <v>0</v>
      </c>
      <c r="F512" s="85" t="str">
        <v>KO</v>
      </c>
      <c r="G512" s="179">
        <v>9.6129190129553134E-4</v>
      </c>
      <c r="H512" s="180">
        <v>5.6369017954212687E-4</v>
      </c>
      <c r="I512" s="180">
        <v>9.7196182882881919E-4</v>
      </c>
      <c r="J512" s="180">
        <v>6.586205973694774E-4</v>
      </c>
      <c r="K512" s="180">
        <v>1.0904984859812852E-3</v>
      </c>
      <c r="L512" s="180">
        <v>7.7350953916938299E-4</v>
      </c>
      <c r="M512" s="180">
        <v>1.3828838928124146E-3</v>
      </c>
      <c r="N512" s="180">
        <v>7.3157249166013263E-4</v>
      </c>
      <c r="O512" s="180">
        <v>1.0900315820250495E-3</v>
      </c>
      <c r="P512" s="180">
        <v>5.0884399749192373E-4</v>
      </c>
      <c r="Q512" s="180">
        <v>5.5799413673053339E-4</v>
      </c>
      <c r="R512" s="180">
        <v>5.7019303114958723E-4</v>
      </c>
      <c r="S512" s="180">
        <v>1.1107691361801554E-3</v>
      </c>
      <c r="T512" s="180">
        <v>8.0248592661524116E-4</v>
      </c>
      <c r="U512" s="180">
        <v>6.292727988425526E-4</v>
      </c>
      <c r="V512" s="180">
        <v>1.2210270669043683E-3</v>
      </c>
      <c r="W512" s="180">
        <v>7.9000312454904529E-4</v>
      </c>
      <c r="X512" s="180">
        <v>6.5400026561614926E-4</v>
      </c>
      <c r="Y512" s="180">
        <v>5.6925923112739025E-4</v>
      </c>
      <c r="Z512" s="180">
        <v>1.0711085481253278E-3</v>
      </c>
      <c r="AA512" s="180">
        <v>4.3589033448327737E-4</v>
      </c>
      <c r="AB512" s="180">
        <v>6.3614560547018231E-4</v>
      </c>
      <c r="AC512" s="180">
        <v>6.5740070509151668E-4</v>
      </c>
      <c r="AD512" s="180">
        <v>1.2737483924284157E-4</v>
      </c>
      <c r="AE512" s="180">
        <v>5.7087013169956707E-4</v>
      </c>
      <c r="AF512" s="180">
        <v>4.9096142938173941E-4</v>
      </c>
      <c r="AG512" s="180">
        <v>9.4999344105865064E-4</v>
      </c>
      <c r="AH512" s="180">
        <v>6.4703627119224946E-4</v>
      </c>
      <c r="AI512" s="181">
        <v>5.1805651820066112E-4</v>
      </c>
    </row>
    <row r="513" spans="2:35" x14ac:dyDescent="0.25">
      <c r="B513" s="163" t="str">
        <f>'Market Data'!$B$33</f>
        <v>MCD</v>
      </c>
      <c r="C513" s="160">
        <f>Statistics!$G$35</f>
        <v>8.998422120903465E-3</v>
      </c>
      <c r="E513" s="168">
        <v>4.2230691919194784E-2</v>
      </c>
      <c r="F513" s="85" t="str">
        <v>MCD</v>
      </c>
      <c r="G513" s="179">
        <v>4.3723596630614248E-4</v>
      </c>
      <c r="H513" s="180">
        <v>5.9016175595858627E-4</v>
      </c>
      <c r="I513" s="180">
        <v>1.004575731683145E-3</v>
      </c>
      <c r="J513" s="180">
        <v>1.2118483675212872E-3</v>
      </c>
      <c r="K513" s="180">
        <v>8.8656407550750189E-4</v>
      </c>
      <c r="L513" s="180">
        <v>1.2445101608031307E-3</v>
      </c>
      <c r="M513" s="180">
        <v>1.5566945864839937E-3</v>
      </c>
      <c r="N513" s="180">
        <v>1.0434476997331528E-3</v>
      </c>
      <c r="O513" s="180">
        <v>1.4080437366372094E-3</v>
      </c>
      <c r="P513" s="180">
        <v>1.1844149472533348E-3</v>
      </c>
      <c r="Q513" s="180">
        <v>7.381374461617429E-4</v>
      </c>
      <c r="R513" s="180">
        <v>5.4513263389601688E-4</v>
      </c>
      <c r="S513" s="180">
        <v>9.1762089354393737E-4</v>
      </c>
      <c r="T513" s="180">
        <v>7.2064842002941051E-4</v>
      </c>
      <c r="U513" s="180">
        <v>1.135373183104091E-3</v>
      </c>
      <c r="V513" s="180">
        <v>7.9000312454904529E-4</v>
      </c>
      <c r="W513" s="180">
        <v>1.7650690545216805E-3</v>
      </c>
      <c r="X513" s="180">
        <v>7.9590651205676567E-4</v>
      </c>
      <c r="Y513" s="180">
        <v>5.886623345512683E-4</v>
      </c>
      <c r="Z513" s="180">
        <v>1.2284698745461862E-3</v>
      </c>
      <c r="AA513" s="180">
        <v>4.3355644868225306E-4</v>
      </c>
      <c r="AB513" s="180">
        <v>9.4939047744066322E-4</v>
      </c>
      <c r="AC513" s="180">
        <v>4.0611550084338323E-4</v>
      </c>
      <c r="AD513" s="180">
        <v>3.5874031329227935E-4</v>
      </c>
      <c r="AE513" s="180">
        <v>8.7888532505727346E-4</v>
      </c>
      <c r="AF513" s="180">
        <v>6.7734327840461236E-4</v>
      </c>
      <c r="AG513" s="180">
        <v>1.0020182531469391E-3</v>
      </c>
      <c r="AH513" s="180">
        <v>4.237060092283065E-5</v>
      </c>
      <c r="AI513" s="181">
        <v>6.6389606634421081E-4</v>
      </c>
    </row>
    <row r="514" spans="2:35" x14ac:dyDescent="0.25">
      <c r="B514" s="163" t="str">
        <f>'Market Data'!$B$34</f>
        <v>MMM</v>
      </c>
      <c r="C514" s="160">
        <f>Statistics!$G$36</f>
        <v>1.5280500930100561E-2</v>
      </c>
      <c r="E514" s="168">
        <v>0</v>
      </c>
      <c r="F514" s="85" t="str">
        <v>MMM</v>
      </c>
      <c r="G514" s="179">
        <v>1.6042263123932821E-3</v>
      </c>
      <c r="H514" s="180">
        <v>1.3680882736390085E-3</v>
      </c>
      <c r="I514" s="180">
        <v>1.220072170107771E-3</v>
      </c>
      <c r="J514" s="180">
        <v>1.3778500117759705E-3</v>
      </c>
      <c r="K514" s="180">
        <v>1.6594658489014636E-3</v>
      </c>
      <c r="L514" s="180">
        <v>1.3396872809028706E-3</v>
      </c>
      <c r="M514" s="180">
        <v>2.4333011024343194E-3</v>
      </c>
      <c r="N514" s="180">
        <v>1.3935802423237448E-3</v>
      </c>
      <c r="O514" s="180">
        <v>1.6476299492810176E-3</v>
      </c>
      <c r="P514" s="180">
        <v>1.5580261625844892E-3</v>
      </c>
      <c r="Q514" s="180">
        <v>1.0633975936011025E-3</v>
      </c>
      <c r="R514" s="180">
        <v>1.0275296737018624E-3</v>
      </c>
      <c r="S514" s="180">
        <v>1.3291856750406272E-3</v>
      </c>
      <c r="T514" s="180">
        <v>9.1647163555960687E-4</v>
      </c>
      <c r="U514" s="180">
        <v>1.3229022331511452E-3</v>
      </c>
      <c r="V514" s="180">
        <v>6.5400026561614926E-4</v>
      </c>
      <c r="W514" s="180">
        <v>7.9590651205676567E-4</v>
      </c>
      <c r="X514" s="180">
        <v>1.9007159701372343E-3</v>
      </c>
      <c r="Y514" s="180">
        <v>9.3087542856500223E-4</v>
      </c>
      <c r="Z514" s="180">
        <v>9.5021437706372129E-4</v>
      </c>
      <c r="AA514" s="180">
        <v>7.5220949128439868E-4</v>
      </c>
      <c r="AB514" s="180">
        <v>1.1108584905280188E-3</v>
      </c>
      <c r="AC514" s="180">
        <v>7.8023777188204919E-4</v>
      </c>
      <c r="AD514" s="180">
        <v>9.8369986573183495E-4</v>
      </c>
      <c r="AE514" s="180">
        <v>1.8471574472775569E-3</v>
      </c>
      <c r="AF514" s="180">
        <v>5.9539589470078522E-4</v>
      </c>
      <c r="AG514" s="180">
        <v>1.59984129324471E-3</v>
      </c>
      <c r="AH514" s="180">
        <v>4.5051539698961655E-4</v>
      </c>
      <c r="AI514" s="181">
        <v>1.2697174541958882E-3</v>
      </c>
    </row>
    <row r="515" spans="2:35" x14ac:dyDescent="0.25">
      <c r="B515" s="163" t="str">
        <f>'Market Data'!$B$35</f>
        <v>MRK</v>
      </c>
      <c r="C515" s="160">
        <f>Statistics!$G$37</f>
        <v>1.1473476041634185E-2</v>
      </c>
      <c r="E515" s="168">
        <v>0</v>
      </c>
      <c r="F515" s="85" t="str">
        <v>MRK</v>
      </c>
      <c r="G515" s="179">
        <v>6.6280896407091964E-4</v>
      </c>
      <c r="H515" s="180">
        <v>9.5675499919051471E-4</v>
      </c>
      <c r="I515" s="180">
        <v>1.3506721993334096E-3</v>
      </c>
      <c r="J515" s="180">
        <v>1.6454661341138513E-3</v>
      </c>
      <c r="K515" s="180">
        <v>1.2877752599161352E-3</v>
      </c>
      <c r="L515" s="180">
        <v>1.0548817345930506E-3</v>
      </c>
      <c r="M515" s="180">
        <v>2.1034755337789339E-3</v>
      </c>
      <c r="N515" s="180">
        <v>1.1180874248259017E-3</v>
      </c>
      <c r="O515" s="180">
        <v>7.4080885300837902E-4</v>
      </c>
      <c r="P515" s="180">
        <v>9.5059394038900442E-4</v>
      </c>
      <c r="Q515" s="180">
        <v>7.161428946835201E-4</v>
      </c>
      <c r="R515" s="180">
        <v>1.0097860441379664E-3</v>
      </c>
      <c r="S515" s="180">
        <v>1.2481991200788169E-3</v>
      </c>
      <c r="T515" s="180">
        <v>7.8932636294384688E-4</v>
      </c>
      <c r="U515" s="180">
        <v>9.9035410413519649E-4</v>
      </c>
      <c r="V515" s="180">
        <v>5.6925923112739025E-4</v>
      </c>
      <c r="W515" s="180">
        <v>5.886623345512683E-4</v>
      </c>
      <c r="X515" s="180">
        <v>9.3087542856500223E-4</v>
      </c>
      <c r="Y515" s="180">
        <v>2.5431403633519077E-3</v>
      </c>
      <c r="Z515" s="180">
        <v>1.0039618395335291E-3</v>
      </c>
      <c r="AA515" s="180">
        <v>3.4083858597475385E-4</v>
      </c>
      <c r="AB515" s="180">
        <v>1.3412346285691251E-3</v>
      </c>
      <c r="AC515" s="180">
        <v>3.7529952314904947E-4</v>
      </c>
      <c r="AD515" s="180">
        <v>8.5985137540516086E-4</v>
      </c>
      <c r="AE515" s="180">
        <v>1.4646144344401168E-3</v>
      </c>
      <c r="AF515" s="180">
        <v>3.3006228708408361E-4</v>
      </c>
      <c r="AG515" s="180">
        <v>1.1984054366898813E-3</v>
      </c>
      <c r="AH515" s="180">
        <v>4.389896882024129E-4</v>
      </c>
      <c r="AI515" s="181">
        <v>5.8214330295854532E-4</v>
      </c>
    </row>
    <row r="516" spans="2:35" x14ac:dyDescent="0.25">
      <c r="B516" s="163" t="str">
        <f>'Market Data'!$B$36</f>
        <v>MSFT</v>
      </c>
      <c r="C516" s="160">
        <f>Statistics!$G$38</f>
        <v>2.1777833497491961E-2</v>
      </c>
      <c r="E516" s="168">
        <v>4.985641556892164E-2</v>
      </c>
      <c r="F516" s="85" t="str">
        <v>MSFT</v>
      </c>
      <c r="G516" s="179">
        <v>1.7656054736670385E-3</v>
      </c>
      <c r="H516" s="180">
        <v>1.7453927826798744E-3</v>
      </c>
      <c r="I516" s="180">
        <v>1.4618979219237266E-3</v>
      </c>
      <c r="J516" s="180">
        <v>2.2842322526096018E-3</v>
      </c>
      <c r="K516" s="180">
        <v>2.1511833371391734E-3</v>
      </c>
      <c r="L516" s="180">
        <v>1.921523261676006E-3</v>
      </c>
      <c r="M516" s="180">
        <v>3.4647817866697963E-3</v>
      </c>
      <c r="N516" s="180">
        <v>1.7514488094562146E-3</v>
      </c>
      <c r="O516" s="180">
        <v>2.1782812682115105E-3</v>
      </c>
      <c r="P516" s="180">
        <v>1.9881521509949444E-3</v>
      </c>
      <c r="Q516" s="180">
        <v>1.0017697174583111E-3</v>
      </c>
      <c r="R516" s="180">
        <v>1.4353906099659559E-3</v>
      </c>
      <c r="S516" s="180">
        <v>2.824290151917595E-3</v>
      </c>
      <c r="T516" s="180">
        <v>8.3950208317612799E-4</v>
      </c>
      <c r="U516" s="180">
        <v>2.1029083027690664E-3</v>
      </c>
      <c r="V516" s="180">
        <v>1.0711085481253278E-3</v>
      </c>
      <c r="W516" s="180">
        <v>1.2284698745461862E-3</v>
      </c>
      <c r="X516" s="180">
        <v>9.5021437706372129E-4</v>
      </c>
      <c r="Y516" s="180">
        <v>1.0039618395335291E-3</v>
      </c>
      <c r="Z516" s="180">
        <v>4.5817164894349687E-3</v>
      </c>
      <c r="AA516" s="180">
        <v>9.1111393401995618E-4</v>
      </c>
      <c r="AB516" s="180">
        <v>1.1007292150403058E-3</v>
      </c>
      <c r="AC516" s="180">
        <v>1.0300601718935634E-3</v>
      </c>
      <c r="AD516" s="180">
        <v>2.4058610256342332E-4</v>
      </c>
      <c r="AE516" s="180">
        <v>9.3007091875184366E-4</v>
      </c>
      <c r="AF516" s="180">
        <v>7.4555370224549768E-4</v>
      </c>
      <c r="AG516" s="180">
        <v>1.5294825998788863E-3</v>
      </c>
      <c r="AH516" s="180">
        <v>-3.4970831020819231E-4</v>
      </c>
      <c r="AI516" s="181">
        <v>1.2219742467918569E-3</v>
      </c>
    </row>
    <row r="517" spans="2:35" x14ac:dyDescent="0.25">
      <c r="B517" s="163" t="str">
        <f>'Market Data'!$B$37</f>
        <v>NKE</v>
      </c>
      <c r="C517" s="160">
        <f>Statistics!$G$39</f>
        <v>1.5970247269241938E-2</v>
      </c>
      <c r="E517" s="168">
        <v>0.16725299283031431</v>
      </c>
      <c r="F517" s="85" t="str">
        <v>NKE</v>
      </c>
      <c r="G517" s="179">
        <v>7.4054258425286133E-4</v>
      </c>
      <c r="H517" s="180">
        <v>9.1418204127611028E-4</v>
      </c>
      <c r="I517" s="180">
        <v>1.1825978430535619E-3</v>
      </c>
      <c r="J517" s="180">
        <v>-1.1104731462091626E-4</v>
      </c>
      <c r="K517" s="180">
        <v>7.2136303147440504E-4</v>
      </c>
      <c r="L517" s="180">
        <v>-3.0145919518466895E-4</v>
      </c>
      <c r="M517" s="180">
        <v>1.371253710214986E-3</v>
      </c>
      <c r="N517" s="180">
        <v>1.1713887062549742E-3</v>
      </c>
      <c r="O517" s="180">
        <v>6.8149888740689005E-4</v>
      </c>
      <c r="P517" s="180">
        <v>9.2810945195530823E-4</v>
      </c>
      <c r="Q517" s="180">
        <v>7.3578315539153108E-4</v>
      </c>
      <c r="R517" s="180">
        <v>1.3757321359017424E-4</v>
      </c>
      <c r="S517" s="180">
        <v>5.7515792739731505E-4</v>
      </c>
      <c r="T517" s="180">
        <v>2.4076387457302071E-4</v>
      </c>
      <c r="U517" s="180">
        <v>6.7839144071882979E-4</v>
      </c>
      <c r="V517" s="180">
        <v>4.3589033448327737E-4</v>
      </c>
      <c r="W517" s="180">
        <v>4.3355644868225306E-4</v>
      </c>
      <c r="X517" s="180">
        <v>7.5220949128439868E-4</v>
      </c>
      <c r="Y517" s="180">
        <v>3.4083858597475385E-4</v>
      </c>
      <c r="Z517" s="180">
        <v>9.1111393401995618E-4</v>
      </c>
      <c r="AA517" s="180">
        <v>2.7193308407813446E-3</v>
      </c>
      <c r="AB517" s="180">
        <v>5.6615292191577104E-4</v>
      </c>
      <c r="AC517" s="180">
        <v>3.6538493696828688E-4</v>
      </c>
      <c r="AD517" s="180">
        <v>8.9669180264711685E-5</v>
      </c>
      <c r="AE517" s="180">
        <v>4.9140530374502923E-4</v>
      </c>
      <c r="AF517" s="180">
        <v>1.0278859564771125E-5</v>
      </c>
      <c r="AG517" s="180">
        <v>1.2162400994020978E-3</v>
      </c>
      <c r="AH517" s="180">
        <v>1.3266739677968515E-5</v>
      </c>
      <c r="AI517" s="181">
        <v>-1.9722713194093662E-4</v>
      </c>
    </row>
    <row r="518" spans="2:35" x14ac:dyDescent="0.25">
      <c r="B518" s="163" t="str">
        <f>'Market Data'!$B$38</f>
        <v>PFE</v>
      </c>
      <c r="C518" s="160">
        <f>Statistics!$G$40</f>
        <v>7.6042605716081235E-3</v>
      </c>
      <c r="E518" s="168">
        <v>0</v>
      </c>
      <c r="F518" s="85" t="str">
        <v>PFE</v>
      </c>
      <c r="G518" s="179">
        <v>1.105136574328315E-3</v>
      </c>
      <c r="H518" s="180">
        <v>1.0081234358528435E-3</v>
      </c>
      <c r="I518" s="180">
        <v>1.2950969606515986E-3</v>
      </c>
      <c r="J518" s="180">
        <v>7.9610645869862182E-4</v>
      </c>
      <c r="K518" s="180">
        <v>1.5185012123350332E-3</v>
      </c>
      <c r="L518" s="180">
        <v>1.0966581694716135E-3</v>
      </c>
      <c r="M518" s="180">
        <v>2.2541080192876768E-3</v>
      </c>
      <c r="N518" s="180">
        <v>1.4909638464124207E-3</v>
      </c>
      <c r="O518" s="180">
        <v>1.1596920910434683E-3</v>
      </c>
      <c r="P518" s="180">
        <v>1.2974763649140325E-3</v>
      </c>
      <c r="Q518" s="180">
        <v>8.5234066580948517E-4</v>
      </c>
      <c r="R518" s="180">
        <v>7.9545047293496068E-4</v>
      </c>
      <c r="S518" s="180">
        <v>9.9184976149502301E-4</v>
      </c>
      <c r="T518" s="180">
        <v>1.174922395291398E-3</v>
      </c>
      <c r="U518" s="180">
        <v>1.3592270505613203E-3</v>
      </c>
      <c r="V518" s="180">
        <v>6.3614560547018231E-4</v>
      </c>
      <c r="W518" s="180">
        <v>9.4939047744066322E-4</v>
      </c>
      <c r="X518" s="180">
        <v>1.1108584905280188E-3</v>
      </c>
      <c r="Y518" s="180">
        <v>1.3412346285691251E-3</v>
      </c>
      <c r="Z518" s="180">
        <v>1.1007292150403058E-3</v>
      </c>
      <c r="AA518" s="180">
        <v>5.6615292191577104E-4</v>
      </c>
      <c r="AB518" s="180">
        <v>2.4354805215546461E-3</v>
      </c>
      <c r="AC518" s="180">
        <v>7.7698221980775051E-4</v>
      </c>
      <c r="AD518" s="180">
        <v>7.5423895885674786E-4</v>
      </c>
      <c r="AE518" s="180">
        <v>1.3524566727664237E-3</v>
      </c>
      <c r="AF518" s="180">
        <v>6.9733723903610885E-4</v>
      </c>
      <c r="AG518" s="180">
        <v>1.6142857385330945E-3</v>
      </c>
      <c r="AH518" s="180">
        <v>6.1756439897017149E-4</v>
      </c>
      <c r="AI518" s="181">
        <v>8.1835922434987771E-4</v>
      </c>
    </row>
    <row r="519" spans="2:35" x14ac:dyDescent="0.25">
      <c r="B519" s="163" t="str">
        <f>'Market Data'!$B$39</f>
        <v>PG</v>
      </c>
      <c r="C519" s="160">
        <f>Statistics!$G$41</f>
        <v>6.7668222923833359E-3</v>
      </c>
      <c r="E519" s="168">
        <v>7.7142798939081075E-2</v>
      </c>
      <c r="F519" s="85" t="str">
        <v>PG</v>
      </c>
      <c r="G519" s="179">
        <v>1.0336127768185608E-3</v>
      </c>
      <c r="H519" s="180">
        <v>4.150551569421239E-4</v>
      </c>
      <c r="I519" s="180">
        <v>5.997217417536032E-4</v>
      </c>
      <c r="J519" s="180">
        <v>4.9254664842985144E-4</v>
      </c>
      <c r="K519" s="180">
        <v>1.0690588122897406E-3</v>
      </c>
      <c r="L519" s="180">
        <v>8.4385070363078498E-4</v>
      </c>
      <c r="M519" s="180">
        <v>1.1783213677355128E-3</v>
      </c>
      <c r="N519" s="180">
        <v>6.6920552953337459E-4</v>
      </c>
      <c r="O519" s="180">
        <v>8.669689440805547E-4</v>
      </c>
      <c r="P519" s="180">
        <v>6.8796273406052837E-4</v>
      </c>
      <c r="Q519" s="180">
        <v>4.7474349038820928E-4</v>
      </c>
      <c r="R519" s="180">
        <v>5.5361049131124631E-4</v>
      </c>
      <c r="S519" s="180">
        <v>7.9168442412031782E-4</v>
      </c>
      <c r="T519" s="180">
        <v>7.8676359672877393E-4</v>
      </c>
      <c r="U519" s="180">
        <v>7.2953612857905574E-4</v>
      </c>
      <c r="V519" s="180">
        <v>6.5740070509151668E-4</v>
      </c>
      <c r="W519" s="180">
        <v>4.0611550084338323E-4</v>
      </c>
      <c r="X519" s="180">
        <v>7.8023777188204919E-4</v>
      </c>
      <c r="Y519" s="180">
        <v>3.7529952314904947E-4</v>
      </c>
      <c r="Z519" s="180">
        <v>1.0300601718935634E-3</v>
      </c>
      <c r="AA519" s="180">
        <v>3.6538493696828688E-4</v>
      </c>
      <c r="AB519" s="180">
        <v>7.7698221980775051E-4</v>
      </c>
      <c r="AC519" s="180">
        <v>1.4111752678343567E-3</v>
      </c>
      <c r="AD519" s="180">
        <v>1.723275330802805E-4</v>
      </c>
      <c r="AE519" s="180">
        <v>6.4008748533685535E-4</v>
      </c>
      <c r="AF519" s="180">
        <v>2.3535220881827705E-4</v>
      </c>
      <c r="AG519" s="180">
        <v>9.2172519542926422E-4</v>
      </c>
      <c r="AH519" s="180">
        <v>7.2490049760504278E-4</v>
      </c>
      <c r="AI519" s="181">
        <v>6.1092932367000222E-4</v>
      </c>
    </row>
    <row r="520" spans="2:35" x14ac:dyDescent="0.25">
      <c r="B520" s="163" t="str">
        <f>'Market Data'!$B$40</f>
        <v>UNH</v>
      </c>
      <c r="C520" s="160">
        <f>Statistics!$G$42</f>
        <v>2.4695057092687361E-2</v>
      </c>
      <c r="E520" s="168">
        <v>0.33325751201369247</v>
      </c>
      <c r="F520" s="85" t="str">
        <v>UNH</v>
      </c>
      <c r="G520" s="179">
        <v>5.5673881663560775E-4</v>
      </c>
      <c r="H520" s="180">
        <v>9.035040942327959E-4</v>
      </c>
      <c r="I520" s="180">
        <v>6.5863568330466196E-4</v>
      </c>
      <c r="J520" s="180">
        <v>7.8373416165496384E-4</v>
      </c>
      <c r="K520" s="180">
        <v>1.0321561899434074E-3</v>
      </c>
      <c r="L520" s="180">
        <v>8.9699068571536217E-4</v>
      </c>
      <c r="M520" s="180">
        <v>1.3915459916452729E-3</v>
      </c>
      <c r="N520" s="180">
        <v>9.9320622386439117E-4</v>
      </c>
      <c r="O520" s="180">
        <v>6.9406421327386882E-4</v>
      </c>
      <c r="P520" s="180">
        <v>1.248419321363809E-3</v>
      </c>
      <c r="Q520" s="180">
        <v>6.4915062582396636E-4</v>
      </c>
      <c r="R520" s="180">
        <v>8.8298395118505178E-4</v>
      </c>
      <c r="S520" s="180">
        <v>5.6633014876153942E-4</v>
      </c>
      <c r="T520" s="180">
        <v>4.4624886795118808E-4</v>
      </c>
      <c r="U520" s="180">
        <v>1.2617149248905092E-3</v>
      </c>
      <c r="V520" s="180">
        <v>1.2737483924284157E-4</v>
      </c>
      <c r="W520" s="180">
        <v>3.5874031329227935E-4</v>
      </c>
      <c r="X520" s="180">
        <v>9.8369986573183495E-4</v>
      </c>
      <c r="Y520" s="180">
        <v>8.5985137540516086E-4</v>
      </c>
      <c r="Z520" s="180">
        <v>2.4058610256342332E-4</v>
      </c>
      <c r="AA520" s="180">
        <v>8.9669180264711685E-5</v>
      </c>
      <c r="AB520" s="180">
        <v>7.5423895885674786E-4</v>
      </c>
      <c r="AC520" s="180">
        <v>1.723275330802805E-4</v>
      </c>
      <c r="AD520" s="180">
        <v>1.9588021355587989E-3</v>
      </c>
      <c r="AE520" s="180">
        <v>1.3013762269017E-3</v>
      </c>
      <c r="AF520" s="180">
        <v>4.3562344006968111E-4</v>
      </c>
      <c r="AG520" s="180">
        <v>6.7255745531353401E-4</v>
      </c>
      <c r="AH520" s="180">
        <v>2.5472583633253342E-4</v>
      </c>
      <c r="AI520" s="181">
        <v>7.6037739981613735E-4</v>
      </c>
    </row>
    <row r="521" spans="2:35" x14ac:dyDescent="0.25">
      <c r="B521" s="163" t="str">
        <f>'Market Data'!$B$41</f>
        <v>UTX</v>
      </c>
      <c r="C521" s="160">
        <f>Statistics!$G$43</f>
        <v>7.3861111519648165E-3</v>
      </c>
      <c r="E521" s="168">
        <v>0</v>
      </c>
      <c r="F521" s="85" t="str">
        <v>UTX</v>
      </c>
      <c r="G521" s="179">
        <v>1.2367738317379871E-3</v>
      </c>
      <c r="H521" s="180">
        <v>1.9679940702890687E-3</v>
      </c>
      <c r="I521" s="180">
        <v>1.846395156096473E-3</v>
      </c>
      <c r="J521" s="180">
        <v>2.1924453554447642E-3</v>
      </c>
      <c r="K521" s="180">
        <v>2.0848208418056797E-3</v>
      </c>
      <c r="L521" s="180">
        <v>1.7655731333339048E-3</v>
      </c>
      <c r="M521" s="180">
        <v>3.4844332298577191E-3</v>
      </c>
      <c r="N521" s="180">
        <v>1.6618009644053405E-3</v>
      </c>
      <c r="O521" s="180">
        <v>1.9210155408337607E-3</v>
      </c>
      <c r="P521" s="180">
        <v>2.1674424403236793E-3</v>
      </c>
      <c r="Q521" s="180">
        <v>1.2386809813748902E-3</v>
      </c>
      <c r="R521" s="180">
        <v>1.5169272523521361E-3</v>
      </c>
      <c r="S521" s="180">
        <v>1.2132957377483657E-3</v>
      </c>
      <c r="T521" s="180">
        <v>1.0117367356107026E-3</v>
      </c>
      <c r="U521" s="180">
        <v>1.8453743354725578E-3</v>
      </c>
      <c r="V521" s="180">
        <v>5.7087013169956707E-4</v>
      </c>
      <c r="W521" s="180">
        <v>8.7888532505727346E-4</v>
      </c>
      <c r="X521" s="180">
        <v>1.8471574472775569E-3</v>
      </c>
      <c r="Y521" s="180">
        <v>1.4646144344401168E-3</v>
      </c>
      <c r="Z521" s="180">
        <v>9.3007091875184366E-4</v>
      </c>
      <c r="AA521" s="180">
        <v>4.9140530374502923E-4</v>
      </c>
      <c r="AB521" s="180">
        <v>1.3524566727664237E-3</v>
      </c>
      <c r="AC521" s="180">
        <v>6.4008748533685535E-4</v>
      </c>
      <c r="AD521" s="180">
        <v>1.3013762269017E-3</v>
      </c>
      <c r="AE521" s="180">
        <v>3.1502830070701034E-3</v>
      </c>
      <c r="AF521" s="180">
        <v>3.2120511051046262E-4</v>
      </c>
      <c r="AG521" s="180">
        <v>1.6964262161404888E-3</v>
      </c>
      <c r="AH521" s="180">
        <v>2.8814451862251201E-4</v>
      </c>
      <c r="AI521" s="181">
        <v>1.3259012920786922E-3</v>
      </c>
    </row>
    <row r="522" spans="2:35" x14ac:dyDescent="0.25">
      <c r="B522" s="163" t="str">
        <f>'Market Data'!$B$42</f>
        <v>VZ</v>
      </c>
      <c r="C522" s="160">
        <f>Statistics!$G$44</f>
        <v>5.0086030759070753E-3</v>
      </c>
      <c r="E522" s="168">
        <v>5.7657313786574002E-2</v>
      </c>
      <c r="F522" s="85" t="str">
        <v>VZ</v>
      </c>
      <c r="G522" s="179">
        <v>1.8457278448214234E-4</v>
      </c>
      <c r="H522" s="180">
        <v>-7.7366109832012643E-5</v>
      </c>
      <c r="I522" s="180">
        <v>3.7914592931386057E-4</v>
      </c>
      <c r="J522" s="180">
        <v>6.8929109799853135E-4</v>
      </c>
      <c r="K522" s="180">
        <v>5.9888719676582812E-4</v>
      </c>
      <c r="L522" s="180">
        <v>7.5916190680994219E-4</v>
      </c>
      <c r="M522" s="180">
        <v>9.2727826439514978E-4</v>
      </c>
      <c r="N522" s="180">
        <v>5.8624704841600517E-4</v>
      </c>
      <c r="O522" s="180">
        <v>1.0256274934399997E-3</v>
      </c>
      <c r="P522" s="180">
        <v>3.7523862948950627E-4</v>
      </c>
      <c r="Q522" s="180">
        <v>1.1189073531181803E-4</v>
      </c>
      <c r="R522" s="180">
        <v>2.033685246020378E-4</v>
      </c>
      <c r="S522" s="180">
        <v>8.2166255763751334E-4</v>
      </c>
      <c r="T522" s="180">
        <v>7.3214708969514145E-4</v>
      </c>
      <c r="U522" s="180">
        <v>3.9836144643633019E-4</v>
      </c>
      <c r="V522" s="180">
        <v>4.9096142938173941E-4</v>
      </c>
      <c r="W522" s="180">
        <v>6.7734327840461236E-4</v>
      </c>
      <c r="X522" s="180">
        <v>5.9539589470078522E-4</v>
      </c>
      <c r="Y522" s="180">
        <v>3.3006228708408361E-4</v>
      </c>
      <c r="Z522" s="180">
        <v>7.4555370224549768E-4</v>
      </c>
      <c r="AA522" s="180">
        <v>1.0278859564771125E-5</v>
      </c>
      <c r="AB522" s="180">
        <v>6.9733723903610885E-4</v>
      </c>
      <c r="AC522" s="180">
        <v>2.3535220881827705E-4</v>
      </c>
      <c r="AD522" s="180">
        <v>4.3562344006968111E-4</v>
      </c>
      <c r="AE522" s="180">
        <v>3.2120511051046262E-4</v>
      </c>
      <c r="AF522" s="180">
        <v>2.0420562729853461E-3</v>
      </c>
      <c r="AG522" s="180">
        <v>3.5270826394507459E-4</v>
      </c>
      <c r="AH522" s="180">
        <v>4.5696587310639262E-4</v>
      </c>
      <c r="AI522" s="181">
        <v>6.4524949399266879E-4</v>
      </c>
    </row>
    <row r="523" spans="2:35" x14ac:dyDescent="0.25">
      <c r="B523" s="163" t="str">
        <f>'Market Data'!$B$43</f>
        <v>V</v>
      </c>
      <c r="C523" s="160">
        <f>Statistics!$G$45</f>
        <v>1.7947618128132319E-2</v>
      </c>
      <c r="E523" s="168">
        <v>0</v>
      </c>
      <c r="F523" s="85" t="str">
        <v>V</v>
      </c>
      <c r="G523" s="179">
        <v>1.5697677901095443E-3</v>
      </c>
      <c r="H523" s="180">
        <v>2.1563583115517065E-3</v>
      </c>
      <c r="I523" s="180">
        <v>2.2475777063178958E-3</v>
      </c>
      <c r="J523" s="180">
        <v>1.4624027030174886E-3</v>
      </c>
      <c r="K523" s="180">
        <v>2.8598074505702059E-3</v>
      </c>
      <c r="L523" s="180">
        <v>9.2897312946466114E-4</v>
      </c>
      <c r="M523" s="180">
        <v>3.0677861856869904E-3</v>
      </c>
      <c r="N523" s="180">
        <v>2.2204011828610088E-3</v>
      </c>
      <c r="O523" s="180">
        <v>1.7646874198991678E-3</v>
      </c>
      <c r="P523" s="180">
        <v>2.0541307067505868E-3</v>
      </c>
      <c r="Q523" s="180">
        <v>1.2055891827737501E-3</v>
      </c>
      <c r="R523" s="180">
        <v>1.2306885914741903E-3</v>
      </c>
      <c r="S523" s="180">
        <v>1.8678530672680304E-3</v>
      </c>
      <c r="T523" s="180">
        <v>8.2747273857601913E-4</v>
      </c>
      <c r="U523" s="180">
        <v>1.9463933682734615E-3</v>
      </c>
      <c r="V523" s="180">
        <v>9.4999344105865064E-4</v>
      </c>
      <c r="W523" s="180">
        <v>1.0020182531469391E-3</v>
      </c>
      <c r="X523" s="180">
        <v>1.59984129324471E-3</v>
      </c>
      <c r="Y523" s="180">
        <v>1.1984054366898813E-3</v>
      </c>
      <c r="Z523" s="180">
        <v>1.5294825998788863E-3</v>
      </c>
      <c r="AA523" s="180">
        <v>1.2162400994020978E-3</v>
      </c>
      <c r="AB523" s="180">
        <v>1.6142857385330945E-3</v>
      </c>
      <c r="AC523" s="180">
        <v>9.2172519542926422E-4</v>
      </c>
      <c r="AD523" s="180">
        <v>6.7255745531353401E-4</v>
      </c>
      <c r="AE523" s="180">
        <v>1.6964262161404888E-3</v>
      </c>
      <c r="AF523" s="180">
        <v>3.5270826394507459E-4</v>
      </c>
      <c r="AG523" s="180">
        <v>3.6944718915923875E-3</v>
      </c>
      <c r="AH523" s="180">
        <v>2.1280259291490004E-4</v>
      </c>
      <c r="AI523" s="181">
        <v>9.4116112769672574E-4</v>
      </c>
    </row>
    <row r="524" spans="2:35" x14ac:dyDescent="0.25">
      <c r="B524" s="163" t="str">
        <f>'Market Data'!$B$44</f>
        <v>WMT</v>
      </c>
      <c r="C524" s="160">
        <f>Statistics!$G$46</f>
        <v>1.8437214178450567E-3</v>
      </c>
      <c r="E524" s="168">
        <v>7.9491103504646651E-2</v>
      </c>
      <c r="F524" s="85" t="str">
        <v>WMT</v>
      </c>
      <c r="G524" s="179">
        <v>5.7975796375205426E-4</v>
      </c>
      <c r="H524" s="180">
        <v>2.6973274792062105E-5</v>
      </c>
      <c r="I524" s="180">
        <v>1.7979190170774528E-4</v>
      </c>
      <c r="J524" s="180">
        <v>-2.1581932882750213E-4</v>
      </c>
      <c r="K524" s="180">
        <v>3.2563207166723412E-4</v>
      </c>
      <c r="L524" s="180">
        <v>1.437380584121094E-4</v>
      </c>
      <c r="M524" s="180">
        <v>-2.3301122426120984E-5</v>
      </c>
      <c r="N524" s="180">
        <v>-1.1672694641114529E-4</v>
      </c>
      <c r="O524" s="180">
        <v>3.1986346053900631E-5</v>
      </c>
      <c r="P524" s="180">
        <v>-5.4295264980806504E-5</v>
      </c>
      <c r="Q524" s="180">
        <v>1.9815526434870993E-4</v>
      </c>
      <c r="R524" s="180">
        <v>3.7610030291999273E-4</v>
      </c>
      <c r="S524" s="180">
        <v>-1.8556188989019865E-5</v>
      </c>
      <c r="T524" s="180">
        <v>7.1470891411086447E-4</v>
      </c>
      <c r="U524" s="180">
        <v>7.503242005510376E-5</v>
      </c>
      <c r="V524" s="180">
        <v>6.4703627119224946E-4</v>
      </c>
      <c r="W524" s="180">
        <v>4.237060092283065E-5</v>
      </c>
      <c r="X524" s="180">
        <v>4.5051539698961655E-4</v>
      </c>
      <c r="Y524" s="180">
        <v>4.389896882024129E-4</v>
      </c>
      <c r="Z524" s="180">
        <v>-3.4970831020819231E-4</v>
      </c>
      <c r="AA524" s="180">
        <v>1.3266739677968515E-5</v>
      </c>
      <c r="AB524" s="180">
        <v>6.1756439897017149E-4</v>
      </c>
      <c r="AC524" s="180">
        <v>7.2490049760504278E-4</v>
      </c>
      <c r="AD524" s="180">
        <v>2.5472583633253342E-4</v>
      </c>
      <c r="AE524" s="180">
        <v>2.8814451862251201E-4</v>
      </c>
      <c r="AF524" s="180">
        <v>4.5696587310639262E-4</v>
      </c>
      <c r="AG524" s="180">
        <v>2.1280259291490004E-4</v>
      </c>
      <c r="AH524" s="180">
        <v>1.9253008332035728E-3</v>
      </c>
      <c r="AI524" s="181">
        <v>9.9417778748729687E-5</v>
      </c>
    </row>
    <row r="525" spans="2:35" x14ac:dyDescent="0.25">
      <c r="B525" s="164" t="str">
        <f>'Market Data'!$B$45</f>
        <v>XOM</v>
      </c>
      <c r="C525" s="165">
        <f>Statistics!$G$47</f>
        <v>1.7101166353118678E-3</v>
      </c>
      <c r="E525" s="169">
        <v>0</v>
      </c>
      <c r="F525" s="86" t="str">
        <v>XOM</v>
      </c>
      <c r="G525" s="179">
        <v>8.3126780280069973E-4</v>
      </c>
      <c r="H525" s="180">
        <v>9.0240454872836753E-4</v>
      </c>
      <c r="I525" s="180">
        <v>5.5785917505375118E-4</v>
      </c>
      <c r="J525" s="180">
        <v>1.368945659107327E-3</v>
      </c>
      <c r="K525" s="180">
        <v>1.3701802479257339E-3</v>
      </c>
      <c r="L525" s="180">
        <v>1.9286286807754067E-3</v>
      </c>
      <c r="M525" s="180">
        <v>2.1182301102402332E-3</v>
      </c>
      <c r="N525" s="180">
        <v>1.3292278052638991E-3</v>
      </c>
      <c r="O525" s="180">
        <v>1.6264073394302158E-3</v>
      </c>
      <c r="P525" s="180">
        <v>1.4387650786059658E-3</v>
      </c>
      <c r="Q525" s="180">
        <v>5.7016164369997474E-4</v>
      </c>
      <c r="R525" s="180">
        <v>1.0970123689928199E-3</v>
      </c>
      <c r="S525" s="180">
        <v>1.0791409093812321E-3</v>
      </c>
      <c r="T525" s="180">
        <v>7.4627799983375924E-4</v>
      </c>
      <c r="U525" s="180">
        <v>1.3958094738143344E-3</v>
      </c>
      <c r="V525" s="180">
        <v>5.1805651820066112E-4</v>
      </c>
      <c r="W525" s="180">
        <v>6.6389606634421081E-4</v>
      </c>
      <c r="X525" s="180">
        <v>1.2697174541958882E-3</v>
      </c>
      <c r="Y525" s="180">
        <v>5.8214330295854532E-4</v>
      </c>
      <c r="Z525" s="180">
        <v>1.2219742467918569E-3</v>
      </c>
      <c r="AA525" s="180">
        <v>-1.9722713194093662E-4</v>
      </c>
      <c r="AB525" s="180">
        <v>8.1835922434987771E-4</v>
      </c>
      <c r="AC525" s="180">
        <v>6.1092932367000222E-4</v>
      </c>
      <c r="AD525" s="180">
        <v>7.6037739981613735E-4</v>
      </c>
      <c r="AE525" s="180">
        <v>1.3259012920786922E-3</v>
      </c>
      <c r="AF525" s="180">
        <v>6.4524949399266879E-4</v>
      </c>
      <c r="AG525" s="180">
        <v>9.4116112769672574E-4</v>
      </c>
      <c r="AH525" s="180">
        <v>9.9417778748729687E-5</v>
      </c>
      <c r="AI525" s="181">
        <v>1.845802781732033E-3</v>
      </c>
    </row>
    <row r="526" spans="2:35" x14ac:dyDescent="0.25">
      <c r="B526" s="3"/>
      <c r="C526" s="3"/>
      <c r="D526" s="3"/>
      <c r="E526" s="182">
        <f>SUM(E497:E525)</f>
        <v>0.99999999999999989</v>
      </c>
      <c r="F526" s="3"/>
      <c r="G526" s="184">
        <f>_xll.SumProduct2(TR10_PORTFOLIO_WEIGHTS,G497:G525)*G495</f>
        <v>1.3185171377637857E-5</v>
      </c>
      <c r="H526" s="185">
        <f>_xll.SumProduct2(TR10_PORTFOLIO_WEIGHTS,H497:H525)*H495</f>
        <v>0</v>
      </c>
      <c r="I526" s="185">
        <f>_xll.SumProduct2(TR10_PORTFOLIO_WEIGHTS,I497:I525)*I495</f>
        <v>0</v>
      </c>
      <c r="J526" s="185">
        <f>_xll.SumProduct2(TR10_PORTFOLIO_WEIGHTS,J497:J525)*J495</f>
        <v>0</v>
      </c>
      <c r="K526" s="185">
        <f>_xll.SumProduct2(TR10_PORTFOLIO_WEIGHTS,K497:K525)*K495</f>
        <v>0</v>
      </c>
      <c r="L526" s="185">
        <f>_xll.SumProduct2(TR10_PORTFOLIO_WEIGHTS,L497:L525)*L495</f>
        <v>0</v>
      </c>
      <c r="M526" s="185">
        <f>_xll.SumProduct2(TR10_PORTFOLIO_WEIGHTS,M497:M525)*M495</f>
        <v>0</v>
      </c>
      <c r="N526" s="185">
        <f>_xll.SumProduct2(TR10_PORTFOLIO_WEIGHTS,N497:N525)*N495</f>
        <v>0</v>
      </c>
      <c r="O526" s="185">
        <f>_xll.SumProduct2(TR10_PORTFOLIO_WEIGHTS,O497:O525)*O495</f>
        <v>0</v>
      </c>
      <c r="P526" s="185">
        <f>_xll.SumProduct2(TR10_PORTFOLIO_WEIGHTS,P497:P525)*P495</f>
        <v>0</v>
      </c>
      <c r="Q526" s="185">
        <f>_xll.SumProduct2(TR10_PORTFOLIO_WEIGHTS,Q497:Q525)*Q495</f>
        <v>7.1969469330521049E-5</v>
      </c>
      <c r="R526" s="185">
        <f>_xll.SumProduct2(TR10_PORTFOLIO_WEIGHTS,R497:R525)*R495</f>
        <v>0</v>
      </c>
      <c r="S526" s="185">
        <f>_xll.SumProduct2(TR10_PORTFOLIO_WEIGHTS,S497:S525)*S495</f>
        <v>0</v>
      </c>
      <c r="T526" s="185">
        <f>_xll.SumProduct2(TR10_PORTFOLIO_WEIGHTS,T497:T525)*T495</f>
        <v>4.6809436129974683E-5</v>
      </c>
      <c r="U526" s="185">
        <f>_xll.SumProduct2(TR10_PORTFOLIO_WEIGHTS,U497:U525)*U495</f>
        <v>0</v>
      </c>
      <c r="V526" s="185">
        <f>_xll.SumProduct2(TR10_PORTFOLIO_WEIGHTS,V497:V525)*V495</f>
        <v>0</v>
      </c>
      <c r="W526" s="185">
        <f>_xll.SumProduct2(TR10_PORTFOLIO_WEIGHTS,W497:W525)*W495</f>
        <v>2.2709917721446771E-5</v>
      </c>
      <c r="X526" s="185">
        <f>_xll.SumProduct2(TR10_PORTFOLIO_WEIGHTS,X497:X525)*X495</f>
        <v>0</v>
      </c>
      <c r="Y526" s="185">
        <f>_xll.SumProduct2(TR10_PORTFOLIO_WEIGHTS,Y497:Y525)*Y495</f>
        <v>0</v>
      </c>
      <c r="Z526" s="185">
        <f>_xll.SumProduct2(TR10_PORTFOLIO_WEIGHTS,Z497:Z525)*Z495</f>
        <v>3.9939697102522203E-5</v>
      </c>
      <c r="AA526" s="185">
        <f>_xll.SumProduct2(TR10_PORTFOLIO_WEIGHTS,AA497:AA525)*AA495</f>
        <v>1.1404653921869716E-4</v>
      </c>
      <c r="AB526" s="185">
        <f>_xll.SumProduct2(TR10_PORTFOLIO_WEIGHTS,AB497:AB525)*AB495</f>
        <v>0</v>
      </c>
      <c r="AC526" s="185">
        <f>_xll.SumProduct2(TR10_PORTFOLIO_WEIGHTS,AC497:AC525)*AC495</f>
        <v>3.7986437192667335E-5</v>
      </c>
      <c r="AD526" s="185">
        <f>_xll.SumProduct2(TR10_PORTFOLIO_WEIGHTS,AD497:AD525)*AD495</f>
        <v>2.8713411004100076E-4</v>
      </c>
      <c r="AE526" s="185">
        <f>_xll.SumProduct2(TR10_PORTFOLIO_WEIGHTS,AE497:AE525)*AE495</f>
        <v>0</v>
      </c>
      <c r="AF526" s="185">
        <f>_xll.SumProduct2(TR10_PORTFOLIO_WEIGHTS,AF497:AF525)*AF495</f>
        <v>2.6292843577281232E-5</v>
      </c>
      <c r="AG526" s="185">
        <f>_xll.SumProduct2(TR10_PORTFOLIO_WEIGHTS,AG497:AG525)*AG495</f>
        <v>0</v>
      </c>
      <c r="AH526" s="185">
        <f>_xll.SumProduct2(TR10_PORTFOLIO_WEIGHTS,AH497:AH525)*AH495</f>
        <v>3.1132451926175484E-5</v>
      </c>
      <c r="AI526" s="189">
        <f>_xll.SumProduct2(TR10_PORTFOLIO_WEIGHTS,AI497:AI525)*AI495</f>
        <v>0</v>
      </c>
    </row>
    <row r="527" spans="2:35" x14ac:dyDescent="0.25">
      <c r="B527" s="3"/>
      <c r="C527" s="3"/>
      <c r="D527" s="3"/>
      <c r="E527" s="3"/>
      <c r="F527" s="3"/>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row>
    <row r="528" spans="2:35" ht="20.25" thickBot="1" x14ac:dyDescent="0.35">
      <c r="B528" s="153" t="str">
        <f>ROUND(TR11_PORTFOLIO_TARGET_RETURN * 100, LABEL_ROUNDING) &amp; "% Target Return Portfolio (TR11)"</f>
        <v>1.805% Target Return Portfolio (TR11)</v>
      </c>
      <c r="C528" s="153"/>
      <c r="D528" s="153"/>
      <c r="E528" s="154"/>
      <c r="F528" s="153"/>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155"/>
      <c r="AD528" s="155"/>
      <c r="AE528" s="155"/>
      <c r="AF528" s="155"/>
      <c r="AG528" s="155"/>
      <c r="AH528" s="155"/>
      <c r="AI528" s="155"/>
    </row>
    <row r="529" spans="2:35" ht="15.75" thickTop="1" x14ac:dyDescent="0.25">
      <c r="B529" s="156" t="s">
        <v>70</v>
      </c>
      <c r="C529" s="159">
        <f>TR11_PORTFOLIO_TARGET_RETURN</f>
        <v>1.8046177723605207E-2</v>
      </c>
    </row>
    <row r="530" spans="2:35" x14ac:dyDescent="0.25">
      <c r="B530" s="157" t="s">
        <v>60</v>
      </c>
      <c r="C530" s="160">
        <f>_xll.SumProduct2(C535:C563,E535:E563)-RISK_FREE_RATE</f>
        <v>1.8047177673916771E-2</v>
      </c>
    </row>
    <row r="531" spans="2:35" x14ac:dyDescent="0.25">
      <c r="B531" s="157" t="s">
        <v>62</v>
      </c>
      <c r="C531" s="160">
        <f>SQRT(SUM(G564:AI564))</f>
        <v>2.7733300714895551E-2</v>
      </c>
    </row>
    <row r="532" spans="2:35" x14ac:dyDescent="0.25">
      <c r="B532" s="158" t="s">
        <v>103</v>
      </c>
      <c r="C532" s="161" t="str">
        <f>_xll.TimeSeries.CovarianceMatrixCalculator.apply(COVARIANCE_MATRIX_CALCULATOR,'Efficient Frontier'!B535:B563,Statistics!$F$19:$F$47)</f>
        <v>»LabelledMatrix-16705291694770987820</v>
      </c>
      <c r="D532" t="s">
        <v>77</v>
      </c>
    </row>
    <row r="533" spans="2:35" x14ac:dyDescent="0.25">
      <c r="F533" s="111" t="s">
        <v>69</v>
      </c>
      <c r="G533" s="170">
        <f t="array" ref="G533:AI533">TRANSPOSE(E535:E563)</f>
        <v>2.5016529097606377E-2</v>
      </c>
      <c r="H533" s="171">
        <v>0</v>
      </c>
      <c r="I533" s="171">
        <v>0</v>
      </c>
      <c r="J533" s="171">
        <v>0</v>
      </c>
      <c r="K533" s="171">
        <v>0</v>
      </c>
      <c r="L533" s="171">
        <v>0</v>
      </c>
      <c r="M533" s="171">
        <v>0</v>
      </c>
      <c r="N533" s="171">
        <v>0</v>
      </c>
      <c r="O533" s="171">
        <v>0</v>
      </c>
      <c r="P533" s="171">
        <v>0</v>
      </c>
      <c r="Q533" s="171">
        <v>0.10285500054989156</v>
      </c>
      <c r="R533" s="171">
        <v>0</v>
      </c>
      <c r="S533" s="171">
        <v>0</v>
      </c>
      <c r="T533" s="171">
        <v>0.11779176814400634</v>
      </c>
      <c r="U533" s="171">
        <v>0</v>
      </c>
      <c r="V533" s="171">
        <v>0</v>
      </c>
      <c r="W533" s="171">
        <v>1.3564596210741686E-2</v>
      </c>
      <c r="X533" s="171">
        <v>0</v>
      </c>
      <c r="Y533" s="171">
        <v>0</v>
      </c>
      <c r="Z533" s="171">
        <v>6.8851084227156661E-2</v>
      </c>
      <c r="AA533" s="171">
        <v>0.17429086101099123</v>
      </c>
      <c r="AB533" s="171">
        <v>0</v>
      </c>
      <c r="AC533" s="171">
        <v>3.5334497441676542E-2</v>
      </c>
      <c r="AD533" s="171">
        <v>0.37862494021469456</v>
      </c>
      <c r="AE533" s="171">
        <v>0</v>
      </c>
      <c r="AF533" s="171">
        <v>2.9119456200546016E-2</v>
      </c>
      <c r="AG533" s="171">
        <v>0</v>
      </c>
      <c r="AH533" s="171">
        <v>5.4551266902689237E-2</v>
      </c>
      <c r="AI533" s="172">
        <v>0</v>
      </c>
    </row>
    <row r="534" spans="2:35" x14ac:dyDescent="0.25">
      <c r="C534" s="111" t="s">
        <v>63</v>
      </c>
      <c r="E534" s="89" t="s">
        <v>69</v>
      </c>
      <c r="F534" s="166" t="str">
        <f t="array" ref="F534:AI563">_xll.Matrix.ExpandAsArray(C532)</f>
        <v/>
      </c>
      <c r="G534" s="173" t="str">
        <v>AAPL</v>
      </c>
      <c r="H534" s="174" t="str">
        <v>AXP</v>
      </c>
      <c r="I534" s="174" t="str">
        <v>BA</v>
      </c>
      <c r="J534" s="174" t="str">
        <v>CAT</v>
      </c>
      <c r="K534" s="174" t="str">
        <v>CSCO</v>
      </c>
      <c r="L534" s="174" t="str">
        <v>CVX</v>
      </c>
      <c r="M534" s="174" t="str">
        <v>DD</v>
      </c>
      <c r="N534" s="174" t="str">
        <v>DIS</v>
      </c>
      <c r="O534" s="174" t="str">
        <v>GE</v>
      </c>
      <c r="P534" s="174" t="str">
        <v>GS</v>
      </c>
      <c r="Q534" s="174" t="str">
        <v>HD</v>
      </c>
      <c r="R534" s="174" t="str">
        <v>IBM</v>
      </c>
      <c r="S534" s="174" t="str">
        <v>INTC</v>
      </c>
      <c r="T534" s="174" t="str">
        <v>JNJ</v>
      </c>
      <c r="U534" s="174" t="str">
        <v>JPM</v>
      </c>
      <c r="V534" s="174" t="str">
        <v>KO</v>
      </c>
      <c r="W534" s="174" t="str">
        <v>MCD</v>
      </c>
      <c r="X534" s="174" t="str">
        <v>MMM</v>
      </c>
      <c r="Y534" s="174" t="str">
        <v>MRK</v>
      </c>
      <c r="Z534" s="174" t="str">
        <v>MSFT</v>
      </c>
      <c r="AA534" s="174" t="str">
        <v>NKE</v>
      </c>
      <c r="AB534" s="174" t="str">
        <v>PFE</v>
      </c>
      <c r="AC534" s="174" t="str">
        <v>PG</v>
      </c>
      <c r="AD534" s="174" t="str">
        <v>UNH</v>
      </c>
      <c r="AE534" s="174" t="str">
        <v>UTX</v>
      </c>
      <c r="AF534" s="174" t="str">
        <v>VZ</v>
      </c>
      <c r="AG534" s="174" t="str">
        <v>V</v>
      </c>
      <c r="AH534" s="174" t="str">
        <v>WMT</v>
      </c>
      <c r="AI534" s="175" t="str">
        <v>XOM</v>
      </c>
    </row>
    <row r="535" spans="2:35" x14ac:dyDescent="0.25">
      <c r="B535" s="162" t="str">
        <f>'Market Data'!$B$17</f>
        <v>AAPL</v>
      </c>
      <c r="C535" s="159">
        <f>Statistics!$G$19</f>
        <v>2.1230184800142136E-2</v>
      </c>
      <c r="E535" s="167">
        <v>2.5016529097606377E-2</v>
      </c>
      <c r="F535" s="84" t="str">
        <v>AAPL</v>
      </c>
      <c r="G535" s="176">
        <v>4.5162973293162668E-3</v>
      </c>
      <c r="H535" s="177">
        <v>1.6284380645241216E-3</v>
      </c>
      <c r="I535" s="177">
        <v>1.6201491796022521E-3</v>
      </c>
      <c r="J535" s="177">
        <v>1.5690359790962263E-3</v>
      </c>
      <c r="K535" s="177">
        <v>2.3505409053430782E-3</v>
      </c>
      <c r="L535" s="177">
        <v>1.1773098260505132E-3</v>
      </c>
      <c r="M535" s="177">
        <v>2.5889638042653502E-3</v>
      </c>
      <c r="N535" s="177">
        <v>1.366655807124157E-3</v>
      </c>
      <c r="O535" s="177">
        <v>1.5698375611055285E-3</v>
      </c>
      <c r="P535" s="177">
        <v>1.8109156333145874E-3</v>
      </c>
      <c r="Q535" s="177">
        <v>9.8639311096076088E-4</v>
      </c>
      <c r="R535" s="177">
        <v>1.7737023799007877E-3</v>
      </c>
      <c r="S535" s="177">
        <v>1.6293191413582805E-3</v>
      </c>
      <c r="T535" s="177">
        <v>8.2631268301744008E-4</v>
      </c>
      <c r="U535" s="177">
        <v>1.2529926248616137E-3</v>
      </c>
      <c r="V535" s="177">
        <v>9.6129190129553134E-4</v>
      </c>
      <c r="W535" s="177">
        <v>4.3723596630614248E-4</v>
      </c>
      <c r="X535" s="177">
        <v>1.6042263123932821E-3</v>
      </c>
      <c r="Y535" s="177">
        <v>6.6280896407091964E-4</v>
      </c>
      <c r="Z535" s="177">
        <v>1.7656054736670385E-3</v>
      </c>
      <c r="AA535" s="177">
        <v>7.4054258425286133E-4</v>
      </c>
      <c r="AB535" s="177">
        <v>1.105136574328315E-3</v>
      </c>
      <c r="AC535" s="177">
        <v>1.0336127768185608E-3</v>
      </c>
      <c r="AD535" s="177">
        <v>5.5673881663560775E-4</v>
      </c>
      <c r="AE535" s="177">
        <v>1.2367738317379871E-3</v>
      </c>
      <c r="AF535" s="177">
        <v>1.8457278448214234E-4</v>
      </c>
      <c r="AG535" s="177">
        <v>1.5697677901095443E-3</v>
      </c>
      <c r="AH535" s="177">
        <v>5.7975796375205426E-4</v>
      </c>
      <c r="AI535" s="178">
        <v>8.3126780280069973E-4</v>
      </c>
    </row>
    <row r="536" spans="2:35" x14ac:dyDescent="0.25">
      <c r="B536" s="163" t="str">
        <f>'Market Data'!$B$18</f>
        <v>AXP</v>
      </c>
      <c r="C536" s="160">
        <f>Statistics!$G$20</f>
        <v>6.4918343965214677E-3</v>
      </c>
      <c r="E536" s="168">
        <v>0</v>
      </c>
      <c r="F536" s="85" t="str">
        <v>AXP</v>
      </c>
      <c r="G536" s="179">
        <v>1.6284380645241216E-3</v>
      </c>
      <c r="H536" s="180">
        <v>4.0660324753009668E-3</v>
      </c>
      <c r="I536" s="180">
        <v>2.3214948032735548E-3</v>
      </c>
      <c r="J536" s="180">
        <v>2.4672804057197504E-3</v>
      </c>
      <c r="K536" s="180">
        <v>2.2861035048804129E-3</v>
      </c>
      <c r="L536" s="180">
        <v>1.4106472819975181E-3</v>
      </c>
      <c r="M536" s="180">
        <v>3.0070268955997704E-3</v>
      </c>
      <c r="N536" s="180">
        <v>1.9718583562846406E-3</v>
      </c>
      <c r="O536" s="180">
        <v>1.6460552176854309E-3</v>
      </c>
      <c r="P536" s="180">
        <v>3.1197862990926528E-3</v>
      </c>
      <c r="Q536" s="180">
        <v>1.285962047454306E-3</v>
      </c>
      <c r="R536" s="180">
        <v>1.960684724858895E-3</v>
      </c>
      <c r="S536" s="180">
        <v>2.0715314739138896E-3</v>
      </c>
      <c r="T536" s="180">
        <v>7.3945969222275051E-4</v>
      </c>
      <c r="U536" s="180">
        <v>2.7840355446374721E-3</v>
      </c>
      <c r="V536" s="180">
        <v>5.6369017954212687E-4</v>
      </c>
      <c r="W536" s="180">
        <v>5.9016175595858627E-4</v>
      </c>
      <c r="X536" s="180">
        <v>1.3680882736390085E-3</v>
      </c>
      <c r="Y536" s="180">
        <v>9.5675499919051471E-4</v>
      </c>
      <c r="Z536" s="180">
        <v>1.7453927826798744E-3</v>
      </c>
      <c r="AA536" s="180">
        <v>9.1418204127611028E-4</v>
      </c>
      <c r="AB536" s="180">
        <v>1.0081234358528435E-3</v>
      </c>
      <c r="AC536" s="180">
        <v>4.150551569421239E-4</v>
      </c>
      <c r="AD536" s="180">
        <v>9.035040942327959E-4</v>
      </c>
      <c r="AE536" s="180">
        <v>1.9679940702890687E-3</v>
      </c>
      <c r="AF536" s="180">
        <v>-7.7366109832012643E-5</v>
      </c>
      <c r="AG536" s="180">
        <v>2.1563583115517065E-3</v>
      </c>
      <c r="AH536" s="180">
        <v>2.6973274792062105E-5</v>
      </c>
      <c r="AI536" s="181">
        <v>9.0240454872836753E-4</v>
      </c>
    </row>
    <row r="537" spans="2:35" x14ac:dyDescent="0.25">
      <c r="B537" s="163" t="str">
        <f>'Market Data'!$B$19</f>
        <v>BA</v>
      </c>
      <c r="C537" s="160">
        <f>Statistics!$G$21</f>
        <v>1.9250861766613322E-2</v>
      </c>
      <c r="E537" s="168">
        <v>0</v>
      </c>
      <c r="F537" s="85" t="str">
        <v>BA</v>
      </c>
      <c r="G537" s="179">
        <v>1.6201491796022521E-3</v>
      </c>
      <c r="H537" s="180">
        <v>2.3214948032735548E-3</v>
      </c>
      <c r="I537" s="180">
        <v>3.7402935775721971E-3</v>
      </c>
      <c r="J537" s="180">
        <v>1.6046317611050844E-3</v>
      </c>
      <c r="K537" s="180">
        <v>2.1240240973260023E-3</v>
      </c>
      <c r="L537" s="180">
        <v>1.3419066335272889E-3</v>
      </c>
      <c r="M537" s="180">
        <v>3.1629198402818382E-3</v>
      </c>
      <c r="N537" s="180">
        <v>2.193611301570318E-3</v>
      </c>
      <c r="O537" s="180">
        <v>1.7334051959416068E-3</v>
      </c>
      <c r="P537" s="180">
        <v>2.2391121271409182E-3</v>
      </c>
      <c r="Q537" s="180">
        <v>1.2911501083222776E-3</v>
      </c>
      <c r="R537" s="180">
        <v>1.1336433634722555E-3</v>
      </c>
      <c r="S537" s="180">
        <v>1.485647562986758E-3</v>
      </c>
      <c r="T537" s="180">
        <v>7.7470388279684329E-4</v>
      </c>
      <c r="U537" s="180">
        <v>1.8054441283061249E-3</v>
      </c>
      <c r="V537" s="180">
        <v>9.7196182882881919E-4</v>
      </c>
      <c r="W537" s="180">
        <v>1.004575731683145E-3</v>
      </c>
      <c r="X537" s="180">
        <v>1.220072170107771E-3</v>
      </c>
      <c r="Y537" s="180">
        <v>1.3506721993334096E-3</v>
      </c>
      <c r="Z537" s="180">
        <v>1.4618979219237266E-3</v>
      </c>
      <c r="AA537" s="180">
        <v>1.1825978430535619E-3</v>
      </c>
      <c r="AB537" s="180">
        <v>1.2950969606515986E-3</v>
      </c>
      <c r="AC537" s="180">
        <v>5.997217417536032E-4</v>
      </c>
      <c r="AD537" s="180">
        <v>6.5863568330466196E-4</v>
      </c>
      <c r="AE537" s="180">
        <v>1.846395156096473E-3</v>
      </c>
      <c r="AF537" s="180">
        <v>3.7914592931386057E-4</v>
      </c>
      <c r="AG537" s="180">
        <v>2.2475777063178958E-3</v>
      </c>
      <c r="AH537" s="180">
        <v>1.7979190170774528E-4</v>
      </c>
      <c r="AI537" s="181">
        <v>5.5785917505375118E-4</v>
      </c>
    </row>
    <row r="538" spans="2:35" x14ac:dyDescent="0.25">
      <c r="B538" s="163" t="str">
        <f>'Market Data'!$B$20</f>
        <v>CAT</v>
      </c>
      <c r="C538" s="160">
        <f>Statistics!$G$22</f>
        <v>6.3545919720494892E-3</v>
      </c>
      <c r="E538" s="168">
        <v>0</v>
      </c>
      <c r="F538" s="85" t="str">
        <v>CAT</v>
      </c>
      <c r="G538" s="179">
        <v>1.5690359790962263E-3</v>
      </c>
      <c r="H538" s="180">
        <v>2.4672804057197504E-3</v>
      </c>
      <c r="I538" s="180">
        <v>1.6046317611050844E-3</v>
      </c>
      <c r="J538" s="180">
        <v>4.5013491323716076E-3</v>
      </c>
      <c r="K538" s="180">
        <v>1.8532157140411887E-3</v>
      </c>
      <c r="L538" s="180">
        <v>2.2352946064681648E-3</v>
      </c>
      <c r="M538" s="180">
        <v>3.0429489894058951E-3</v>
      </c>
      <c r="N538" s="180">
        <v>1.6981712196612736E-3</v>
      </c>
      <c r="O538" s="180">
        <v>2.2046623152336968E-3</v>
      </c>
      <c r="P538" s="180">
        <v>2.3825247137119567E-3</v>
      </c>
      <c r="Q538" s="180">
        <v>1.0587514228509517E-3</v>
      </c>
      <c r="R538" s="180">
        <v>2.1554825858441308E-3</v>
      </c>
      <c r="S538" s="180">
        <v>2.3005603160952529E-3</v>
      </c>
      <c r="T538" s="180">
        <v>9.0633949973445221E-4</v>
      </c>
      <c r="U538" s="180">
        <v>2.011937601179676E-3</v>
      </c>
      <c r="V538" s="180">
        <v>6.586205973694774E-4</v>
      </c>
      <c r="W538" s="180">
        <v>1.2118483675212872E-3</v>
      </c>
      <c r="X538" s="180">
        <v>1.3778500117759705E-3</v>
      </c>
      <c r="Y538" s="180">
        <v>1.6454661341138513E-3</v>
      </c>
      <c r="Z538" s="180">
        <v>2.2842322526096018E-3</v>
      </c>
      <c r="AA538" s="180">
        <v>-1.1104731462091626E-4</v>
      </c>
      <c r="AB538" s="180">
        <v>7.9610645869862182E-4</v>
      </c>
      <c r="AC538" s="180">
        <v>4.9254664842985144E-4</v>
      </c>
      <c r="AD538" s="180">
        <v>7.8373416165496384E-4</v>
      </c>
      <c r="AE538" s="180">
        <v>2.1924453554447642E-3</v>
      </c>
      <c r="AF538" s="180">
        <v>6.8929109799853135E-4</v>
      </c>
      <c r="AG538" s="180">
        <v>1.4624027030174886E-3</v>
      </c>
      <c r="AH538" s="180">
        <v>-2.1581932882750213E-4</v>
      </c>
      <c r="AI538" s="181">
        <v>1.368945659107327E-3</v>
      </c>
    </row>
    <row r="539" spans="2:35" x14ac:dyDescent="0.25">
      <c r="B539" s="163" t="str">
        <f>'Market Data'!$B$21</f>
        <v>CSCO</v>
      </c>
      <c r="C539" s="160">
        <f>Statistics!$G$23</f>
        <v>1.4928779568119917E-2</v>
      </c>
      <c r="E539" s="168">
        <v>0</v>
      </c>
      <c r="F539" s="85" t="str">
        <v>CSCO</v>
      </c>
      <c r="G539" s="179">
        <v>2.3505409053430782E-3</v>
      </c>
      <c r="H539" s="180">
        <v>2.2861035048804129E-3</v>
      </c>
      <c r="I539" s="180">
        <v>2.1240240973260023E-3</v>
      </c>
      <c r="J539" s="180">
        <v>1.8532157140411887E-3</v>
      </c>
      <c r="K539" s="180">
        <v>4.2943797540477393E-3</v>
      </c>
      <c r="L539" s="180">
        <v>1.6495950515362169E-3</v>
      </c>
      <c r="M539" s="180">
        <v>3.7036865533827041E-3</v>
      </c>
      <c r="N539" s="180">
        <v>1.9090150380186609E-3</v>
      </c>
      <c r="O539" s="180">
        <v>2.0168425927536027E-3</v>
      </c>
      <c r="P539" s="180">
        <v>2.2177683830845976E-3</v>
      </c>
      <c r="Q539" s="180">
        <v>9.8504335267051509E-4</v>
      </c>
      <c r="R539" s="180">
        <v>2.2508292865696072E-3</v>
      </c>
      <c r="S539" s="180">
        <v>2.2625583672846289E-3</v>
      </c>
      <c r="T539" s="180">
        <v>1.1094225673998865E-3</v>
      </c>
      <c r="U539" s="180">
        <v>2.0831844183308271E-3</v>
      </c>
      <c r="V539" s="180">
        <v>1.0904984859812852E-3</v>
      </c>
      <c r="W539" s="180">
        <v>8.8656407550750189E-4</v>
      </c>
      <c r="X539" s="180">
        <v>1.6594658489014636E-3</v>
      </c>
      <c r="Y539" s="180">
        <v>1.2877752599161352E-3</v>
      </c>
      <c r="Z539" s="180">
        <v>2.1511833371391734E-3</v>
      </c>
      <c r="AA539" s="180">
        <v>7.2136303147440504E-4</v>
      </c>
      <c r="AB539" s="180">
        <v>1.5185012123350332E-3</v>
      </c>
      <c r="AC539" s="180">
        <v>1.0690588122897406E-3</v>
      </c>
      <c r="AD539" s="180">
        <v>1.0321561899434074E-3</v>
      </c>
      <c r="AE539" s="180">
        <v>2.0848208418056797E-3</v>
      </c>
      <c r="AF539" s="180">
        <v>5.9888719676582812E-4</v>
      </c>
      <c r="AG539" s="180">
        <v>2.8598074505702059E-3</v>
      </c>
      <c r="AH539" s="180">
        <v>3.2563207166723412E-4</v>
      </c>
      <c r="AI539" s="181">
        <v>1.3701802479257339E-3</v>
      </c>
    </row>
    <row r="540" spans="2:35" x14ac:dyDescent="0.25">
      <c r="B540" s="163" t="str">
        <f>'Market Data'!$B$22</f>
        <v>CVX</v>
      </c>
      <c r="C540" s="160">
        <f>Statistics!$G$24</f>
        <v>2.6845541907593424E-3</v>
      </c>
      <c r="E540" s="168">
        <v>0</v>
      </c>
      <c r="F540" s="85" t="str">
        <v>CVX</v>
      </c>
      <c r="G540" s="179">
        <v>1.1773098260505132E-3</v>
      </c>
      <c r="H540" s="180">
        <v>1.4106472819975181E-3</v>
      </c>
      <c r="I540" s="180">
        <v>1.3419066335272889E-3</v>
      </c>
      <c r="J540" s="180">
        <v>2.2352946064681648E-3</v>
      </c>
      <c r="K540" s="180">
        <v>1.6495950515362169E-3</v>
      </c>
      <c r="L540" s="180">
        <v>3.2764948408559465E-3</v>
      </c>
      <c r="M540" s="180">
        <v>2.8277959806832817E-3</v>
      </c>
      <c r="N540" s="180">
        <v>1.8200348202442435E-3</v>
      </c>
      <c r="O540" s="180">
        <v>2.0997855192430963E-3</v>
      </c>
      <c r="P540" s="180">
        <v>2.495859527554455E-3</v>
      </c>
      <c r="Q540" s="180">
        <v>7.9860489883547216E-4</v>
      </c>
      <c r="R540" s="180">
        <v>1.7099575851328929E-3</v>
      </c>
      <c r="S540" s="180">
        <v>1.762362573764028E-3</v>
      </c>
      <c r="T540" s="180">
        <v>1.0006982850928254E-3</v>
      </c>
      <c r="U540" s="180">
        <v>2.159640132817216E-3</v>
      </c>
      <c r="V540" s="180">
        <v>7.7350953916938299E-4</v>
      </c>
      <c r="W540" s="180">
        <v>1.2445101608031307E-3</v>
      </c>
      <c r="X540" s="180">
        <v>1.3396872809028706E-3</v>
      </c>
      <c r="Y540" s="180">
        <v>1.0548817345930506E-3</v>
      </c>
      <c r="Z540" s="180">
        <v>1.921523261676006E-3</v>
      </c>
      <c r="AA540" s="180">
        <v>-3.0145919518466895E-4</v>
      </c>
      <c r="AB540" s="180">
        <v>1.0966581694716135E-3</v>
      </c>
      <c r="AC540" s="180">
        <v>8.4385070363078498E-4</v>
      </c>
      <c r="AD540" s="180">
        <v>8.9699068571536217E-4</v>
      </c>
      <c r="AE540" s="180">
        <v>1.7655731333339048E-3</v>
      </c>
      <c r="AF540" s="180">
        <v>7.5916190680994219E-4</v>
      </c>
      <c r="AG540" s="180">
        <v>9.2897312946466114E-4</v>
      </c>
      <c r="AH540" s="180">
        <v>1.437380584121094E-4</v>
      </c>
      <c r="AI540" s="181">
        <v>1.9286286807754067E-3</v>
      </c>
    </row>
    <row r="541" spans="2:35" x14ac:dyDescent="0.25">
      <c r="B541" s="163" t="str">
        <f>'Market Data'!$B$23</f>
        <v>DD</v>
      </c>
      <c r="C541" s="160">
        <f>Statistics!$G$25</f>
        <v>1.7349865519574785E-2</v>
      </c>
      <c r="E541" s="168">
        <v>0</v>
      </c>
      <c r="F541" s="85" t="str">
        <v>DD</v>
      </c>
      <c r="G541" s="179">
        <v>2.5889638042653502E-3</v>
      </c>
      <c r="H541" s="180">
        <v>3.0070268955997704E-3</v>
      </c>
      <c r="I541" s="180">
        <v>3.1629198402818382E-3</v>
      </c>
      <c r="J541" s="180">
        <v>3.0429489894058951E-3</v>
      </c>
      <c r="K541" s="180">
        <v>3.7036865533827041E-3</v>
      </c>
      <c r="L541" s="180">
        <v>2.8277959806832817E-3</v>
      </c>
      <c r="M541" s="180">
        <v>7.2090294001774871E-3</v>
      </c>
      <c r="N541" s="180">
        <v>3.2246456006375726E-3</v>
      </c>
      <c r="O541" s="180">
        <v>3.2408092269649337E-3</v>
      </c>
      <c r="P541" s="180">
        <v>3.1194558916632768E-3</v>
      </c>
      <c r="Q541" s="180">
        <v>2.0138415935295195E-3</v>
      </c>
      <c r="R541" s="180">
        <v>2.4056181433013803E-3</v>
      </c>
      <c r="S541" s="180">
        <v>2.9333641814070907E-3</v>
      </c>
      <c r="T541" s="180">
        <v>1.7073269232421356E-3</v>
      </c>
      <c r="U541" s="180">
        <v>2.9403656750226037E-3</v>
      </c>
      <c r="V541" s="180">
        <v>1.3828838928124146E-3</v>
      </c>
      <c r="W541" s="180">
        <v>1.5566945864839937E-3</v>
      </c>
      <c r="X541" s="180">
        <v>2.4333011024343194E-3</v>
      </c>
      <c r="Y541" s="180">
        <v>2.1034755337789339E-3</v>
      </c>
      <c r="Z541" s="180">
        <v>3.4647817866697963E-3</v>
      </c>
      <c r="AA541" s="180">
        <v>1.371253710214986E-3</v>
      </c>
      <c r="AB541" s="180">
        <v>2.2541080192876768E-3</v>
      </c>
      <c r="AC541" s="180">
        <v>1.1783213677355128E-3</v>
      </c>
      <c r="AD541" s="180">
        <v>1.3915459916452729E-3</v>
      </c>
      <c r="AE541" s="180">
        <v>3.4844332298577191E-3</v>
      </c>
      <c r="AF541" s="180">
        <v>9.2727826439514978E-4</v>
      </c>
      <c r="AG541" s="180">
        <v>3.0677861856869904E-3</v>
      </c>
      <c r="AH541" s="180">
        <v>-2.3301122426120984E-5</v>
      </c>
      <c r="AI541" s="181">
        <v>2.1182301102402332E-3</v>
      </c>
    </row>
    <row r="542" spans="2:35" x14ac:dyDescent="0.25">
      <c r="B542" s="163" t="str">
        <f>'Market Data'!$B$24</f>
        <v>DIS</v>
      </c>
      <c r="C542" s="160">
        <f>Statistics!$G$26</f>
        <v>1.7109009470709015E-2</v>
      </c>
      <c r="E542" s="168">
        <v>0</v>
      </c>
      <c r="F542" s="85" t="str">
        <v>DIS</v>
      </c>
      <c r="G542" s="179">
        <v>1.366655807124157E-3</v>
      </c>
      <c r="H542" s="180">
        <v>1.9718583562846406E-3</v>
      </c>
      <c r="I542" s="180">
        <v>2.193611301570318E-3</v>
      </c>
      <c r="J542" s="180">
        <v>1.6981712196612736E-3</v>
      </c>
      <c r="K542" s="180">
        <v>1.9090150380186609E-3</v>
      </c>
      <c r="L542" s="180">
        <v>1.8200348202442435E-3</v>
      </c>
      <c r="M542" s="180">
        <v>3.2246456006375726E-3</v>
      </c>
      <c r="N542" s="180">
        <v>3.2225637954133132E-3</v>
      </c>
      <c r="O542" s="180">
        <v>1.7980110839806059E-3</v>
      </c>
      <c r="P542" s="180">
        <v>2.5910429203650125E-3</v>
      </c>
      <c r="Q542" s="180">
        <v>1.4438567521116873E-3</v>
      </c>
      <c r="R542" s="180">
        <v>1.2533920720746924E-3</v>
      </c>
      <c r="S542" s="180">
        <v>1.4872846501875279E-3</v>
      </c>
      <c r="T542" s="180">
        <v>7.6090581351824873E-4</v>
      </c>
      <c r="U542" s="180">
        <v>2.3150492241015347E-3</v>
      </c>
      <c r="V542" s="180">
        <v>7.3157249166013263E-4</v>
      </c>
      <c r="W542" s="180">
        <v>1.0434476997331528E-3</v>
      </c>
      <c r="X542" s="180">
        <v>1.3935802423237448E-3</v>
      </c>
      <c r="Y542" s="180">
        <v>1.1180874248259017E-3</v>
      </c>
      <c r="Z542" s="180">
        <v>1.7514488094562146E-3</v>
      </c>
      <c r="AA542" s="180">
        <v>1.1713887062549742E-3</v>
      </c>
      <c r="AB542" s="180">
        <v>1.4909638464124207E-3</v>
      </c>
      <c r="AC542" s="180">
        <v>6.6920552953337459E-4</v>
      </c>
      <c r="AD542" s="180">
        <v>9.9320622386439117E-4</v>
      </c>
      <c r="AE542" s="180">
        <v>1.6618009644053405E-3</v>
      </c>
      <c r="AF542" s="180">
        <v>5.8624704841600517E-4</v>
      </c>
      <c r="AG542" s="180">
        <v>2.2204011828610088E-3</v>
      </c>
      <c r="AH542" s="180">
        <v>-1.1672694641114529E-4</v>
      </c>
      <c r="AI542" s="181">
        <v>1.3292278052638991E-3</v>
      </c>
    </row>
    <row r="543" spans="2:35" x14ac:dyDescent="0.25">
      <c r="B543" s="163" t="str">
        <f>'Market Data'!$B$25</f>
        <v>GE</v>
      </c>
      <c r="C543" s="160">
        <f>Statistics!$G$27</f>
        <v>9.2719197536449416E-3</v>
      </c>
      <c r="E543" s="168">
        <v>0</v>
      </c>
      <c r="F543" s="85" t="str">
        <v>GE</v>
      </c>
      <c r="G543" s="179">
        <v>1.5698375611055285E-3</v>
      </c>
      <c r="H543" s="180">
        <v>1.6460552176854309E-3</v>
      </c>
      <c r="I543" s="180">
        <v>1.7334051959416068E-3</v>
      </c>
      <c r="J543" s="180">
        <v>2.2046623152336968E-3</v>
      </c>
      <c r="K543" s="180">
        <v>2.0168425927536027E-3</v>
      </c>
      <c r="L543" s="180">
        <v>2.0997855192430963E-3</v>
      </c>
      <c r="M543" s="180">
        <v>3.2408092269649337E-3</v>
      </c>
      <c r="N543" s="180">
        <v>1.7980110839806059E-3</v>
      </c>
      <c r="O543" s="180">
        <v>2.8739818723832944E-3</v>
      </c>
      <c r="P543" s="180">
        <v>2.2255962061739098E-3</v>
      </c>
      <c r="Q543" s="180">
        <v>1.1779071347684854E-3</v>
      </c>
      <c r="R543" s="180">
        <v>1.4606469135339543E-3</v>
      </c>
      <c r="S543" s="180">
        <v>1.8413857882482649E-3</v>
      </c>
      <c r="T543" s="180">
        <v>1.1338883047798758E-3</v>
      </c>
      <c r="U543" s="180">
        <v>1.9825602222543746E-3</v>
      </c>
      <c r="V543" s="180">
        <v>1.0900315820250495E-3</v>
      </c>
      <c r="W543" s="180">
        <v>1.4080437366372094E-3</v>
      </c>
      <c r="X543" s="180">
        <v>1.6476299492810176E-3</v>
      </c>
      <c r="Y543" s="180">
        <v>7.4080885300837902E-4</v>
      </c>
      <c r="Z543" s="180">
        <v>2.1782812682115105E-3</v>
      </c>
      <c r="AA543" s="180">
        <v>6.8149888740689005E-4</v>
      </c>
      <c r="AB543" s="180">
        <v>1.1596920910434683E-3</v>
      </c>
      <c r="AC543" s="180">
        <v>8.669689440805547E-4</v>
      </c>
      <c r="AD543" s="180">
        <v>6.9406421327386882E-4</v>
      </c>
      <c r="AE543" s="180">
        <v>1.9210155408337607E-3</v>
      </c>
      <c r="AF543" s="180">
        <v>1.0256274934399997E-3</v>
      </c>
      <c r="AG543" s="180">
        <v>1.7646874198991678E-3</v>
      </c>
      <c r="AH543" s="180">
        <v>3.1986346053900631E-5</v>
      </c>
      <c r="AI543" s="181">
        <v>1.6264073394302158E-3</v>
      </c>
    </row>
    <row r="544" spans="2:35" x14ac:dyDescent="0.25">
      <c r="B544" s="163" t="str">
        <f>'Market Data'!$B$26</f>
        <v>GS</v>
      </c>
      <c r="C544" s="160">
        <f>Statistics!$G$28</f>
        <v>1.2775975133106521E-2</v>
      </c>
      <c r="E544" s="168">
        <v>0</v>
      </c>
      <c r="F544" s="85" t="str">
        <v>GS</v>
      </c>
      <c r="G544" s="179">
        <v>1.8109156333145874E-3</v>
      </c>
      <c r="H544" s="180">
        <v>3.1197862990926528E-3</v>
      </c>
      <c r="I544" s="180">
        <v>2.2391121271409182E-3</v>
      </c>
      <c r="J544" s="180">
        <v>2.3825247137119567E-3</v>
      </c>
      <c r="K544" s="180">
        <v>2.2177683830845976E-3</v>
      </c>
      <c r="L544" s="180">
        <v>2.495859527554455E-3</v>
      </c>
      <c r="M544" s="180">
        <v>3.1194558916632768E-3</v>
      </c>
      <c r="N544" s="180">
        <v>2.5910429203650125E-3</v>
      </c>
      <c r="O544" s="180">
        <v>2.2255962061739098E-3</v>
      </c>
      <c r="P544" s="180">
        <v>4.8815099105356504E-3</v>
      </c>
      <c r="Q544" s="180">
        <v>1.5442152510598698E-3</v>
      </c>
      <c r="R544" s="180">
        <v>2.2308798805711167E-3</v>
      </c>
      <c r="S544" s="180">
        <v>1.7997270101458302E-3</v>
      </c>
      <c r="T544" s="180">
        <v>7.4857834611503948E-4</v>
      </c>
      <c r="U544" s="180">
        <v>3.8267678235899111E-3</v>
      </c>
      <c r="V544" s="180">
        <v>5.0884399749192373E-4</v>
      </c>
      <c r="W544" s="180">
        <v>1.1844149472533348E-3</v>
      </c>
      <c r="X544" s="180">
        <v>1.5580261625844892E-3</v>
      </c>
      <c r="Y544" s="180">
        <v>9.5059394038900442E-4</v>
      </c>
      <c r="Z544" s="180">
        <v>1.9881521509949444E-3</v>
      </c>
      <c r="AA544" s="180">
        <v>9.2810945195530823E-4</v>
      </c>
      <c r="AB544" s="180">
        <v>1.2974763649140325E-3</v>
      </c>
      <c r="AC544" s="180">
        <v>6.8796273406052837E-4</v>
      </c>
      <c r="AD544" s="180">
        <v>1.248419321363809E-3</v>
      </c>
      <c r="AE544" s="180">
        <v>2.1674424403236793E-3</v>
      </c>
      <c r="AF544" s="180">
        <v>3.7523862948950627E-4</v>
      </c>
      <c r="AG544" s="180">
        <v>2.0541307067505868E-3</v>
      </c>
      <c r="AH544" s="180">
        <v>-5.4295264980806504E-5</v>
      </c>
      <c r="AI544" s="181">
        <v>1.4387650786059658E-3</v>
      </c>
    </row>
    <row r="545" spans="2:35" x14ac:dyDescent="0.25">
      <c r="B545" s="163" t="str">
        <f>'Market Data'!$B$27</f>
        <v>HD</v>
      </c>
      <c r="C545" s="160">
        <f>Statistics!$G$29</f>
        <v>1.8352985528230569E-2</v>
      </c>
      <c r="E545" s="168">
        <v>0.10285500054989156</v>
      </c>
      <c r="F545" s="85" t="str">
        <v>HD</v>
      </c>
      <c r="G545" s="179">
        <v>9.8639311096076088E-4</v>
      </c>
      <c r="H545" s="180">
        <v>1.285962047454306E-3</v>
      </c>
      <c r="I545" s="180">
        <v>1.2911501083222776E-3</v>
      </c>
      <c r="J545" s="180">
        <v>1.0587514228509517E-3</v>
      </c>
      <c r="K545" s="180">
        <v>9.8504335267051509E-4</v>
      </c>
      <c r="L545" s="180">
        <v>7.9860489883547216E-4</v>
      </c>
      <c r="M545" s="180">
        <v>2.0138415935295195E-3</v>
      </c>
      <c r="N545" s="180">
        <v>1.4438567521116873E-3</v>
      </c>
      <c r="O545" s="180">
        <v>1.1779071347684854E-3</v>
      </c>
      <c r="P545" s="180">
        <v>1.5442152510598698E-3</v>
      </c>
      <c r="Q545" s="180">
        <v>1.8880219117441428E-3</v>
      </c>
      <c r="R545" s="180">
        <v>9.3173966010624539E-4</v>
      </c>
      <c r="S545" s="180">
        <v>9.2701062278089308E-4</v>
      </c>
      <c r="T545" s="180">
        <v>6.2481040103688149E-4</v>
      </c>
      <c r="U545" s="180">
        <v>1.4284505514434026E-3</v>
      </c>
      <c r="V545" s="180">
        <v>5.5799413673053339E-4</v>
      </c>
      <c r="W545" s="180">
        <v>7.381374461617429E-4</v>
      </c>
      <c r="X545" s="180">
        <v>1.0633975936011025E-3</v>
      </c>
      <c r="Y545" s="180">
        <v>7.161428946835201E-4</v>
      </c>
      <c r="Z545" s="180">
        <v>1.0017697174583111E-3</v>
      </c>
      <c r="AA545" s="180">
        <v>7.3578315539153108E-4</v>
      </c>
      <c r="AB545" s="180">
        <v>8.5234066580948517E-4</v>
      </c>
      <c r="AC545" s="180">
        <v>4.7474349038820928E-4</v>
      </c>
      <c r="AD545" s="180">
        <v>6.4915062582396636E-4</v>
      </c>
      <c r="AE545" s="180">
        <v>1.2386809813748902E-3</v>
      </c>
      <c r="AF545" s="180">
        <v>1.1189073531181803E-4</v>
      </c>
      <c r="AG545" s="180">
        <v>1.2055891827737501E-3</v>
      </c>
      <c r="AH545" s="180">
        <v>1.9815526434870993E-4</v>
      </c>
      <c r="AI545" s="181">
        <v>5.7016164369997474E-4</v>
      </c>
    </row>
    <row r="546" spans="2:35" x14ac:dyDescent="0.25">
      <c r="B546" s="163" t="str">
        <f>'Market Data'!$B$28</f>
        <v>IBM</v>
      </c>
      <c r="C546" s="160">
        <f>Statistics!$G$30</f>
        <v>-1.0805706759468385E-4</v>
      </c>
      <c r="E546" s="168">
        <v>0</v>
      </c>
      <c r="F546" s="85" t="str">
        <v>IBM</v>
      </c>
      <c r="G546" s="179">
        <v>1.7737023799007877E-3</v>
      </c>
      <c r="H546" s="180">
        <v>1.960684724858895E-3</v>
      </c>
      <c r="I546" s="180">
        <v>1.1336433634722555E-3</v>
      </c>
      <c r="J546" s="180">
        <v>2.1554825858441308E-3</v>
      </c>
      <c r="K546" s="180">
        <v>2.2508292865696072E-3</v>
      </c>
      <c r="L546" s="180">
        <v>1.7099575851328929E-3</v>
      </c>
      <c r="M546" s="180">
        <v>2.4056181433013803E-3</v>
      </c>
      <c r="N546" s="180">
        <v>1.2533920720746924E-3</v>
      </c>
      <c r="O546" s="180">
        <v>1.4606469135339543E-3</v>
      </c>
      <c r="P546" s="180">
        <v>2.2308798805711167E-3</v>
      </c>
      <c r="Q546" s="180">
        <v>9.3173966010624539E-4</v>
      </c>
      <c r="R546" s="180">
        <v>3.3622126456479009E-3</v>
      </c>
      <c r="S546" s="180">
        <v>1.4043690490920693E-3</v>
      </c>
      <c r="T546" s="180">
        <v>5.9347717242683358E-4</v>
      </c>
      <c r="U546" s="180">
        <v>2.0888390371824788E-3</v>
      </c>
      <c r="V546" s="180">
        <v>5.7019303114958723E-4</v>
      </c>
      <c r="W546" s="180">
        <v>5.4513263389601688E-4</v>
      </c>
      <c r="X546" s="180">
        <v>1.0275296737018624E-3</v>
      </c>
      <c r="Y546" s="180">
        <v>1.0097860441379664E-3</v>
      </c>
      <c r="Z546" s="180">
        <v>1.4353906099659559E-3</v>
      </c>
      <c r="AA546" s="180">
        <v>1.3757321359017424E-4</v>
      </c>
      <c r="AB546" s="180">
        <v>7.9545047293496068E-4</v>
      </c>
      <c r="AC546" s="180">
        <v>5.5361049131124631E-4</v>
      </c>
      <c r="AD546" s="180">
        <v>8.8298395118505178E-4</v>
      </c>
      <c r="AE546" s="180">
        <v>1.5169272523521361E-3</v>
      </c>
      <c r="AF546" s="180">
        <v>2.033685246020378E-4</v>
      </c>
      <c r="AG546" s="180">
        <v>1.2306885914741903E-3</v>
      </c>
      <c r="AH546" s="180">
        <v>3.7610030291999273E-4</v>
      </c>
      <c r="AI546" s="181">
        <v>1.0970123689928199E-3</v>
      </c>
    </row>
    <row r="547" spans="2:35" x14ac:dyDescent="0.25">
      <c r="B547" s="163" t="str">
        <f>'Market Data'!$B$29</f>
        <v>INTC</v>
      </c>
      <c r="C547" s="160">
        <f>Statistics!$G$31</f>
        <v>1.4825313209679855E-2</v>
      </c>
      <c r="E547" s="168">
        <v>0</v>
      </c>
      <c r="F547" s="85" t="str">
        <v>INTC</v>
      </c>
      <c r="G547" s="179">
        <v>1.6293191413582805E-3</v>
      </c>
      <c r="H547" s="180">
        <v>2.0715314739138896E-3</v>
      </c>
      <c r="I547" s="180">
        <v>1.485647562986758E-3</v>
      </c>
      <c r="J547" s="180">
        <v>2.3005603160952529E-3</v>
      </c>
      <c r="K547" s="180">
        <v>2.2625583672846289E-3</v>
      </c>
      <c r="L547" s="180">
        <v>1.762362573764028E-3</v>
      </c>
      <c r="M547" s="180">
        <v>2.9333641814070907E-3</v>
      </c>
      <c r="N547" s="180">
        <v>1.4872846501875279E-3</v>
      </c>
      <c r="O547" s="180">
        <v>1.8413857882482649E-3</v>
      </c>
      <c r="P547" s="180">
        <v>1.7997270101458302E-3</v>
      </c>
      <c r="Q547" s="180">
        <v>9.2701062278089308E-4</v>
      </c>
      <c r="R547" s="180">
        <v>1.4043690490920693E-3</v>
      </c>
      <c r="S547" s="180">
        <v>3.8953291630483993E-3</v>
      </c>
      <c r="T547" s="180">
        <v>8.7155825849789608E-4</v>
      </c>
      <c r="U547" s="180">
        <v>1.6338310266769979E-3</v>
      </c>
      <c r="V547" s="180">
        <v>1.1107691361801554E-3</v>
      </c>
      <c r="W547" s="180">
        <v>9.1762089354393737E-4</v>
      </c>
      <c r="X547" s="180">
        <v>1.3291856750406272E-3</v>
      </c>
      <c r="Y547" s="180">
        <v>1.2481991200788169E-3</v>
      </c>
      <c r="Z547" s="180">
        <v>2.824290151917595E-3</v>
      </c>
      <c r="AA547" s="180">
        <v>5.7515792739731505E-4</v>
      </c>
      <c r="AB547" s="180">
        <v>9.9184976149502301E-4</v>
      </c>
      <c r="AC547" s="180">
        <v>7.9168442412031782E-4</v>
      </c>
      <c r="AD547" s="180">
        <v>5.6633014876153942E-4</v>
      </c>
      <c r="AE547" s="180">
        <v>1.2132957377483657E-3</v>
      </c>
      <c r="AF547" s="180">
        <v>8.2166255763751334E-4</v>
      </c>
      <c r="AG547" s="180">
        <v>1.8678530672680304E-3</v>
      </c>
      <c r="AH547" s="180">
        <v>-1.8556188989019865E-5</v>
      </c>
      <c r="AI547" s="181">
        <v>1.0791409093812321E-3</v>
      </c>
    </row>
    <row r="548" spans="2:35" x14ac:dyDescent="0.25">
      <c r="B548" s="163" t="str">
        <f>'Market Data'!$B$30</f>
        <v>JNJ</v>
      </c>
      <c r="C548" s="160">
        <f>Statistics!$G$32</f>
        <v>1.2075919577819831E-2</v>
      </c>
      <c r="E548" s="168">
        <v>0.11779176814400634</v>
      </c>
      <c r="F548" s="85" t="str">
        <v>JNJ</v>
      </c>
      <c r="G548" s="179">
        <v>8.2631268301744008E-4</v>
      </c>
      <c r="H548" s="180">
        <v>7.3945969222275051E-4</v>
      </c>
      <c r="I548" s="180">
        <v>7.7470388279684329E-4</v>
      </c>
      <c r="J548" s="180">
        <v>9.0633949973445221E-4</v>
      </c>
      <c r="K548" s="180">
        <v>1.1094225673998865E-3</v>
      </c>
      <c r="L548" s="180">
        <v>1.0006982850928254E-3</v>
      </c>
      <c r="M548" s="180">
        <v>1.7073269232421356E-3</v>
      </c>
      <c r="N548" s="180">
        <v>7.6090581351824873E-4</v>
      </c>
      <c r="O548" s="180">
        <v>1.1338883047798758E-3</v>
      </c>
      <c r="P548" s="180">
        <v>7.4857834611503948E-4</v>
      </c>
      <c r="Q548" s="180">
        <v>6.2481040103688149E-4</v>
      </c>
      <c r="R548" s="180">
        <v>5.9347717242683358E-4</v>
      </c>
      <c r="S548" s="180">
        <v>8.7155825849789608E-4</v>
      </c>
      <c r="T548" s="180">
        <v>1.3437205064186324E-3</v>
      </c>
      <c r="U548" s="180">
        <v>9.2330996350035955E-4</v>
      </c>
      <c r="V548" s="180">
        <v>8.0248592661524116E-4</v>
      </c>
      <c r="W548" s="180">
        <v>7.2064842002941051E-4</v>
      </c>
      <c r="X548" s="180">
        <v>9.1647163555960687E-4</v>
      </c>
      <c r="Y548" s="180">
        <v>7.8932636294384688E-4</v>
      </c>
      <c r="Z548" s="180">
        <v>8.3950208317612799E-4</v>
      </c>
      <c r="AA548" s="180">
        <v>2.4076387457302071E-4</v>
      </c>
      <c r="AB548" s="180">
        <v>1.174922395291398E-3</v>
      </c>
      <c r="AC548" s="180">
        <v>7.8676359672877393E-4</v>
      </c>
      <c r="AD548" s="180">
        <v>4.4624886795118808E-4</v>
      </c>
      <c r="AE548" s="180">
        <v>1.0117367356107026E-3</v>
      </c>
      <c r="AF548" s="180">
        <v>7.3214708969514145E-4</v>
      </c>
      <c r="AG548" s="180">
        <v>8.2747273857601913E-4</v>
      </c>
      <c r="AH548" s="180">
        <v>7.1470891411086447E-4</v>
      </c>
      <c r="AI548" s="181">
        <v>7.4627799983375924E-4</v>
      </c>
    </row>
    <row r="549" spans="2:35" x14ac:dyDescent="0.25">
      <c r="B549" s="163" t="str">
        <f>'Market Data'!$B$31</f>
        <v>JPM</v>
      </c>
      <c r="C549" s="160">
        <f>Statistics!$G$33</f>
        <v>1.7183196749963128E-2</v>
      </c>
      <c r="E549" s="168">
        <v>0</v>
      </c>
      <c r="F549" s="85" t="str">
        <v>JPM</v>
      </c>
      <c r="G549" s="179">
        <v>1.2529926248616137E-3</v>
      </c>
      <c r="H549" s="180">
        <v>2.7840355446374721E-3</v>
      </c>
      <c r="I549" s="180">
        <v>1.8054441283061249E-3</v>
      </c>
      <c r="J549" s="180">
        <v>2.011937601179676E-3</v>
      </c>
      <c r="K549" s="180">
        <v>2.0831844183308271E-3</v>
      </c>
      <c r="L549" s="180">
        <v>2.159640132817216E-3</v>
      </c>
      <c r="M549" s="180">
        <v>2.9403656750226037E-3</v>
      </c>
      <c r="N549" s="180">
        <v>2.3150492241015347E-3</v>
      </c>
      <c r="O549" s="180">
        <v>1.9825602222543746E-3</v>
      </c>
      <c r="P549" s="180">
        <v>3.8267678235899111E-3</v>
      </c>
      <c r="Q549" s="180">
        <v>1.4284505514434026E-3</v>
      </c>
      <c r="R549" s="180">
        <v>2.0888390371824788E-3</v>
      </c>
      <c r="S549" s="180">
        <v>1.6338310266769979E-3</v>
      </c>
      <c r="T549" s="180">
        <v>9.2330996350035955E-4</v>
      </c>
      <c r="U549" s="180">
        <v>3.6504820104783621E-3</v>
      </c>
      <c r="V549" s="180">
        <v>6.292727988425526E-4</v>
      </c>
      <c r="W549" s="180">
        <v>1.135373183104091E-3</v>
      </c>
      <c r="X549" s="180">
        <v>1.3229022331511452E-3</v>
      </c>
      <c r="Y549" s="180">
        <v>9.9035410413519649E-4</v>
      </c>
      <c r="Z549" s="180">
        <v>2.1029083027690664E-3</v>
      </c>
      <c r="AA549" s="180">
        <v>6.7839144071882979E-4</v>
      </c>
      <c r="AB549" s="180">
        <v>1.3592270505613203E-3</v>
      </c>
      <c r="AC549" s="180">
        <v>7.2953612857905574E-4</v>
      </c>
      <c r="AD549" s="180">
        <v>1.2617149248905092E-3</v>
      </c>
      <c r="AE549" s="180">
        <v>1.8453743354725578E-3</v>
      </c>
      <c r="AF549" s="180">
        <v>3.9836144643633019E-4</v>
      </c>
      <c r="AG549" s="180">
        <v>1.9463933682734615E-3</v>
      </c>
      <c r="AH549" s="180">
        <v>7.503242005510376E-5</v>
      </c>
      <c r="AI549" s="181">
        <v>1.3958094738143344E-3</v>
      </c>
    </row>
    <row r="550" spans="2:35" x14ac:dyDescent="0.25">
      <c r="B550" s="163" t="str">
        <f>'Market Data'!$B$32</f>
        <v>KO</v>
      </c>
      <c r="C550" s="160">
        <f>Statistics!$G$34</f>
        <v>4.1810541872704362E-3</v>
      </c>
      <c r="E550" s="168">
        <v>0</v>
      </c>
      <c r="F550" s="85" t="str">
        <v>KO</v>
      </c>
      <c r="G550" s="179">
        <v>9.6129190129553134E-4</v>
      </c>
      <c r="H550" s="180">
        <v>5.6369017954212687E-4</v>
      </c>
      <c r="I550" s="180">
        <v>9.7196182882881919E-4</v>
      </c>
      <c r="J550" s="180">
        <v>6.586205973694774E-4</v>
      </c>
      <c r="K550" s="180">
        <v>1.0904984859812852E-3</v>
      </c>
      <c r="L550" s="180">
        <v>7.7350953916938299E-4</v>
      </c>
      <c r="M550" s="180">
        <v>1.3828838928124146E-3</v>
      </c>
      <c r="N550" s="180">
        <v>7.3157249166013263E-4</v>
      </c>
      <c r="O550" s="180">
        <v>1.0900315820250495E-3</v>
      </c>
      <c r="P550" s="180">
        <v>5.0884399749192373E-4</v>
      </c>
      <c r="Q550" s="180">
        <v>5.5799413673053339E-4</v>
      </c>
      <c r="R550" s="180">
        <v>5.7019303114958723E-4</v>
      </c>
      <c r="S550" s="180">
        <v>1.1107691361801554E-3</v>
      </c>
      <c r="T550" s="180">
        <v>8.0248592661524116E-4</v>
      </c>
      <c r="U550" s="180">
        <v>6.292727988425526E-4</v>
      </c>
      <c r="V550" s="180">
        <v>1.2210270669043683E-3</v>
      </c>
      <c r="W550" s="180">
        <v>7.9000312454904529E-4</v>
      </c>
      <c r="X550" s="180">
        <v>6.5400026561614926E-4</v>
      </c>
      <c r="Y550" s="180">
        <v>5.6925923112739025E-4</v>
      </c>
      <c r="Z550" s="180">
        <v>1.0711085481253278E-3</v>
      </c>
      <c r="AA550" s="180">
        <v>4.3589033448327737E-4</v>
      </c>
      <c r="AB550" s="180">
        <v>6.3614560547018231E-4</v>
      </c>
      <c r="AC550" s="180">
        <v>6.5740070509151668E-4</v>
      </c>
      <c r="AD550" s="180">
        <v>1.2737483924284157E-4</v>
      </c>
      <c r="AE550" s="180">
        <v>5.7087013169956707E-4</v>
      </c>
      <c r="AF550" s="180">
        <v>4.9096142938173941E-4</v>
      </c>
      <c r="AG550" s="180">
        <v>9.4999344105865064E-4</v>
      </c>
      <c r="AH550" s="180">
        <v>6.4703627119224946E-4</v>
      </c>
      <c r="AI550" s="181">
        <v>5.1805651820066112E-4</v>
      </c>
    </row>
    <row r="551" spans="2:35" x14ac:dyDescent="0.25">
      <c r="B551" s="163" t="str">
        <f>'Market Data'!$B$33</f>
        <v>MCD</v>
      </c>
      <c r="C551" s="160">
        <f>Statistics!$G$35</f>
        <v>8.998422120903465E-3</v>
      </c>
      <c r="E551" s="168">
        <v>1.3564596210741686E-2</v>
      </c>
      <c r="F551" s="85" t="str">
        <v>MCD</v>
      </c>
      <c r="G551" s="179">
        <v>4.3723596630614248E-4</v>
      </c>
      <c r="H551" s="180">
        <v>5.9016175595858627E-4</v>
      </c>
      <c r="I551" s="180">
        <v>1.004575731683145E-3</v>
      </c>
      <c r="J551" s="180">
        <v>1.2118483675212872E-3</v>
      </c>
      <c r="K551" s="180">
        <v>8.8656407550750189E-4</v>
      </c>
      <c r="L551" s="180">
        <v>1.2445101608031307E-3</v>
      </c>
      <c r="M551" s="180">
        <v>1.5566945864839937E-3</v>
      </c>
      <c r="N551" s="180">
        <v>1.0434476997331528E-3</v>
      </c>
      <c r="O551" s="180">
        <v>1.4080437366372094E-3</v>
      </c>
      <c r="P551" s="180">
        <v>1.1844149472533348E-3</v>
      </c>
      <c r="Q551" s="180">
        <v>7.381374461617429E-4</v>
      </c>
      <c r="R551" s="180">
        <v>5.4513263389601688E-4</v>
      </c>
      <c r="S551" s="180">
        <v>9.1762089354393737E-4</v>
      </c>
      <c r="T551" s="180">
        <v>7.2064842002941051E-4</v>
      </c>
      <c r="U551" s="180">
        <v>1.135373183104091E-3</v>
      </c>
      <c r="V551" s="180">
        <v>7.9000312454904529E-4</v>
      </c>
      <c r="W551" s="180">
        <v>1.7650690545216805E-3</v>
      </c>
      <c r="X551" s="180">
        <v>7.9590651205676567E-4</v>
      </c>
      <c r="Y551" s="180">
        <v>5.886623345512683E-4</v>
      </c>
      <c r="Z551" s="180">
        <v>1.2284698745461862E-3</v>
      </c>
      <c r="AA551" s="180">
        <v>4.3355644868225306E-4</v>
      </c>
      <c r="AB551" s="180">
        <v>9.4939047744066322E-4</v>
      </c>
      <c r="AC551" s="180">
        <v>4.0611550084338323E-4</v>
      </c>
      <c r="AD551" s="180">
        <v>3.5874031329227935E-4</v>
      </c>
      <c r="AE551" s="180">
        <v>8.7888532505727346E-4</v>
      </c>
      <c r="AF551" s="180">
        <v>6.7734327840461236E-4</v>
      </c>
      <c r="AG551" s="180">
        <v>1.0020182531469391E-3</v>
      </c>
      <c r="AH551" s="180">
        <v>4.237060092283065E-5</v>
      </c>
      <c r="AI551" s="181">
        <v>6.6389606634421081E-4</v>
      </c>
    </row>
    <row r="552" spans="2:35" x14ac:dyDescent="0.25">
      <c r="B552" s="163" t="str">
        <f>'Market Data'!$B$34</f>
        <v>MMM</v>
      </c>
      <c r="C552" s="160">
        <f>Statistics!$G$36</f>
        <v>1.5280500930100561E-2</v>
      </c>
      <c r="E552" s="168">
        <v>0</v>
      </c>
      <c r="F552" s="85" t="str">
        <v>MMM</v>
      </c>
      <c r="G552" s="179">
        <v>1.6042263123932821E-3</v>
      </c>
      <c r="H552" s="180">
        <v>1.3680882736390085E-3</v>
      </c>
      <c r="I552" s="180">
        <v>1.220072170107771E-3</v>
      </c>
      <c r="J552" s="180">
        <v>1.3778500117759705E-3</v>
      </c>
      <c r="K552" s="180">
        <v>1.6594658489014636E-3</v>
      </c>
      <c r="L552" s="180">
        <v>1.3396872809028706E-3</v>
      </c>
      <c r="M552" s="180">
        <v>2.4333011024343194E-3</v>
      </c>
      <c r="N552" s="180">
        <v>1.3935802423237448E-3</v>
      </c>
      <c r="O552" s="180">
        <v>1.6476299492810176E-3</v>
      </c>
      <c r="P552" s="180">
        <v>1.5580261625844892E-3</v>
      </c>
      <c r="Q552" s="180">
        <v>1.0633975936011025E-3</v>
      </c>
      <c r="R552" s="180">
        <v>1.0275296737018624E-3</v>
      </c>
      <c r="S552" s="180">
        <v>1.3291856750406272E-3</v>
      </c>
      <c r="T552" s="180">
        <v>9.1647163555960687E-4</v>
      </c>
      <c r="U552" s="180">
        <v>1.3229022331511452E-3</v>
      </c>
      <c r="V552" s="180">
        <v>6.5400026561614926E-4</v>
      </c>
      <c r="W552" s="180">
        <v>7.9590651205676567E-4</v>
      </c>
      <c r="X552" s="180">
        <v>1.9007159701372343E-3</v>
      </c>
      <c r="Y552" s="180">
        <v>9.3087542856500223E-4</v>
      </c>
      <c r="Z552" s="180">
        <v>9.5021437706372129E-4</v>
      </c>
      <c r="AA552" s="180">
        <v>7.5220949128439868E-4</v>
      </c>
      <c r="AB552" s="180">
        <v>1.1108584905280188E-3</v>
      </c>
      <c r="AC552" s="180">
        <v>7.8023777188204919E-4</v>
      </c>
      <c r="AD552" s="180">
        <v>9.8369986573183495E-4</v>
      </c>
      <c r="AE552" s="180">
        <v>1.8471574472775569E-3</v>
      </c>
      <c r="AF552" s="180">
        <v>5.9539589470078522E-4</v>
      </c>
      <c r="AG552" s="180">
        <v>1.59984129324471E-3</v>
      </c>
      <c r="AH552" s="180">
        <v>4.5051539698961655E-4</v>
      </c>
      <c r="AI552" s="181">
        <v>1.2697174541958882E-3</v>
      </c>
    </row>
    <row r="553" spans="2:35" x14ac:dyDescent="0.25">
      <c r="B553" s="163" t="str">
        <f>'Market Data'!$B$35</f>
        <v>MRK</v>
      </c>
      <c r="C553" s="160">
        <f>Statistics!$G$37</f>
        <v>1.1473476041634185E-2</v>
      </c>
      <c r="E553" s="168">
        <v>0</v>
      </c>
      <c r="F553" s="85" t="str">
        <v>MRK</v>
      </c>
      <c r="G553" s="179">
        <v>6.6280896407091964E-4</v>
      </c>
      <c r="H553" s="180">
        <v>9.5675499919051471E-4</v>
      </c>
      <c r="I553" s="180">
        <v>1.3506721993334096E-3</v>
      </c>
      <c r="J553" s="180">
        <v>1.6454661341138513E-3</v>
      </c>
      <c r="K553" s="180">
        <v>1.2877752599161352E-3</v>
      </c>
      <c r="L553" s="180">
        <v>1.0548817345930506E-3</v>
      </c>
      <c r="M553" s="180">
        <v>2.1034755337789339E-3</v>
      </c>
      <c r="N553" s="180">
        <v>1.1180874248259017E-3</v>
      </c>
      <c r="O553" s="180">
        <v>7.4080885300837902E-4</v>
      </c>
      <c r="P553" s="180">
        <v>9.5059394038900442E-4</v>
      </c>
      <c r="Q553" s="180">
        <v>7.161428946835201E-4</v>
      </c>
      <c r="R553" s="180">
        <v>1.0097860441379664E-3</v>
      </c>
      <c r="S553" s="180">
        <v>1.2481991200788169E-3</v>
      </c>
      <c r="T553" s="180">
        <v>7.8932636294384688E-4</v>
      </c>
      <c r="U553" s="180">
        <v>9.9035410413519649E-4</v>
      </c>
      <c r="V553" s="180">
        <v>5.6925923112739025E-4</v>
      </c>
      <c r="W553" s="180">
        <v>5.886623345512683E-4</v>
      </c>
      <c r="X553" s="180">
        <v>9.3087542856500223E-4</v>
      </c>
      <c r="Y553" s="180">
        <v>2.5431403633519077E-3</v>
      </c>
      <c r="Z553" s="180">
        <v>1.0039618395335291E-3</v>
      </c>
      <c r="AA553" s="180">
        <v>3.4083858597475385E-4</v>
      </c>
      <c r="AB553" s="180">
        <v>1.3412346285691251E-3</v>
      </c>
      <c r="AC553" s="180">
        <v>3.7529952314904947E-4</v>
      </c>
      <c r="AD553" s="180">
        <v>8.5985137540516086E-4</v>
      </c>
      <c r="AE553" s="180">
        <v>1.4646144344401168E-3</v>
      </c>
      <c r="AF553" s="180">
        <v>3.3006228708408361E-4</v>
      </c>
      <c r="AG553" s="180">
        <v>1.1984054366898813E-3</v>
      </c>
      <c r="AH553" s="180">
        <v>4.389896882024129E-4</v>
      </c>
      <c r="AI553" s="181">
        <v>5.8214330295854532E-4</v>
      </c>
    </row>
    <row r="554" spans="2:35" x14ac:dyDescent="0.25">
      <c r="B554" s="163" t="str">
        <f>'Market Data'!$B$36</f>
        <v>MSFT</v>
      </c>
      <c r="C554" s="160">
        <f>Statistics!$G$38</f>
        <v>2.1777833497491961E-2</v>
      </c>
      <c r="E554" s="168">
        <v>6.8851084227156661E-2</v>
      </c>
      <c r="F554" s="85" t="str">
        <v>MSFT</v>
      </c>
      <c r="G554" s="179">
        <v>1.7656054736670385E-3</v>
      </c>
      <c r="H554" s="180">
        <v>1.7453927826798744E-3</v>
      </c>
      <c r="I554" s="180">
        <v>1.4618979219237266E-3</v>
      </c>
      <c r="J554" s="180">
        <v>2.2842322526096018E-3</v>
      </c>
      <c r="K554" s="180">
        <v>2.1511833371391734E-3</v>
      </c>
      <c r="L554" s="180">
        <v>1.921523261676006E-3</v>
      </c>
      <c r="M554" s="180">
        <v>3.4647817866697963E-3</v>
      </c>
      <c r="N554" s="180">
        <v>1.7514488094562146E-3</v>
      </c>
      <c r="O554" s="180">
        <v>2.1782812682115105E-3</v>
      </c>
      <c r="P554" s="180">
        <v>1.9881521509949444E-3</v>
      </c>
      <c r="Q554" s="180">
        <v>1.0017697174583111E-3</v>
      </c>
      <c r="R554" s="180">
        <v>1.4353906099659559E-3</v>
      </c>
      <c r="S554" s="180">
        <v>2.824290151917595E-3</v>
      </c>
      <c r="T554" s="180">
        <v>8.3950208317612799E-4</v>
      </c>
      <c r="U554" s="180">
        <v>2.1029083027690664E-3</v>
      </c>
      <c r="V554" s="180">
        <v>1.0711085481253278E-3</v>
      </c>
      <c r="W554" s="180">
        <v>1.2284698745461862E-3</v>
      </c>
      <c r="X554" s="180">
        <v>9.5021437706372129E-4</v>
      </c>
      <c r="Y554" s="180">
        <v>1.0039618395335291E-3</v>
      </c>
      <c r="Z554" s="180">
        <v>4.5817164894349687E-3</v>
      </c>
      <c r="AA554" s="180">
        <v>9.1111393401995618E-4</v>
      </c>
      <c r="AB554" s="180">
        <v>1.1007292150403058E-3</v>
      </c>
      <c r="AC554" s="180">
        <v>1.0300601718935634E-3</v>
      </c>
      <c r="AD554" s="180">
        <v>2.4058610256342332E-4</v>
      </c>
      <c r="AE554" s="180">
        <v>9.3007091875184366E-4</v>
      </c>
      <c r="AF554" s="180">
        <v>7.4555370224549768E-4</v>
      </c>
      <c r="AG554" s="180">
        <v>1.5294825998788863E-3</v>
      </c>
      <c r="AH554" s="180">
        <v>-3.4970831020819231E-4</v>
      </c>
      <c r="AI554" s="181">
        <v>1.2219742467918569E-3</v>
      </c>
    </row>
    <row r="555" spans="2:35" x14ac:dyDescent="0.25">
      <c r="B555" s="163" t="str">
        <f>'Market Data'!$B$37</f>
        <v>NKE</v>
      </c>
      <c r="C555" s="160">
        <f>Statistics!$G$39</f>
        <v>1.5970247269241938E-2</v>
      </c>
      <c r="E555" s="168">
        <v>0.17429086101099123</v>
      </c>
      <c r="F555" s="85" t="str">
        <v>NKE</v>
      </c>
      <c r="G555" s="179">
        <v>7.4054258425286133E-4</v>
      </c>
      <c r="H555" s="180">
        <v>9.1418204127611028E-4</v>
      </c>
      <c r="I555" s="180">
        <v>1.1825978430535619E-3</v>
      </c>
      <c r="J555" s="180">
        <v>-1.1104731462091626E-4</v>
      </c>
      <c r="K555" s="180">
        <v>7.2136303147440504E-4</v>
      </c>
      <c r="L555" s="180">
        <v>-3.0145919518466895E-4</v>
      </c>
      <c r="M555" s="180">
        <v>1.371253710214986E-3</v>
      </c>
      <c r="N555" s="180">
        <v>1.1713887062549742E-3</v>
      </c>
      <c r="O555" s="180">
        <v>6.8149888740689005E-4</v>
      </c>
      <c r="P555" s="180">
        <v>9.2810945195530823E-4</v>
      </c>
      <c r="Q555" s="180">
        <v>7.3578315539153108E-4</v>
      </c>
      <c r="R555" s="180">
        <v>1.3757321359017424E-4</v>
      </c>
      <c r="S555" s="180">
        <v>5.7515792739731505E-4</v>
      </c>
      <c r="T555" s="180">
        <v>2.4076387457302071E-4</v>
      </c>
      <c r="U555" s="180">
        <v>6.7839144071882979E-4</v>
      </c>
      <c r="V555" s="180">
        <v>4.3589033448327737E-4</v>
      </c>
      <c r="W555" s="180">
        <v>4.3355644868225306E-4</v>
      </c>
      <c r="X555" s="180">
        <v>7.5220949128439868E-4</v>
      </c>
      <c r="Y555" s="180">
        <v>3.4083858597475385E-4</v>
      </c>
      <c r="Z555" s="180">
        <v>9.1111393401995618E-4</v>
      </c>
      <c r="AA555" s="180">
        <v>2.7193308407813446E-3</v>
      </c>
      <c r="AB555" s="180">
        <v>5.6615292191577104E-4</v>
      </c>
      <c r="AC555" s="180">
        <v>3.6538493696828688E-4</v>
      </c>
      <c r="AD555" s="180">
        <v>8.9669180264711685E-5</v>
      </c>
      <c r="AE555" s="180">
        <v>4.9140530374502923E-4</v>
      </c>
      <c r="AF555" s="180">
        <v>1.0278859564771125E-5</v>
      </c>
      <c r="AG555" s="180">
        <v>1.2162400994020978E-3</v>
      </c>
      <c r="AH555" s="180">
        <v>1.3266739677968515E-5</v>
      </c>
      <c r="AI555" s="181">
        <v>-1.9722713194093662E-4</v>
      </c>
    </row>
    <row r="556" spans="2:35" x14ac:dyDescent="0.25">
      <c r="B556" s="163" t="str">
        <f>'Market Data'!$B$38</f>
        <v>PFE</v>
      </c>
      <c r="C556" s="160">
        <f>Statistics!$G$40</f>
        <v>7.6042605716081235E-3</v>
      </c>
      <c r="E556" s="168">
        <v>0</v>
      </c>
      <c r="F556" s="85" t="str">
        <v>PFE</v>
      </c>
      <c r="G556" s="179">
        <v>1.105136574328315E-3</v>
      </c>
      <c r="H556" s="180">
        <v>1.0081234358528435E-3</v>
      </c>
      <c r="I556" s="180">
        <v>1.2950969606515986E-3</v>
      </c>
      <c r="J556" s="180">
        <v>7.9610645869862182E-4</v>
      </c>
      <c r="K556" s="180">
        <v>1.5185012123350332E-3</v>
      </c>
      <c r="L556" s="180">
        <v>1.0966581694716135E-3</v>
      </c>
      <c r="M556" s="180">
        <v>2.2541080192876768E-3</v>
      </c>
      <c r="N556" s="180">
        <v>1.4909638464124207E-3</v>
      </c>
      <c r="O556" s="180">
        <v>1.1596920910434683E-3</v>
      </c>
      <c r="P556" s="180">
        <v>1.2974763649140325E-3</v>
      </c>
      <c r="Q556" s="180">
        <v>8.5234066580948517E-4</v>
      </c>
      <c r="R556" s="180">
        <v>7.9545047293496068E-4</v>
      </c>
      <c r="S556" s="180">
        <v>9.9184976149502301E-4</v>
      </c>
      <c r="T556" s="180">
        <v>1.174922395291398E-3</v>
      </c>
      <c r="U556" s="180">
        <v>1.3592270505613203E-3</v>
      </c>
      <c r="V556" s="180">
        <v>6.3614560547018231E-4</v>
      </c>
      <c r="W556" s="180">
        <v>9.4939047744066322E-4</v>
      </c>
      <c r="X556" s="180">
        <v>1.1108584905280188E-3</v>
      </c>
      <c r="Y556" s="180">
        <v>1.3412346285691251E-3</v>
      </c>
      <c r="Z556" s="180">
        <v>1.1007292150403058E-3</v>
      </c>
      <c r="AA556" s="180">
        <v>5.6615292191577104E-4</v>
      </c>
      <c r="AB556" s="180">
        <v>2.4354805215546461E-3</v>
      </c>
      <c r="AC556" s="180">
        <v>7.7698221980775051E-4</v>
      </c>
      <c r="AD556" s="180">
        <v>7.5423895885674786E-4</v>
      </c>
      <c r="AE556" s="180">
        <v>1.3524566727664237E-3</v>
      </c>
      <c r="AF556" s="180">
        <v>6.9733723903610885E-4</v>
      </c>
      <c r="AG556" s="180">
        <v>1.6142857385330945E-3</v>
      </c>
      <c r="AH556" s="180">
        <v>6.1756439897017149E-4</v>
      </c>
      <c r="AI556" s="181">
        <v>8.1835922434987771E-4</v>
      </c>
    </row>
    <row r="557" spans="2:35" x14ac:dyDescent="0.25">
      <c r="B557" s="163" t="str">
        <f>'Market Data'!$B$39</f>
        <v>PG</v>
      </c>
      <c r="C557" s="160">
        <f>Statistics!$G$41</f>
        <v>6.7668222923833359E-3</v>
      </c>
      <c r="E557" s="168">
        <v>3.5334497441676542E-2</v>
      </c>
      <c r="F557" s="85" t="str">
        <v>PG</v>
      </c>
      <c r="G557" s="179">
        <v>1.0336127768185608E-3</v>
      </c>
      <c r="H557" s="180">
        <v>4.150551569421239E-4</v>
      </c>
      <c r="I557" s="180">
        <v>5.997217417536032E-4</v>
      </c>
      <c r="J557" s="180">
        <v>4.9254664842985144E-4</v>
      </c>
      <c r="K557" s="180">
        <v>1.0690588122897406E-3</v>
      </c>
      <c r="L557" s="180">
        <v>8.4385070363078498E-4</v>
      </c>
      <c r="M557" s="180">
        <v>1.1783213677355128E-3</v>
      </c>
      <c r="N557" s="180">
        <v>6.6920552953337459E-4</v>
      </c>
      <c r="O557" s="180">
        <v>8.669689440805547E-4</v>
      </c>
      <c r="P557" s="180">
        <v>6.8796273406052837E-4</v>
      </c>
      <c r="Q557" s="180">
        <v>4.7474349038820928E-4</v>
      </c>
      <c r="R557" s="180">
        <v>5.5361049131124631E-4</v>
      </c>
      <c r="S557" s="180">
        <v>7.9168442412031782E-4</v>
      </c>
      <c r="T557" s="180">
        <v>7.8676359672877393E-4</v>
      </c>
      <c r="U557" s="180">
        <v>7.2953612857905574E-4</v>
      </c>
      <c r="V557" s="180">
        <v>6.5740070509151668E-4</v>
      </c>
      <c r="W557" s="180">
        <v>4.0611550084338323E-4</v>
      </c>
      <c r="X557" s="180">
        <v>7.8023777188204919E-4</v>
      </c>
      <c r="Y557" s="180">
        <v>3.7529952314904947E-4</v>
      </c>
      <c r="Z557" s="180">
        <v>1.0300601718935634E-3</v>
      </c>
      <c r="AA557" s="180">
        <v>3.6538493696828688E-4</v>
      </c>
      <c r="AB557" s="180">
        <v>7.7698221980775051E-4</v>
      </c>
      <c r="AC557" s="180">
        <v>1.4111752678343567E-3</v>
      </c>
      <c r="AD557" s="180">
        <v>1.723275330802805E-4</v>
      </c>
      <c r="AE557" s="180">
        <v>6.4008748533685535E-4</v>
      </c>
      <c r="AF557" s="180">
        <v>2.3535220881827705E-4</v>
      </c>
      <c r="AG557" s="180">
        <v>9.2172519542926422E-4</v>
      </c>
      <c r="AH557" s="180">
        <v>7.2490049760504278E-4</v>
      </c>
      <c r="AI557" s="181">
        <v>6.1092932367000222E-4</v>
      </c>
    </row>
    <row r="558" spans="2:35" x14ac:dyDescent="0.25">
      <c r="B558" s="163" t="str">
        <f>'Market Data'!$B$40</f>
        <v>UNH</v>
      </c>
      <c r="C558" s="160">
        <f>Statistics!$G$42</f>
        <v>2.4695057092687361E-2</v>
      </c>
      <c r="E558" s="168">
        <v>0.37862494021469456</v>
      </c>
      <c r="F558" s="85" t="str">
        <v>UNH</v>
      </c>
      <c r="G558" s="179">
        <v>5.5673881663560775E-4</v>
      </c>
      <c r="H558" s="180">
        <v>9.035040942327959E-4</v>
      </c>
      <c r="I558" s="180">
        <v>6.5863568330466196E-4</v>
      </c>
      <c r="J558" s="180">
        <v>7.8373416165496384E-4</v>
      </c>
      <c r="K558" s="180">
        <v>1.0321561899434074E-3</v>
      </c>
      <c r="L558" s="180">
        <v>8.9699068571536217E-4</v>
      </c>
      <c r="M558" s="180">
        <v>1.3915459916452729E-3</v>
      </c>
      <c r="N558" s="180">
        <v>9.9320622386439117E-4</v>
      </c>
      <c r="O558" s="180">
        <v>6.9406421327386882E-4</v>
      </c>
      <c r="P558" s="180">
        <v>1.248419321363809E-3</v>
      </c>
      <c r="Q558" s="180">
        <v>6.4915062582396636E-4</v>
      </c>
      <c r="R558" s="180">
        <v>8.8298395118505178E-4</v>
      </c>
      <c r="S558" s="180">
        <v>5.6633014876153942E-4</v>
      </c>
      <c r="T558" s="180">
        <v>4.4624886795118808E-4</v>
      </c>
      <c r="U558" s="180">
        <v>1.2617149248905092E-3</v>
      </c>
      <c r="V558" s="180">
        <v>1.2737483924284157E-4</v>
      </c>
      <c r="W558" s="180">
        <v>3.5874031329227935E-4</v>
      </c>
      <c r="X558" s="180">
        <v>9.8369986573183495E-4</v>
      </c>
      <c r="Y558" s="180">
        <v>8.5985137540516086E-4</v>
      </c>
      <c r="Z558" s="180">
        <v>2.4058610256342332E-4</v>
      </c>
      <c r="AA558" s="180">
        <v>8.9669180264711685E-5</v>
      </c>
      <c r="AB558" s="180">
        <v>7.5423895885674786E-4</v>
      </c>
      <c r="AC558" s="180">
        <v>1.723275330802805E-4</v>
      </c>
      <c r="AD558" s="180">
        <v>1.9588021355587989E-3</v>
      </c>
      <c r="AE558" s="180">
        <v>1.3013762269017E-3</v>
      </c>
      <c r="AF558" s="180">
        <v>4.3562344006968111E-4</v>
      </c>
      <c r="AG558" s="180">
        <v>6.7255745531353401E-4</v>
      </c>
      <c r="AH558" s="180">
        <v>2.5472583633253342E-4</v>
      </c>
      <c r="AI558" s="181">
        <v>7.6037739981613735E-4</v>
      </c>
    </row>
    <row r="559" spans="2:35" x14ac:dyDescent="0.25">
      <c r="B559" s="163" t="str">
        <f>'Market Data'!$B$41</f>
        <v>UTX</v>
      </c>
      <c r="C559" s="160">
        <f>Statistics!$G$43</f>
        <v>7.3861111519648165E-3</v>
      </c>
      <c r="E559" s="168">
        <v>0</v>
      </c>
      <c r="F559" s="85" t="str">
        <v>UTX</v>
      </c>
      <c r="G559" s="179">
        <v>1.2367738317379871E-3</v>
      </c>
      <c r="H559" s="180">
        <v>1.9679940702890687E-3</v>
      </c>
      <c r="I559" s="180">
        <v>1.846395156096473E-3</v>
      </c>
      <c r="J559" s="180">
        <v>2.1924453554447642E-3</v>
      </c>
      <c r="K559" s="180">
        <v>2.0848208418056797E-3</v>
      </c>
      <c r="L559" s="180">
        <v>1.7655731333339048E-3</v>
      </c>
      <c r="M559" s="180">
        <v>3.4844332298577191E-3</v>
      </c>
      <c r="N559" s="180">
        <v>1.6618009644053405E-3</v>
      </c>
      <c r="O559" s="180">
        <v>1.9210155408337607E-3</v>
      </c>
      <c r="P559" s="180">
        <v>2.1674424403236793E-3</v>
      </c>
      <c r="Q559" s="180">
        <v>1.2386809813748902E-3</v>
      </c>
      <c r="R559" s="180">
        <v>1.5169272523521361E-3</v>
      </c>
      <c r="S559" s="180">
        <v>1.2132957377483657E-3</v>
      </c>
      <c r="T559" s="180">
        <v>1.0117367356107026E-3</v>
      </c>
      <c r="U559" s="180">
        <v>1.8453743354725578E-3</v>
      </c>
      <c r="V559" s="180">
        <v>5.7087013169956707E-4</v>
      </c>
      <c r="W559" s="180">
        <v>8.7888532505727346E-4</v>
      </c>
      <c r="X559" s="180">
        <v>1.8471574472775569E-3</v>
      </c>
      <c r="Y559" s="180">
        <v>1.4646144344401168E-3</v>
      </c>
      <c r="Z559" s="180">
        <v>9.3007091875184366E-4</v>
      </c>
      <c r="AA559" s="180">
        <v>4.9140530374502923E-4</v>
      </c>
      <c r="AB559" s="180">
        <v>1.3524566727664237E-3</v>
      </c>
      <c r="AC559" s="180">
        <v>6.4008748533685535E-4</v>
      </c>
      <c r="AD559" s="180">
        <v>1.3013762269017E-3</v>
      </c>
      <c r="AE559" s="180">
        <v>3.1502830070701034E-3</v>
      </c>
      <c r="AF559" s="180">
        <v>3.2120511051046262E-4</v>
      </c>
      <c r="AG559" s="180">
        <v>1.6964262161404888E-3</v>
      </c>
      <c r="AH559" s="180">
        <v>2.8814451862251201E-4</v>
      </c>
      <c r="AI559" s="181">
        <v>1.3259012920786922E-3</v>
      </c>
    </row>
    <row r="560" spans="2:35" x14ac:dyDescent="0.25">
      <c r="B560" s="163" t="str">
        <f>'Market Data'!$B$42</f>
        <v>VZ</v>
      </c>
      <c r="C560" s="160">
        <f>Statistics!$G$44</f>
        <v>5.0086030759070753E-3</v>
      </c>
      <c r="E560" s="168">
        <v>2.9119456200546016E-2</v>
      </c>
      <c r="F560" s="85" t="str">
        <v>VZ</v>
      </c>
      <c r="G560" s="179">
        <v>1.8457278448214234E-4</v>
      </c>
      <c r="H560" s="180">
        <v>-7.7366109832012643E-5</v>
      </c>
      <c r="I560" s="180">
        <v>3.7914592931386057E-4</v>
      </c>
      <c r="J560" s="180">
        <v>6.8929109799853135E-4</v>
      </c>
      <c r="K560" s="180">
        <v>5.9888719676582812E-4</v>
      </c>
      <c r="L560" s="180">
        <v>7.5916190680994219E-4</v>
      </c>
      <c r="M560" s="180">
        <v>9.2727826439514978E-4</v>
      </c>
      <c r="N560" s="180">
        <v>5.8624704841600517E-4</v>
      </c>
      <c r="O560" s="180">
        <v>1.0256274934399997E-3</v>
      </c>
      <c r="P560" s="180">
        <v>3.7523862948950627E-4</v>
      </c>
      <c r="Q560" s="180">
        <v>1.1189073531181803E-4</v>
      </c>
      <c r="R560" s="180">
        <v>2.033685246020378E-4</v>
      </c>
      <c r="S560" s="180">
        <v>8.2166255763751334E-4</v>
      </c>
      <c r="T560" s="180">
        <v>7.3214708969514145E-4</v>
      </c>
      <c r="U560" s="180">
        <v>3.9836144643633019E-4</v>
      </c>
      <c r="V560" s="180">
        <v>4.9096142938173941E-4</v>
      </c>
      <c r="W560" s="180">
        <v>6.7734327840461236E-4</v>
      </c>
      <c r="X560" s="180">
        <v>5.9539589470078522E-4</v>
      </c>
      <c r="Y560" s="180">
        <v>3.3006228708408361E-4</v>
      </c>
      <c r="Z560" s="180">
        <v>7.4555370224549768E-4</v>
      </c>
      <c r="AA560" s="180">
        <v>1.0278859564771125E-5</v>
      </c>
      <c r="AB560" s="180">
        <v>6.9733723903610885E-4</v>
      </c>
      <c r="AC560" s="180">
        <v>2.3535220881827705E-4</v>
      </c>
      <c r="AD560" s="180">
        <v>4.3562344006968111E-4</v>
      </c>
      <c r="AE560" s="180">
        <v>3.2120511051046262E-4</v>
      </c>
      <c r="AF560" s="180">
        <v>2.0420562729853461E-3</v>
      </c>
      <c r="AG560" s="180">
        <v>3.5270826394507459E-4</v>
      </c>
      <c r="AH560" s="180">
        <v>4.5696587310639262E-4</v>
      </c>
      <c r="AI560" s="181">
        <v>6.4524949399266879E-4</v>
      </c>
    </row>
    <row r="561" spans="2:35" x14ac:dyDescent="0.25">
      <c r="B561" s="163" t="str">
        <f>'Market Data'!$B$43</f>
        <v>V</v>
      </c>
      <c r="C561" s="160">
        <f>Statistics!$G$45</f>
        <v>1.7947618128132319E-2</v>
      </c>
      <c r="E561" s="168">
        <v>0</v>
      </c>
      <c r="F561" s="85" t="str">
        <v>V</v>
      </c>
      <c r="G561" s="179">
        <v>1.5697677901095443E-3</v>
      </c>
      <c r="H561" s="180">
        <v>2.1563583115517065E-3</v>
      </c>
      <c r="I561" s="180">
        <v>2.2475777063178958E-3</v>
      </c>
      <c r="J561" s="180">
        <v>1.4624027030174886E-3</v>
      </c>
      <c r="K561" s="180">
        <v>2.8598074505702059E-3</v>
      </c>
      <c r="L561" s="180">
        <v>9.2897312946466114E-4</v>
      </c>
      <c r="M561" s="180">
        <v>3.0677861856869904E-3</v>
      </c>
      <c r="N561" s="180">
        <v>2.2204011828610088E-3</v>
      </c>
      <c r="O561" s="180">
        <v>1.7646874198991678E-3</v>
      </c>
      <c r="P561" s="180">
        <v>2.0541307067505868E-3</v>
      </c>
      <c r="Q561" s="180">
        <v>1.2055891827737501E-3</v>
      </c>
      <c r="R561" s="180">
        <v>1.2306885914741903E-3</v>
      </c>
      <c r="S561" s="180">
        <v>1.8678530672680304E-3</v>
      </c>
      <c r="T561" s="180">
        <v>8.2747273857601913E-4</v>
      </c>
      <c r="U561" s="180">
        <v>1.9463933682734615E-3</v>
      </c>
      <c r="V561" s="180">
        <v>9.4999344105865064E-4</v>
      </c>
      <c r="W561" s="180">
        <v>1.0020182531469391E-3</v>
      </c>
      <c r="X561" s="180">
        <v>1.59984129324471E-3</v>
      </c>
      <c r="Y561" s="180">
        <v>1.1984054366898813E-3</v>
      </c>
      <c r="Z561" s="180">
        <v>1.5294825998788863E-3</v>
      </c>
      <c r="AA561" s="180">
        <v>1.2162400994020978E-3</v>
      </c>
      <c r="AB561" s="180">
        <v>1.6142857385330945E-3</v>
      </c>
      <c r="AC561" s="180">
        <v>9.2172519542926422E-4</v>
      </c>
      <c r="AD561" s="180">
        <v>6.7255745531353401E-4</v>
      </c>
      <c r="AE561" s="180">
        <v>1.6964262161404888E-3</v>
      </c>
      <c r="AF561" s="180">
        <v>3.5270826394507459E-4</v>
      </c>
      <c r="AG561" s="180">
        <v>3.6944718915923875E-3</v>
      </c>
      <c r="AH561" s="180">
        <v>2.1280259291490004E-4</v>
      </c>
      <c r="AI561" s="181">
        <v>9.4116112769672574E-4</v>
      </c>
    </row>
    <row r="562" spans="2:35" x14ac:dyDescent="0.25">
      <c r="B562" s="163" t="str">
        <f>'Market Data'!$B$44</f>
        <v>WMT</v>
      </c>
      <c r="C562" s="160">
        <f>Statistics!$G$46</f>
        <v>1.8437214178450567E-3</v>
      </c>
      <c r="E562" s="168">
        <v>5.4551266902689237E-2</v>
      </c>
      <c r="F562" s="85" t="str">
        <v>WMT</v>
      </c>
      <c r="G562" s="179">
        <v>5.7975796375205426E-4</v>
      </c>
      <c r="H562" s="180">
        <v>2.6973274792062105E-5</v>
      </c>
      <c r="I562" s="180">
        <v>1.7979190170774528E-4</v>
      </c>
      <c r="J562" s="180">
        <v>-2.1581932882750213E-4</v>
      </c>
      <c r="K562" s="180">
        <v>3.2563207166723412E-4</v>
      </c>
      <c r="L562" s="180">
        <v>1.437380584121094E-4</v>
      </c>
      <c r="M562" s="180">
        <v>-2.3301122426120984E-5</v>
      </c>
      <c r="N562" s="180">
        <v>-1.1672694641114529E-4</v>
      </c>
      <c r="O562" s="180">
        <v>3.1986346053900631E-5</v>
      </c>
      <c r="P562" s="180">
        <v>-5.4295264980806504E-5</v>
      </c>
      <c r="Q562" s="180">
        <v>1.9815526434870993E-4</v>
      </c>
      <c r="R562" s="180">
        <v>3.7610030291999273E-4</v>
      </c>
      <c r="S562" s="180">
        <v>-1.8556188989019865E-5</v>
      </c>
      <c r="T562" s="180">
        <v>7.1470891411086447E-4</v>
      </c>
      <c r="U562" s="180">
        <v>7.503242005510376E-5</v>
      </c>
      <c r="V562" s="180">
        <v>6.4703627119224946E-4</v>
      </c>
      <c r="W562" s="180">
        <v>4.237060092283065E-5</v>
      </c>
      <c r="X562" s="180">
        <v>4.5051539698961655E-4</v>
      </c>
      <c r="Y562" s="180">
        <v>4.389896882024129E-4</v>
      </c>
      <c r="Z562" s="180">
        <v>-3.4970831020819231E-4</v>
      </c>
      <c r="AA562" s="180">
        <v>1.3266739677968515E-5</v>
      </c>
      <c r="AB562" s="180">
        <v>6.1756439897017149E-4</v>
      </c>
      <c r="AC562" s="180">
        <v>7.2490049760504278E-4</v>
      </c>
      <c r="AD562" s="180">
        <v>2.5472583633253342E-4</v>
      </c>
      <c r="AE562" s="180">
        <v>2.8814451862251201E-4</v>
      </c>
      <c r="AF562" s="180">
        <v>4.5696587310639262E-4</v>
      </c>
      <c r="AG562" s="180">
        <v>2.1280259291490004E-4</v>
      </c>
      <c r="AH562" s="180">
        <v>1.9253008332035728E-3</v>
      </c>
      <c r="AI562" s="181">
        <v>9.9417778748729687E-5</v>
      </c>
    </row>
    <row r="563" spans="2:35" x14ac:dyDescent="0.25">
      <c r="B563" s="164" t="str">
        <f>'Market Data'!$B$45</f>
        <v>XOM</v>
      </c>
      <c r="C563" s="165">
        <f>Statistics!$G$47</f>
        <v>1.7101166353118678E-3</v>
      </c>
      <c r="E563" s="169">
        <v>0</v>
      </c>
      <c r="F563" s="86" t="str">
        <v>XOM</v>
      </c>
      <c r="G563" s="179">
        <v>8.3126780280069973E-4</v>
      </c>
      <c r="H563" s="180">
        <v>9.0240454872836753E-4</v>
      </c>
      <c r="I563" s="180">
        <v>5.5785917505375118E-4</v>
      </c>
      <c r="J563" s="180">
        <v>1.368945659107327E-3</v>
      </c>
      <c r="K563" s="180">
        <v>1.3701802479257339E-3</v>
      </c>
      <c r="L563" s="180">
        <v>1.9286286807754067E-3</v>
      </c>
      <c r="M563" s="180">
        <v>2.1182301102402332E-3</v>
      </c>
      <c r="N563" s="180">
        <v>1.3292278052638991E-3</v>
      </c>
      <c r="O563" s="180">
        <v>1.6264073394302158E-3</v>
      </c>
      <c r="P563" s="180">
        <v>1.4387650786059658E-3</v>
      </c>
      <c r="Q563" s="180">
        <v>5.7016164369997474E-4</v>
      </c>
      <c r="R563" s="180">
        <v>1.0970123689928199E-3</v>
      </c>
      <c r="S563" s="180">
        <v>1.0791409093812321E-3</v>
      </c>
      <c r="T563" s="180">
        <v>7.4627799983375924E-4</v>
      </c>
      <c r="U563" s="180">
        <v>1.3958094738143344E-3</v>
      </c>
      <c r="V563" s="180">
        <v>5.1805651820066112E-4</v>
      </c>
      <c r="W563" s="180">
        <v>6.6389606634421081E-4</v>
      </c>
      <c r="X563" s="180">
        <v>1.2697174541958882E-3</v>
      </c>
      <c r="Y563" s="180">
        <v>5.8214330295854532E-4</v>
      </c>
      <c r="Z563" s="180">
        <v>1.2219742467918569E-3</v>
      </c>
      <c r="AA563" s="180">
        <v>-1.9722713194093662E-4</v>
      </c>
      <c r="AB563" s="180">
        <v>8.1835922434987771E-4</v>
      </c>
      <c r="AC563" s="180">
        <v>6.1092932367000222E-4</v>
      </c>
      <c r="AD563" s="180">
        <v>7.6037739981613735E-4</v>
      </c>
      <c r="AE563" s="180">
        <v>1.3259012920786922E-3</v>
      </c>
      <c r="AF563" s="180">
        <v>6.4524949399266879E-4</v>
      </c>
      <c r="AG563" s="180">
        <v>9.4116112769672574E-4</v>
      </c>
      <c r="AH563" s="180">
        <v>9.9417778748729687E-5</v>
      </c>
      <c r="AI563" s="181">
        <v>1.845802781732033E-3</v>
      </c>
    </row>
    <row r="564" spans="2:35" x14ac:dyDescent="0.25">
      <c r="B564" s="3"/>
      <c r="C564" s="3"/>
      <c r="D564" s="3"/>
      <c r="E564" s="182">
        <f>SUM(E535:E563)</f>
        <v>1</v>
      </c>
      <c r="F564" s="3"/>
      <c r="G564" s="184">
        <f>_xll.SumProduct2(TR11_PORTFOLIO_WEIGHTS,G535:G563)*G533</f>
        <v>2.1330432202310112E-5</v>
      </c>
      <c r="H564" s="185">
        <f>_xll.SumProduct2($E535:$E563,H535:H563)*H533</f>
        <v>0</v>
      </c>
      <c r="I564" s="185">
        <f>_xll.SumProduct2($E535:$E563,I535:I563)*I533</f>
        <v>0</v>
      </c>
      <c r="J564" s="185">
        <f>_xll.SumProduct2($E535:$E563,J535:J563)*J533</f>
        <v>0</v>
      </c>
      <c r="K564" s="185">
        <f>_xll.SumProduct2($E535:$E563,K535:K563)*K533</f>
        <v>0</v>
      </c>
      <c r="L564" s="185">
        <f>_xll.SumProduct2($E535:$E563,L535:L563)*L533</f>
        <v>0</v>
      </c>
      <c r="M564" s="185">
        <f>_xll.SumProduct2($E535:$E563,M535:M563)*M533</f>
        <v>0</v>
      </c>
      <c r="N564" s="185">
        <f>_xll.SumProduct2($E535:$E563,N535:N563)*N533</f>
        <v>0</v>
      </c>
      <c r="O564" s="185">
        <f>_xll.SumProduct2($E535:$E563,O535:O563)*O533</f>
        <v>0</v>
      </c>
      <c r="P564" s="185">
        <f>_xll.SumProduct2($E535:$E563,P535:P563)*P533</f>
        <v>0</v>
      </c>
      <c r="Q564" s="185">
        <f>_xll.SumProduct2($E535:$E563,Q535:Q563)*Q533</f>
        <v>7.9848306961535439E-5</v>
      </c>
      <c r="R564" s="185">
        <f>_xll.SumProduct2($E535:$E563,R535:R563)*R533</f>
        <v>0</v>
      </c>
      <c r="S564" s="185">
        <f>_xll.SumProduct2($E535:$E563,S535:S563)*S533</f>
        <v>0</v>
      </c>
      <c r="T564" s="185">
        <f>_xll.SumProduct2($E535:$E563,T535:T563)*T533</f>
        <v>7.1832163503786288E-5</v>
      </c>
      <c r="U564" s="186">
        <f>_xll.SumProduct2($E535:$E563,U535:U563)*U533</f>
        <v>0</v>
      </c>
      <c r="V564" s="186">
        <f>_xll.SumProduct2($E535:$E563,V535:V563)*V533</f>
        <v>0</v>
      </c>
      <c r="W564" s="186">
        <f>_xll.SumProduct2($E535:$E563,W535:W563)*W533</f>
        <v>7.1627540820753016E-6</v>
      </c>
      <c r="X564" s="186">
        <f>_xll.SumProduct2($E535:$E563,X535:X563)*X533</f>
        <v>0</v>
      </c>
      <c r="Y564" s="186">
        <f>_xll.SumProduct2($E535:$E563,Y535:Y563)*Y533</f>
        <v>0</v>
      </c>
      <c r="Z564" s="186">
        <f>_xll.SumProduct2($E535:$E563,Z535:Z563)*Z533</f>
        <v>5.9703054260281043E-5</v>
      </c>
      <c r="AA564" s="186">
        <f>_xll.SumProduct2($E535:$E563,AA535:AA563)*AA533</f>
        <v>1.2427220947500988E-4</v>
      </c>
      <c r="AB564" s="186">
        <f>_xll.SumProduct2($E535:$E563,AB535:AB563)*AB533</f>
        <v>0</v>
      </c>
      <c r="AC564" s="186">
        <f>_xll.SumProduct2($E535:$E563,AC535:AC563)*AC533</f>
        <v>1.6571259837098277E-5</v>
      </c>
      <c r="AD564" s="186">
        <f>_xll.SumProduct2($E535:$E563,AD535:AD563)*AD533</f>
        <v>3.5766463727405628E-4</v>
      </c>
      <c r="AE564" s="186">
        <f>_xll.SumProduct2($E535:$E563,AE535:AE563)*AE533</f>
        <v>0</v>
      </c>
      <c r="AF564" s="186">
        <f>_xll.SumProduct2($E535:$E563,AF535:AF563)*AF533</f>
        <v>1.2297844023491532E-5</v>
      </c>
      <c r="AG564" s="186">
        <f>_xll.SumProduct2($E535:$E563,AG535:AG563)*AG533</f>
        <v>0</v>
      </c>
      <c r="AH564" s="186">
        <f>_xll.SumProduct2($E535:$E563,AH535:AH563)*AH533</f>
        <v>1.8453306923181909E-5</v>
      </c>
      <c r="AI564" s="187">
        <f>_xll.SumProduct2($E535:$E563,AI535:AI563)*AI533</f>
        <v>0</v>
      </c>
    </row>
    <row r="565" spans="2:35" x14ac:dyDescent="0.25">
      <c r="C565" s="5"/>
      <c r="E565" s="5"/>
      <c r="G565" s="6"/>
      <c r="H565" s="6"/>
      <c r="I565" s="6"/>
      <c r="K565" s="6"/>
      <c r="Q565" s="6"/>
      <c r="R565" s="6"/>
      <c r="S565" s="6"/>
      <c r="T565" s="6"/>
      <c r="U565" s="6"/>
      <c r="V565" s="6"/>
      <c r="W565" s="6"/>
      <c r="X565" s="6"/>
      <c r="Y565" s="6"/>
      <c r="Z565" s="6"/>
      <c r="AA565" s="6"/>
      <c r="AB565" s="6"/>
      <c r="AC565" s="6"/>
      <c r="AD565" s="6"/>
      <c r="AE565" s="6"/>
      <c r="AF565" s="6"/>
      <c r="AG565" s="6"/>
      <c r="AH565" s="6"/>
      <c r="AI565" s="6"/>
    </row>
    <row r="566" spans="2:35" ht="20.25" thickBot="1" x14ac:dyDescent="0.35">
      <c r="B566" s="153" t="str">
        <f>ROUND(TR12_PORTFOLIO_TARGET_RETURN*100, LABEL_ROUNDING) &amp; "% Target Return Portfolio (TR12)"</f>
        <v>1.97% Target Return Portfolio (TR12)</v>
      </c>
      <c r="C566" s="153"/>
      <c r="D566" s="153"/>
      <c r="E566" s="154"/>
      <c r="F566" s="153"/>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155"/>
      <c r="AD566" s="155"/>
      <c r="AE566" s="155"/>
      <c r="AF566" s="155"/>
      <c r="AG566" s="155"/>
      <c r="AH566" s="155"/>
      <c r="AI566" s="155"/>
    </row>
    <row r="567" spans="2:35" ht="15.75" thickTop="1" x14ac:dyDescent="0.25">
      <c r="B567" s="156" t="s">
        <v>70</v>
      </c>
      <c r="C567" s="159">
        <f>TR12_PORTFOLIO_TARGET_RETURN</f>
        <v>1.9699718667624013E-2</v>
      </c>
    </row>
    <row r="568" spans="2:35" x14ac:dyDescent="0.25">
      <c r="B568" s="157" t="s">
        <v>60</v>
      </c>
      <c r="C568" s="160">
        <f>_xll.SumProduct2(TR12_PORTFOLIO_EXPECTED_RETURNS, TR12_PORTFOLIO_WEIGHTS) - RISK_FREE_RATE</f>
        <v>1.9699718631280189E-2</v>
      </c>
    </row>
    <row r="569" spans="2:35" x14ac:dyDescent="0.25">
      <c r="B569" s="157" t="s">
        <v>62</v>
      </c>
      <c r="C569" s="160">
        <f>SQRT(SUM(G602:AI602))</f>
        <v>2.9446330751584631E-2</v>
      </c>
    </row>
    <row r="570" spans="2:35" x14ac:dyDescent="0.25">
      <c r="B570" s="158" t="s">
        <v>103</v>
      </c>
      <c r="C570" s="161" t="str">
        <f>_xll.TimeSeries.CovarianceMatrixCalculator.apply(COVARIANCE_MATRIX_CALCULATOR,'Efficient Frontier'!B573:B601,Statistics!$F$19:$F$47)</f>
        <v>»LabelledMatrix-16705291694770987814</v>
      </c>
      <c r="D570" t="s">
        <v>77</v>
      </c>
    </row>
    <row r="571" spans="2:35" x14ac:dyDescent="0.25">
      <c r="F571" s="111" t="s">
        <v>69</v>
      </c>
      <c r="G571" s="170">
        <f t="array" ref="G571:AI571">TRANSPOSE(TR12_PORTFOLIO_WEIGHTS)</f>
        <v>3.5459714937614656E-2</v>
      </c>
      <c r="H571" s="171">
        <v>0</v>
      </c>
      <c r="I571" s="171">
        <v>0</v>
      </c>
      <c r="J571" s="171">
        <v>0</v>
      </c>
      <c r="K571" s="171">
        <v>0</v>
      </c>
      <c r="L571" s="171">
        <v>0</v>
      </c>
      <c r="M571" s="171">
        <v>0</v>
      </c>
      <c r="N571" s="171">
        <v>0</v>
      </c>
      <c r="O571" s="171">
        <v>0</v>
      </c>
      <c r="P571" s="171">
        <v>0</v>
      </c>
      <c r="Q571" s="171">
        <v>0.10365731082850843</v>
      </c>
      <c r="R571" s="171">
        <v>0</v>
      </c>
      <c r="S571" s="171">
        <v>0</v>
      </c>
      <c r="T571" s="171">
        <v>0.14638825253056284</v>
      </c>
      <c r="U571" s="171">
        <v>0</v>
      </c>
      <c r="V571" s="171">
        <v>0</v>
      </c>
      <c r="W571" s="171">
        <v>0</v>
      </c>
      <c r="X571" s="171">
        <v>0</v>
      </c>
      <c r="Y571" s="171">
        <v>0</v>
      </c>
      <c r="Z571" s="171">
        <v>8.4495566513298134E-2</v>
      </c>
      <c r="AA571" s="171">
        <v>0.17960846091160171</v>
      </c>
      <c r="AB571" s="171">
        <v>0</v>
      </c>
      <c r="AC571" s="171">
        <v>0</v>
      </c>
      <c r="AD571" s="171">
        <v>0.42765583996405671</v>
      </c>
      <c r="AE571" s="171">
        <v>0</v>
      </c>
      <c r="AF571" s="171">
        <v>0</v>
      </c>
      <c r="AG571" s="171">
        <v>0</v>
      </c>
      <c r="AH571" s="171">
        <v>2.2734854314357685E-2</v>
      </c>
      <c r="AI571" s="172">
        <v>0</v>
      </c>
    </row>
    <row r="572" spans="2:35" x14ac:dyDescent="0.25">
      <c r="C572" s="111" t="s">
        <v>63</v>
      </c>
      <c r="E572" s="89" t="s">
        <v>69</v>
      </c>
      <c r="F572" s="166" t="str">
        <f t="array" ref="F572:AI601">_xll.Matrix.ExpandAsArray(C570)</f>
        <v/>
      </c>
      <c r="G572" s="173" t="str">
        <v>AAPL</v>
      </c>
      <c r="H572" s="174" t="str">
        <v>AXP</v>
      </c>
      <c r="I572" s="174" t="str">
        <v>BA</v>
      </c>
      <c r="J572" s="174" t="str">
        <v>CAT</v>
      </c>
      <c r="K572" s="174" t="str">
        <v>CSCO</v>
      </c>
      <c r="L572" s="174" t="str">
        <v>CVX</v>
      </c>
      <c r="M572" s="174" t="str">
        <v>DD</v>
      </c>
      <c r="N572" s="174" t="str">
        <v>DIS</v>
      </c>
      <c r="O572" s="174" t="str">
        <v>GE</v>
      </c>
      <c r="P572" s="174" t="str">
        <v>GS</v>
      </c>
      <c r="Q572" s="174" t="str">
        <v>HD</v>
      </c>
      <c r="R572" s="174" t="str">
        <v>IBM</v>
      </c>
      <c r="S572" s="174" t="str">
        <v>INTC</v>
      </c>
      <c r="T572" s="174" t="str">
        <v>JNJ</v>
      </c>
      <c r="U572" s="174" t="str">
        <v>JPM</v>
      </c>
      <c r="V572" s="174" t="str">
        <v>KO</v>
      </c>
      <c r="W572" s="174" t="str">
        <v>MCD</v>
      </c>
      <c r="X572" s="174" t="str">
        <v>MMM</v>
      </c>
      <c r="Y572" s="174" t="str">
        <v>MRK</v>
      </c>
      <c r="Z572" s="174" t="str">
        <v>MSFT</v>
      </c>
      <c r="AA572" s="174" t="str">
        <v>NKE</v>
      </c>
      <c r="AB572" s="174" t="str">
        <v>PFE</v>
      </c>
      <c r="AC572" s="174" t="str">
        <v>PG</v>
      </c>
      <c r="AD572" s="174" t="str">
        <v>UNH</v>
      </c>
      <c r="AE572" s="174" t="str">
        <v>UTX</v>
      </c>
      <c r="AF572" s="174" t="str">
        <v>VZ</v>
      </c>
      <c r="AG572" s="174" t="str">
        <v>V</v>
      </c>
      <c r="AH572" s="174" t="str">
        <v>WMT</v>
      </c>
      <c r="AI572" s="175" t="str">
        <v>XOM</v>
      </c>
    </row>
    <row r="573" spans="2:35" x14ac:dyDescent="0.25">
      <c r="B573" s="162" t="str">
        <f>'Market Data'!$B$17</f>
        <v>AAPL</v>
      </c>
      <c r="C573" s="159">
        <f>Statistics!$G$19</f>
        <v>2.1230184800142136E-2</v>
      </c>
      <c r="E573" s="167">
        <v>3.5459714937614656E-2</v>
      </c>
      <c r="F573" s="84" t="str">
        <v>AAPL</v>
      </c>
      <c r="G573" s="176">
        <v>4.5162973293162668E-3</v>
      </c>
      <c r="H573" s="177">
        <v>1.6284380645241216E-3</v>
      </c>
      <c r="I573" s="177">
        <v>1.6201491796022521E-3</v>
      </c>
      <c r="J573" s="177">
        <v>1.5690359790962263E-3</v>
      </c>
      <c r="K573" s="177">
        <v>2.3505409053430782E-3</v>
      </c>
      <c r="L573" s="177">
        <v>1.1773098260505132E-3</v>
      </c>
      <c r="M573" s="177">
        <v>2.5889638042653502E-3</v>
      </c>
      <c r="N573" s="177">
        <v>1.366655807124157E-3</v>
      </c>
      <c r="O573" s="177">
        <v>1.5698375611055285E-3</v>
      </c>
      <c r="P573" s="177">
        <v>1.8109156333145874E-3</v>
      </c>
      <c r="Q573" s="177">
        <v>9.8639311096076088E-4</v>
      </c>
      <c r="R573" s="177">
        <v>1.7737023799007877E-3</v>
      </c>
      <c r="S573" s="177">
        <v>1.6293191413582805E-3</v>
      </c>
      <c r="T573" s="177">
        <v>8.2631268301744008E-4</v>
      </c>
      <c r="U573" s="177">
        <v>1.2529926248616137E-3</v>
      </c>
      <c r="V573" s="177">
        <v>9.6129190129553134E-4</v>
      </c>
      <c r="W573" s="177">
        <v>4.3723596630614248E-4</v>
      </c>
      <c r="X573" s="177">
        <v>1.6042263123932821E-3</v>
      </c>
      <c r="Y573" s="177">
        <v>6.6280896407091964E-4</v>
      </c>
      <c r="Z573" s="177">
        <v>1.7656054736670385E-3</v>
      </c>
      <c r="AA573" s="177">
        <v>7.4054258425286133E-4</v>
      </c>
      <c r="AB573" s="177">
        <v>1.105136574328315E-3</v>
      </c>
      <c r="AC573" s="177">
        <v>1.0336127768185608E-3</v>
      </c>
      <c r="AD573" s="177">
        <v>5.5673881663560775E-4</v>
      </c>
      <c r="AE573" s="177">
        <v>1.2367738317379871E-3</v>
      </c>
      <c r="AF573" s="177">
        <v>1.8457278448214234E-4</v>
      </c>
      <c r="AG573" s="177">
        <v>1.5697677901095443E-3</v>
      </c>
      <c r="AH573" s="177">
        <v>5.7975796375205426E-4</v>
      </c>
      <c r="AI573" s="178">
        <v>8.3126780280069973E-4</v>
      </c>
    </row>
    <row r="574" spans="2:35" x14ac:dyDescent="0.25">
      <c r="B574" s="163" t="str">
        <f>'Market Data'!$B$18</f>
        <v>AXP</v>
      </c>
      <c r="C574" s="160">
        <f>Statistics!$G$20</f>
        <v>6.4918343965214677E-3</v>
      </c>
      <c r="E574" s="168">
        <v>0</v>
      </c>
      <c r="F574" s="85" t="str">
        <v>AXP</v>
      </c>
      <c r="G574" s="179">
        <v>1.6284380645241216E-3</v>
      </c>
      <c r="H574" s="180">
        <v>4.0660324753009668E-3</v>
      </c>
      <c r="I574" s="180">
        <v>2.3214948032735548E-3</v>
      </c>
      <c r="J574" s="180">
        <v>2.4672804057197504E-3</v>
      </c>
      <c r="K574" s="180">
        <v>2.2861035048804129E-3</v>
      </c>
      <c r="L574" s="180">
        <v>1.4106472819975181E-3</v>
      </c>
      <c r="M574" s="180">
        <v>3.0070268955997704E-3</v>
      </c>
      <c r="N574" s="180">
        <v>1.9718583562846406E-3</v>
      </c>
      <c r="O574" s="180">
        <v>1.6460552176854309E-3</v>
      </c>
      <c r="P574" s="180">
        <v>3.1197862990926528E-3</v>
      </c>
      <c r="Q574" s="180">
        <v>1.285962047454306E-3</v>
      </c>
      <c r="R574" s="180">
        <v>1.960684724858895E-3</v>
      </c>
      <c r="S574" s="180">
        <v>2.0715314739138896E-3</v>
      </c>
      <c r="T574" s="180">
        <v>7.3945969222275051E-4</v>
      </c>
      <c r="U574" s="180">
        <v>2.7840355446374721E-3</v>
      </c>
      <c r="V574" s="180">
        <v>5.6369017954212687E-4</v>
      </c>
      <c r="W574" s="180">
        <v>5.9016175595858627E-4</v>
      </c>
      <c r="X574" s="180">
        <v>1.3680882736390085E-3</v>
      </c>
      <c r="Y574" s="180">
        <v>9.5675499919051471E-4</v>
      </c>
      <c r="Z574" s="180">
        <v>1.7453927826798744E-3</v>
      </c>
      <c r="AA574" s="180">
        <v>9.1418204127611028E-4</v>
      </c>
      <c r="AB574" s="180">
        <v>1.0081234358528435E-3</v>
      </c>
      <c r="AC574" s="180">
        <v>4.150551569421239E-4</v>
      </c>
      <c r="AD574" s="180">
        <v>9.035040942327959E-4</v>
      </c>
      <c r="AE574" s="180">
        <v>1.9679940702890687E-3</v>
      </c>
      <c r="AF574" s="180">
        <v>-7.7366109832012643E-5</v>
      </c>
      <c r="AG574" s="180">
        <v>2.1563583115517065E-3</v>
      </c>
      <c r="AH574" s="180">
        <v>2.6973274792062105E-5</v>
      </c>
      <c r="AI574" s="181">
        <v>9.0240454872836753E-4</v>
      </c>
    </row>
    <row r="575" spans="2:35" x14ac:dyDescent="0.25">
      <c r="B575" s="163" t="str">
        <f>'Market Data'!$B$19</f>
        <v>BA</v>
      </c>
      <c r="C575" s="160">
        <f>Statistics!$G$21</f>
        <v>1.9250861766613322E-2</v>
      </c>
      <c r="E575" s="168">
        <v>0</v>
      </c>
      <c r="F575" s="85" t="str">
        <v>BA</v>
      </c>
      <c r="G575" s="179">
        <v>1.6201491796022521E-3</v>
      </c>
      <c r="H575" s="180">
        <v>2.3214948032735548E-3</v>
      </c>
      <c r="I575" s="180">
        <v>3.7402935775721971E-3</v>
      </c>
      <c r="J575" s="180">
        <v>1.6046317611050844E-3</v>
      </c>
      <c r="K575" s="180">
        <v>2.1240240973260023E-3</v>
      </c>
      <c r="L575" s="180">
        <v>1.3419066335272889E-3</v>
      </c>
      <c r="M575" s="180">
        <v>3.1629198402818382E-3</v>
      </c>
      <c r="N575" s="180">
        <v>2.193611301570318E-3</v>
      </c>
      <c r="O575" s="180">
        <v>1.7334051959416068E-3</v>
      </c>
      <c r="P575" s="180">
        <v>2.2391121271409182E-3</v>
      </c>
      <c r="Q575" s="180">
        <v>1.2911501083222776E-3</v>
      </c>
      <c r="R575" s="180">
        <v>1.1336433634722555E-3</v>
      </c>
      <c r="S575" s="180">
        <v>1.485647562986758E-3</v>
      </c>
      <c r="T575" s="180">
        <v>7.7470388279684329E-4</v>
      </c>
      <c r="U575" s="180">
        <v>1.8054441283061249E-3</v>
      </c>
      <c r="V575" s="180">
        <v>9.7196182882881919E-4</v>
      </c>
      <c r="W575" s="180">
        <v>1.004575731683145E-3</v>
      </c>
      <c r="X575" s="180">
        <v>1.220072170107771E-3</v>
      </c>
      <c r="Y575" s="180">
        <v>1.3506721993334096E-3</v>
      </c>
      <c r="Z575" s="180">
        <v>1.4618979219237266E-3</v>
      </c>
      <c r="AA575" s="180">
        <v>1.1825978430535619E-3</v>
      </c>
      <c r="AB575" s="180">
        <v>1.2950969606515986E-3</v>
      </c>
      <c r="AC575" s="180">
        <v>5.997217417536032E-4</v>
      </c>
      <c r="AD575" s="180">
        <v>6.5863568330466196E-4</v>
      </c>
      <c r="AE575" s="180">
        <v>1.846395156096473E-3</v>
      </c>
      <c r="AF575" s="180">
        <v>3.7914592931386057E-4</v>
      </c>
      <c r="AG575" s="180">
        <v>2.2475777063178958E-3</v>
      </c>
      <c r="AH575" s="180">
        <v>1.7979190170774528E-4</v>
      </c>
      <c r="AI575" s="181">
        <v>5.5785917505375118E-4</v>
      </c>
    </row>
    <row r="576" spans="2:35" x14ac:dyDescent="0.25">
      <c r="B576" s="163" t="str">
        <f>'Market Data'!$B$20</f>
        <v>CAT</v>
      </c>
      <c r="C576" s="160">
        <f>Statistics!$G$22</f>
        <v>6.3545919720494892E-3</v>
      </c>
      <c r="E576" s="168">
        <v>0</v>
      </c>
      <c r="F576" s="85" t="str">
        <v>CAT</v>
      </c>
      <c r="G576" s="179">
        <v>1.5690359790962263E-3</v>
      </c>
      <c r="H576" s="180">
        <v>2.4672804057197504E-3</v>
      </c>
      <c r="I576" s="180">
        <v>1.6046317611050844E-3</v>
      </c>
      <c r="J576" s="180">
        <v>4.5013491323716076E-3</v>
      </c>
      <c r="K576" s="180">
        <v>1.8532157140411887E-3</v>
      </c>
      <c r="L576" s="180">
        <v>2.2352946064681648E-3</v>
      </c>
      <c r="M576" s="180">
        <v>3.0429489894058951E-3</v>
      </c>
      <c r="N576" s="180">
        <v>1.6981712196612736E-3</v>
      </c>
      <c r="O576" s="180">
        <v>2.2046623152336968E-3</v>
      </c>
      <c r="P576" s="180">
        <v>2.3825247137119567E-3</v>
      </c>
      <c r="Q576" s="180">
        <v>1.0587514228509517E-3</v>
      </c>
      <c r="R576" s="180">
        <v>2.1554825858441308E-3</v>
      </c>
      <c r="S576" s="180">
        <v>2.3005603160952529E-3</v>
      </c>
      <c r="T576" s="180">
        <v>9.0633949973445221E-4</v>
      </c>
      <c r="U576" s="180">
        <v>2.011937601179676E-3</v>
      </c>
      <c r="V576" s="180">
        <v>6.586205973694774E-4</v>
      </c>
      <c r="W576" s="180">
        <v>1.2118483675212872E-3</v>
      </c>
      <c r="X576" s="180">
        <v>1.3778500117759705E-3</v>
      </c>
      <c r="Y576" s="180">
        <v>1.6454661341138513E-3</v>
      </c>
      <c r="Z576" s="180">
        <v>2.2842322526096018E-3</v>
      </c>
      <c r="AA576" s="180">
        <v>-1.1104731462091626E-4</v>
      </c>
      <c r="AB576" s="180">
        <v>7.9610645869862182E-4</v>
      </c>
      <c r="AC576" s="180">
        <v>4.9254664842985144E-4</v>
      </c>
      <c r="AD576" s="180">
        <v>7.8373416165496384E-4</v>
      </c>
      <c r="AE576" s="180">
        <v>2.1924453554447642E-3</v>
      </c>
      <c r="AF576" s="180">
        <v>6.8929109799853135E-4</v>
      </c>
      <c r="AG576" s="180">
        <v>1.4624027030174886E-3</v>
      </c>
      <c r="AH576" s="180">
        <v>-2.1581932882750213E-4</v>
      </c>
      <c r="AI576" s="181">
        <v>1.368945659107327E-3</v>
      </c>
    </row>
    <row r="577" spans="2:35" x14ac:dyDescent="0.25">
      <c r="B577" s="163" t="str">
        <f>'Market Data'!$B$21</f>
        <v>CSCO</v>
      </c>
      <c r="C577" s="160">
        <f>Statistics!$G$23</f>
        <v>1.4928779568119917E-2</v>
      </c>
      <c r="E577" s="168">
        <v>0</v>
      </c>
      <c r="F577" s="85" t="str">
        <v>CSCO</v>
      </c>
      <c r="G577" s="179">
        <v>2.3505409053430782E-3</v>
      </c>
      <c r="H577" s="180">
        <v>2.2861035048804129E-3</v>
      </c>
      <c r="I577" s="180">
        <v>2.1240240973260023E-3</v>
      </c>
      <c r="J577" s="180">
        <v>1.8532157140411887E-3</v>
      </c>
      <c r="K577" s="180">
        <v>4.2943797540477393E-3</v>
      </c>
      <c r="L577" s="180">
        <v>1.6495950515362169E-3</v>
      </c>
      <c r="M577" s="180">
        <v>3.7036865533827041E-3</v>
      </c>
      <c r="N577" s="180">
        <v>1.9090150380186609E-3</v>
      </c>
      <c r="O577" s="180">
        <v>2.0168425927536027E-3</v>
      </c>
      <c r="P577" s="180">
        <v>2.2177683830845976E-3</v>
      </c>
      <c r="Q577" s="180">
        <v>9.8504335267051509E-4</v>
      </c>
      <c r="R577" s="180">
        <v>2.2508292865696072E-3</v>
      </c>
      <c r="S577" s="180">
        <v>2.2625583672846289E-3</v>
      </c>
      <c r="T577" s="180">
        <v>1.1094225673998865E-3</v>
      </c>
      <c r="U577" s="180">
        <v>2.0831844183308271E-3</v>
      </c>
      <c r="V577" s="180">
        <v>1.0904984859812852E-3</v>
      </c>
      <c r="W577" s="180">
        <v>8.8656407550750189E-4</v>
      </c>
      <c r="X577" s="180">
        <v>1.6594658489014636E-3</v>
      </c>
      <c r="Y577" s="180">
        <v>1.2877752599161352E-3</v>
      </c>
      <c r="Z577" s="180">
        <v>2.1511833371391734E-3</v>
      </c>
      <c r="AA577" s="180">
        <v>7.2136303147440504E-4</v>
      </c>
      <c r="AB577" s="180">
        <v>1.5185012123350332E-3</v>
      </c>
      <c r="AC577" s="180">
        <v>1.0690588122897406E-3</v>
      </c>
      <c r="AD577" s="180">
        <v>1.0321561899434074E-3</v>
      </c>
      <c r="AE577" s="180">
        <v>2.0848208418056797E-3</v>
      </c>
      <c r="AF577" s="180">
        <v>5.9888719676582812E-4</v>
      </c>
      <c r="AG577" s="180">
        <v>2.8598074505702059E-3</v>
      </c>
      <c r="AH577" s="180">
        <v>3.2563207166723412E-4</v>
      </c>
      <c r="AI577" s="181">
        <v>1.3701802479257339E-3</v>
      </c>
    </row>
    <row r="578" spans="2:35" x14ac:dyDescent="0.25">
      <c r="B578" s="163" t="str">
        <f>'Market Data'!$B$22</f>
        <v>CVX</v>
      </c>
      <c r="C578" s="160">
        <f>Statistics!$G$24</f>
        <v>2.6845541907593424E-3</v>
      </c>
      <c r="E578" s="168">
        <v>0</v>
      </c>
      <c r="F578" s="85" t="str">
        <v>CVX</v>
      </c>
      <c r="G578" s="179">
        <v>1.1773098260505132E-3</v>
      </c>
      <c r="H578" s="180">
        <v>1.4106472819975181E-3</v>
      </c>
      <c r="I578" s="180">
        <v>1.3419066335272889E-3</v>
      </c>
      <c r="J578" s="180">
        <v>2.2352946064681648E-3</v>
      </c>
      <c r="K578" s="180">
        <v>1.6495950515362169E-3</v>
      </c>
      <c r="L578" s="180">
        <v>3.2764948408559465E-3</v>
      </c>
      <c r="M578" s="180">
        <v>2.8277959806832817E-3</v>
      </c>
      <c r="N578" s="180">
        <v>1.8200348202442435E-3</v>
      </c>
      <c r="O578" s="180">
        <v>2.0997855192430963E-3</v>
      </c>
      <c r="P578" s="180">
        <v>2.495859527554455E-3</v>
      </c>
      <c r="Q578" s="180">
        <v>7.9860489883547216E-4</v>
      </c>
      <c r="R578" s="180">
        <v>1.7099575851328929E-3</v>
      </c>
      <c r="S578" s="180">
        <v>1.762362573764028E-3</v>
      </c>
      <c r="T578" s="180">
        <v>1.0006982850928254E-3</v>
      </c>
      <c r="U578" s="180">
        <v>2.159640132817216E-3</v>
      </c>
      <c r="V578" s="180">
        <v>7.7350953916938299E-4</v>
      </c>
      <c r="W578" s="180">
        <v>1.2445101608031307E-3</v>
      </c>
      <c r="X578" s="180">
        <v>1.3396872809028706E-3</v>
      </c>
      <c r="Y578" s="180">
        <v>1.0548817345930506E-3</v>
      </c>
      <c r="Z578" s="180">
        <v>1.921523261676006E-3</v>
      </c>
      <c r="AA578" s="180">
        <v>-3.0145919518466895E-4</v>
      </c>
      <c r="AB578" s="180">
        <v>1.0966581694716135E-3</v>
      </c>
      <c r="AC578" s="180">
        <v>8.4385070363078498E-4</v>
      </c>
      <c r="AD578" s="180">
        <v>8.9699068571536217E-4</v>
      </c>
      <c r="AE578" s="180">
        <v>1.7655731333339048E-3</v>
      </c>
      <c r="AF578" s="180">
        <v>7.5916190680994219E-4</v>
      </c>
      <c r="AG578" s="180">
        <v>9.2897312946466114E-4</v>
      </c>
      <c r="AH578" s="180">
        <v>1.437380584121094E-4</v>
      </c>
      <c r="AI578" s="181">
        <v>1.9286286807754067E-3</v>
      </c>
    </row>
    <row r="579" spans="2:35" x14ac:dyDescent="0.25">
      <c r="B579" s="163" t="str">
        <f>'Market Data'!$B$23</f>
        <v>DD</v>
      </c>
      <c r="C579" s="160">
        <f>Statistics!$G$25</f>
        <v>1.7349865519574785E-2</v>
      </c>
      <c r="E579" s="168">
        <v>0</v>
      </c>
      <c r="F579" s="85" t="str">
        <v>DD</v>
      </c>
      <c r="G579" s="179">
        <v>2.5889638042653502E-3</v>
      </c>
      <c r="H579" s="180">
        <v>3.0070268955997704E-3</v>
      </c>
      <c r="I579" s="180">
        <v>3.1629198402818382E-3</v>
      </c>
      <c r="J579" s="180">
        <v>3.0429489894058951E-3</v>
      </c>
      <c r="K579" s="180">
        <v>3.7036865533827041E-3</v>
      </c>
      <c r="L579" s="180">
        <v>2.8277959806832817E-3</v>
      </c>
      <c r="M579" s="180">
        <v>7.2090294001774871E-3</v>
      </c>
      <c r="N579" s="180">
        <v>3.2246456006375726E-3</v>
      </c>
      <c r="O579" s="180">
        <v>3.2408092269649337E-3</v>
      </c>
      <c r="P579" s="180">
        <v>3.1194558916632768E-3</v>
      </c>
      <c r="Q579" s="180">
        <v>2.0138415935295195E-3</v>
      </c>
      <c r="R579" s="180">
        <v>2.4056181433013803E-3</v>
      </c>
      <c r="S579" s="180">
        <v>2.9333641814070907E-3</v>
      </c>
      <c r="T579" s="180">
        <v>1.7073269232421356E-3</v>
      </c>
      <c r="U579" s="180">
        <v>2.9403656750226037E-3</v>
      </c>
      <c r="V579" s="180">
        <v>1.3828838928124146E-3</v>
      </c>
      <c r="W579" s="180">
        <v>1.5566945864839937E-3</v>
      </c>
      <c r="X579" s="180">
        <v>2.4333011024343194E-3</v>
      </c>
      <c r="Y579" s="180">
        <v>2.1034755337789339E-3</v>
      </c>
      <c r="Z579" s="180">
        <v>3.4647817866697963E-3</v>
      </c>
      <c r="AA579" s="180">
        <v>1.371253710214986E-3</v>
      </c>
      <c r="AB579" s="180">
        <v>2.2541080192876768E-3</v>
      </c>
      <c r="AC579" s="180">
        <v>1.1783213677355128E-3</v>
      </c>
      <c r="AD579" s="180">
        <v>1.3915459916452729E-3</v>
      </c>
      <c r="AE579" s="180">
        <v>3.4844332298577191E-3</v>
      </c>
      <c r="AF579" s="180">
        <v>9.2727826439514978E-4</v>
      </c>
      <c r="AG579" s="180">
        <v>3.0677861856869904E-3</v>
      </c>
      <c r="AH579" s="180">
        <v>-2.3301122426120984E-5</v>
      </c>
      <c r="AI579" s="181">
        <v>2.1182301102402332E-3</v>
      </c>
    </row>
    <row r="580" spans="2:35" x14ac:dyDescent="0.25">
      <c r="B580" s="163" t="str">
        <f>'Market Data'!$B$24</f>
        <v>DIS</v>
      </c>
      <c r="C580" s="160">
        <f>Statistics!$G$26</f>
        <v>1.7109009470709015E-2</v>
      </c>
      <c r="E580" s="168">
        <v>0</v>
      </c>
      <c r="F580" s="85" t="str">
        <v>DIS</v>
      </c>
      <c r="G580" s="179">
        <v>1.366655807124157E-3</v>
      </c>
      <c r="H580" s="180">
        <v>1.9718583562846406E-3</v>
      </c>
      <c r="I580" s="180">
        <v>2.193611301570318E-3</v>
      </c>
      <c r="J580" s="180">
        <v>1.6981712196612736E-3</v>
      </c>
      <c r="K580" s="180">
        <v>1.9090150380186609E-3</v>
      </c>
      <c r="L580" s="180">
        <v>1.8200348202442435E-3</v>
      </c>
      <c r="M580" s="180">
        <v>3.2246456006375726E-3</v>
      </c>
      <c r="N580" s="180">
        <v>3.2225637954133132E-3</v>
      </c>
      <c r="O580" s="180">
        <v>1.7980110839806059E-3</v>
      </c>
      <c r="P580" s="180">
        <v>2.5910429203650125E-3</v>
      </c>
      <c r="Q580" s="180">
        <v>1.4438567521116873E-3</v>
      </c>
      <c r="R580" s="180">
        <v>1.2533920720746924E-3</v>
      </c>
      <c r="S580" s="180">
        <v>1.4872846501875279E-3</v>
      </c>
      <c r="T580" s="180">
        <v>7.6090581351824873E-4</v>
      </c>
      <c r="U580" s="180">
        <v>2.3150492241015347E-3</v>
      </c>
      <c r="V580" s="180">
        <v>7.3157249166013263E-4</v>
      </c>
      <c r="W580" s="180">
        <v>1.0434476997331528E-3</v>
      </c>
      <c r="X580" s="180">
        <v>1.3935802423237448E-3</v>
      </c>
      <c r="Y580" s="180">
        <v>1.1180874248259017E-3</v>
      </c>
      <c r="Z580" s="180">
        <v>1.7514488094562146E-3</v>
      </c>
      <c r="AA580" s="180">
        <v>1.1713887062549742E-3</v>
      </c>
      <c r="AB580" s="180">
        <v>1.4909638464124207E-3</v>
      </c>
      <c r="AC580" s="180">
        <v>6.6920552953337459E-4</v>
      </c>
      <c r="AD580" s="180">
        <v>9.9320622386439117E-4</v>
      </c>
      <c r="AE580" s="180">
        <v>1.6618009644053405E-3</v>
      </c>
      <c r="AF580" s="180">
        <v>5.8624704841600517E-4</v>
      </c>
      <c r="AG580" s="180">
        <v>2.2204011828610088E-3</v>
      </c>
      <c r="AH580" s="180">
        <v>-1.1672694641114529E-4</v>
      </c>
      <c r="AI580" s="181">
        <v>1.3292278052638991E-3</v>
      </c>
    </row>
    <row r="581" spans="2:35" x14ac:dyDescent="0.25">
      <c r="B581" s="163" t="str">
        <f>'Market Data'!$B$25</f>
        <v>GE</v>
      </c>
      <c r="C581" s="160">
        <f>Statistics!$G$27</f>
        <v>9.2719197536449416E-3</v>
      </c>
      <c r="E581" s="168">
        <v>0</v>
      </c>
      <c r="F581" s="85" t="str">
        <v>GE</v>
      </c>
      <c r="G581" s="179">
        <v>1.5698375611055285E-3</v>
      </c>
      <c r="H581" s="180">
        <v>1.6460552176854309E-3</v>
      </c>
      <c r="I581" s="180">
        <v>1.7334051959416068E-3</v>
      </c>
      <c r="J581" s="180">
        <v>2.2046623152336968E-3</v>
      </c>
      <c r="K581" s="180">
        <v>2.0168425927536027E-3</v>
      </c>
      <c r="L581" s="180">
        <v>2.0997855192430963E-3</v>
      </c>
      <c r="M581" s="180">
        <v>3.2408092269649337E-3</v>
      </c>
      <c r="N581" s="180">
        <v>1.7980110839806059E-3</v>
      </c>
      <c r="O581" s="180">
        <v>2.8739818723832944E-3</v>
      </c>
      <c r="P581" s="180">
        <v>2.2255962061739098E-3</v>
      </c>
      <c r="Q581" s="180">
        <v>1.1779071347684854E-3</v>
      </c>
      <c r="R581" s="180">
        <v>1.4606469135339543E-3</v>
      </c>
      <c r="S581" s="180">
        <v>1.8413857882482649E-3</v>
      </c>
      <c r="T581" s="180">
        <v>1.1338883047798758E-3</v>
      </c>
      <c r="U581" s="180">
        <v>1.9825602222543746E-3</v>
      </c>
      <c r="V581" s="180">
        <v>1.0900315820250495E-3</v>
      </c>
      <c r="W581" s="180">
        <v>1.4080437366372094E-3</v>
      </c>
      <c r="X581" s="180">
        <v>1.6476299492810176E-3</v>
      </c>
      <c r="Y581" s="180">
        <v>7.4080885300837902E-4</v>
      </c>
      <c r="Z581" s="180">
        <v>2.1782812682115105E-3</v>
      </c>
      <c r="AA581" s="180">
        <v>6.8149888740689005E-4</v>
      </c>
      <c r="AB581" s="180">
        <v>1.1596920910434683E-3</v>
      </c>
      <c r="AC581" s="180">
        <v>8.669689440805547E-4</v>
      </c>
      <c r="AD581" s="180">
        <v>6.9406421327386882E-4</v>
      </c>
      <c r="AE581" s="180">
        <v>1.9210155408337607E-3</v>
      </c>
      <c r="AF581" s="180">
        <v>1.0256274934399997E-3</v>
      </c>
      <c r="AG581" s="180">
        <v>1.7646874198991678E-3</v>
      </c>
      <c r="AH581" s="180">
        <v>3.1986346053900631E-5</v>
      </c>
      <c r="AI581" s="181">
        <v>1.6264073394302158E-3</v>
      </c>
    </row>
    <row r="582" spans="2:35" x14ac:dyDescent="0.25">
      <c r="B582" s="163" t="str">
        <f>'Market Data'!$B$26</f>
        <v>GS</v>
      </c>
      <c r="C582" s="160">
        <f>Statistics!$G$28</f>
        <v>1.2775975133106521E-2</v>
      </c>
      <c r="E582" s="168">
        <v>0</v>
      </c>
      <c r="F582" s="85" t="str">
        <v>GS</v>
      </c>
      <c r="G582" s="179">
        <v>1.8109156333145874E-3</v>
      </c>
      <c r="H582" s="180">
        <v>3.1197862990926528E-3</v>
      </c>
      <c r="I582" s="180">
        <v>2.2391121271409182E-3</v>
      </c>
      <c r="J582" s="180">
        <v>2.3825247137119567E-3</v>
      </c>
      <c r="K582" s="180">
        <v>2.2177683830845976E-3</v>
      </c>
      <c r="L582" s="180">
        <v>2.495859527554455E-3</v>
      </c>
      <c r="M582" s="180">
        <v>3.1194558916632768E-3</v>
      </c>
      <c r="N582" s="180">
        <v>2.5910429203650125E-3</v>
      </c>
      <c r="O582" s="180">
        <v>2.2255962061739098E-3</v>
      </c>
      <c r="P582" s="180">
        <v>4.8815099105356504E-3</v>
      </c>
      <c r="Q582" s="180">
        <v>1.5442152510598698E-3</v>
      </c>
      <c r="R582" s="180">
        <v>2.2308798805711167E-3</v>
      </c>
      <c r="S582" s="180">
        <v>1.7997270101458302E-3</v>
      </c>
      <c r="T582" s="180">
        <v>7.4857834611503948E-4</v>
      </c>
      <c r="U582" s="180">
        <v>3.8267678235899111E-3</v>
      </c>
      <c r="V582" s="180">
        <v>5.0884399749192373E-4</v>
      </c>
      <c r="W582" s="180">
        <v>1.1844149472533348E-3</v>
      </c>
      <c r="X582" s="180">
        <v>1.5580261625844892E-3</v>
      </c>
      <c r="Y582" s="180">
        <v>9.5059394038900442E-4</v>
      </c>
      <c r="Z582" s="180">
        <v>1.9881521509949444E-3</v>
      </c>
      <c r="AA582" s="180">
        <v>9.2810945195530823E-4</v>
      </c>
      <c r="AB582" s="180">
        <v>1.2974763649140325E-3</v>
      </c>
      <c r="AC582" s="180">
        <v>6.8796273406052837E-4</v>
      </c>
      <c r="AD582" s="180">
        <v>1.248419321363809E-3</v>
      </c>
      <c r="AE582" s="180">
        <v>2.1674424403236793E-3</v>
      </c>
      <c r="AF582" s="180">
        <v>3.7523862948950627E-4</v>
      </c>
      <c r="AG582" s="180">
        <v>2.0541307067505868E-3</v>
      </c>
      <c r="AH582" s="180">
        <v>-5.4295264980806504E-5</v>
      </c>
      <c r="AI582" s="181">
        <v>1.4387650786059658E-3</v>
      </c>
    </row>
    <row r="583" spans="2:35" x14ac:dyDescent="0.25">
      <c r="B583" s="163" t="str">
        <f>'Market Data'!$B$27</f>
        <v>HD</v>
      </c>
      <c r="C583" s="160">
        <f>Statistics!$G$29</f>
        <v>1.8352985528230569E-2</v>
      </c>
      <c r="E583" s="168">
        <v>0.10365731082850843</v>
      </c>
      <c r="F583" s="85" t="str">
        <v>HD</v>
      </c>
      <c r="G583" s="179">
        <v>9.8639311096076088E-4</v>
      </c>
      <c r="H583" s="180">
        <v>1.285962047454306E-3</v>
      </c>
      <c r="I583" s="180">
        <v>1.2911501083222776E-3</v>
      </c>
      <c r="J583" s="180">
        <v>1.0587514228509517E-3</v>
      </c>
      <c r="K583" s="180">
        <v>9.8504335267051509E-4</v>
      </c>
      <c r="L583" s="180">
        <v>7.9860489883547216E-4</v>
      </c>
      <c r="M583" s="180">
        <v>2.0138415935295195E-3</v>
      </c>
      <c r="N583" s="180">
        <v>1.4438567521116873E-3</v>
      </c>
      <c r="O583" s="180">
        <v>1.1779071347684854E-3</v>
      </c>
      <c r="P583" s="180">
        <v>1.5442152510598698E-3</v>
      </c>
      <c r="Q583" s="180">
        <v>1.8880219117441428E-3</v>
      </c>
      <c r="R583" s="180">
        <v>9.3173966010624539E-4</v>
      </c>
      <c r="S583" s="180">
        <v>9.2701062278089308E-4</v>
      </c>
      <c r="T583" s="180">
        <v>6.2481040103688149E-4</v>
      </c>
      <c r="U583" s="180">
        <v>1.4284505514434026E-3</v>
      </c>
      <c r="V583" s="180">
        <v>5.5799413673053339E-4</v>
      </c>
      <c r="W583" s="180">
        <v>7.381374461617429E-4</v>
      </c>
      <c r="X583" s="180">
        <v>1.0633975936011025E-3</v>
      </c>
      <c r="Y583" s="180">
        <v>7.161428946835201E-4</v>
      </c>
      <c r="Z583" s="180">
        <v>1.0017697174583111E-3</v>
      </c>
      <c r="AA583" s="180">
        <v>7.3578315539153108E-4</v>
      </c>
      <c r="AB583" s="180">
        <v>8.5234066580948517E-4</v>
      </c>
      <c r="AC583" s="180">
        <v>4.7474349038820928E-4</v>
      </c>
      <c r="AD583" s="180">
        <v>6.4915062582396636E-4</v>
      </c>
      <c r="AE583" s="180">
        <v>1.2386809813748902E-3</v>
      </c>
      <c r="AF583" s="180">
        <v>1.1189073531181803E-4</v>
      </c>
      <c r="AG583" s="180">
        <v>1.2055891827737501E-3</v>
      </c>
      <c r="AH583" s="180">
        <v>1.9815526434870993E-4</v>
      </c>
      <c r="AI583" s="181">
        <v>5.7016164369997474E-4</v>
      </c>
    </row>
    <row r="584" spans="2:35" x14ac:dyDescent="0.25">
      <c r="B584" s="163" t="str">
        <f>'Market Data'!$B$28</f>
        <v>IBM</v>
      </c>
      <c r="C584" s="160">
        <f>Statistics!$G$30</f>
        <v>-1.0805706759468385E-4</v>
      </c>
      <c r="E584" s="168">
        <v>0</v>
      </c>
      <c r="F584" s="85" t="str">
        <v>IBM</v>
      </c>
      <c r="G584" s="179">
        <v>1.7737023799007877E-3</v>
      </c>
      <c r="H584" s="180">
        <v>1.960684724858895E-3</v>
      </c>
      <c r="I584" s="180">
        <v>1.1336433634722555E-3</v>
      </c>
      <c r="J584" s="180">
        <v>2.1554825858441308E-3</v>
      </c>
      <c r="K584" s="180">
        <v>2.2508292865696072E-3</v>
      </c>
      <c r="L584" s="180">
        <v>1.7099575851328929E-3</v>
      </c>
      <c r="M584" s="180">
        <v>2.4056181433013803E-3</v>
      </c>
      <c r="N584" s="180">
        <v>1.2533920720746924E-3</v>
      </c>
      <c r="O584" s="180">
        <v>1.4606469135339543E-3</v>
      </c>
      <c r="P584" s="180">
        <v>2.2308798805711167E-3</v>
      </c>
      <c r="Q584" s="180">
        <v>9.3173966010624539E-4</v>
      </c>
      <c r="R584" s="180">
        <v>3.3622126456479009E-3</v>
      </c>
      <c r="S584" s="180">
        <v>1.4043690490920693E-3</v>
      </c>
      <c r="T584" s="180">
        <v>5.9347717242683358E-4</v>
      </c>
      <c r="U584" s="180">
        <v>2.0888390371824788E-3</v>
      </c>
      <c r="V584" s="180">
        <v>5.7019303114958723E-4</v>
      </c>
      <c r="W584" s="180">
        <v>5.4513263389601688E-4</v>
      </c>
      <c r="X584" s="180">
        <v>1.0275296737018624E-3</v>
      </c>
      <c r="Y584" s="180">
        <v>1.0097860441379664E-3</v>
      </c>
      <c r="Z584" s="180">
        <v>1.4353906099659559E-3</v>
      </c>
      <c r="AA584" s="180">
        <v>1.3757321359017424E-4</v>
      </c>
      <c r="AB584" s="180">
        <v>7.9545047293496068E-4</v>
      </c>
      <c r="AC584" s="180">
        <v>5.5361049131124631E-4</v>
      </c>
      <c r="AD584" s="180">
        <v>8.8298395118505178E-4</v>
      </c>
      <c r="AE584" s="180">
        <v>1.5169272523521361E-3</v>
      </c>
      <c r="AF584" s="180">
        <v>2.033685246020378E-4</v>
      </c>
      <c r="AG584" s="180">
        <v>1.2306885914741903E-3</v>
      </c>
      <c r="AH584" s="180">
        <v>3.7610030291999273E-4</v>
      </c>
      <c r="AI584" s="181">
        <v>1.0970123689928199E-3</v>
      </c>
    </row>
    <row r="585" spans="2:35" x14ac:dyDescent="0.25">
      <c r="B585" s="163" t="str">
        <f>'Market Data'!$B$29</f>
        <v>INTC</v>
      </c>
      <c r="C585" s="160">
        <f>Statistics!$G$31</f>
        <v>1.4825313209679855E-2</v>
      </c>
      <c r="E585" s="168">
        <v>0</v>
      </c>
      <c r="F585" s="85" t="str">
        <v>INTC</v>
      </c>
      <c r="G585" s="179">
        <v>1.6293191413582805E-3</v>
      </c>
      <c r="H585" s="180">
        <v>2.0715314739138896E-3</v>
      </c>
      <c r="I585" s="180">
        <v>1.485647562986758E-3</v>
      </c>
      <c r="J585" s="180">
        <v>2.3005603160952529E-3</v>
      </c>
      <c r="K585" s="180">
        <v>2.2625583672846289E-3</v>
      </c>
      <c r="L585" s="180">
        <v>1.762362573764028E-3</v>
      </c>
      <c r="M585" s="180">
        <v>2.9333641814070907E-3</v>
      </c>
      <c r="N585" s="180">
        <v>1.4872846501875279E-3</v>
      </c>
      <c r="O585" s="180">
        <v>1.8413857882482649E-3</v>
      </c>
      <c r="P585" s="180">
        <v>1.7997270101458302E-3</v>
      </c>
      <c r="Q585" s="180">
        <v>9.2701062278089308E-4</v>
      </c>
      <c r="R585" s="180">
        <v>1.4043690490920693E-3</v>
      </c>
      <c r="S585" s="180">
        <v>3.8953291630483993E-3</v>
      </c>
      <c r="T585" s="180">
        <v>8.7155825849789608E-4</v>
      </c>
      <c r="U585" s="180">
        <v>1.6338310266769979E-3</v>
      </c>
      <c r="V585" s="180">
        <v>1.1107691361801554E-3</v>
      </c>
      <c r="W585" s="180">
        <v>9.1762089354393737E-4</v>
      </c>
      <c r="X585" s="180">
        <v>1.3291856750406272E-3</v>
      </c>
      <c r="Y585" s="180">
        <v>1.2481991200788169E-3</v>
      </c>
      <c r="Z585" s="180">
        <v>2.824290151917595E-3</v>
      </c>
      <c r="AA585" s="180">
        <v>5.7515792739731505E-4</v>
      </c>
      <c r="AB585" s="180">
        <v>9.9184976149502301E-4</v>
      </c>
      <c r="AC585" s="180">
        <v>7.9168442412031782E-4</v>
      </c>
      <c r="AD585" s="180">
        <v>5.6633014876153942E-4</v>
      </c>
      <c r="AE585" s="180">
        <v>1.2132957377483657E-3</v>
      </c>
      <c r="AF585" s="180">
        <v>8.2166255763751334E-4</v>
      </c>
      <c r="AG585" s="180">
        <v>1.8678530672680304E-3</v>
      </c>
      <c r="AH585" s="180">
        <v>-1.8556188989019865E-5</v>
      </c>
      <c r="AI585" s="181">
        <v>1.0791409093812321E-3</v>
      </c>
    </row>
    <row r="586" spans="2:35" x14ac:dyDescent="0.25">
      <c r="B586" s="163" t="str">
        <f>'Market Data'!$B$30</f>
        <v>JNJ</v>
      </c>
      <c r="C586" s="160">
        <f>Statistics!$G$32</f>
        <v>1.2075919577819831E-2</v>
      </c>
      <c r="E586" s="168">
        <v>0.14638825253056284</v>
      </c>
      <c r="F586" s="85" t="str">
        <v>JNJ</v>
      </c>
      <c r="G586" s="179">
        <v>8.2631268301744008E-4</v>
      </c>
      <c r="H586" s="180">
        <v>7.3945969222275051E-4</v>
      </c>
      <c r="I586" s="180">
        <v>7.7470388279684329E-4</v>
      </c>
      <c r="J586" s="180">
        <v>9.0633949973445221E-4</v>
      </c>
      <c r="K586" s="180">
        <v>1.1094225673998865E-3</v>
      </c>
      <c r="L586" s="180">
        <v>1.0006982850928254E-3</v>
      </c>
      <c r="M586" s="180">
        <v>1.7073269232421356E-3</v>
      </c>
      <c r="N586" s="180">
        <v>7.6090581351824873E-4</v>
      </c>
      <c r="O586" s="180">
        <v>1.1338883047798758E-3</v>
      </c>
      <c r="P586" s="180">
        <v>7.4857834611503948E-4</v>
      </c>
      <c r="Q586" s="180">
        <v>6.2481040103688149E-4</v>
      </c>
      <c r="R586" s="180">
        <v>5.9347717242683358E-4</v>
      </c>
      <c r="S586" s="180">
        <v>8.7155825849789608E-4</v>
      </c>
      <c r="T586" s="180">
        <v>1.3437205064186324E-3</v>
      </c>
      <c r="U586" s="180">
        <v>9.2330996350035955E-4</v>
      </c>
      <c r="V586" s="180">
        <v>8.0248592661524116E-4</v>
      </c>
      <c r="W586" s="180">
        <v>7.2064842002941051E-4</v>
      </c>
      <c r="X586" s="180">
        <v>9.1647163555960687E-4</v>
      </c>
      <c r="Y586" s="180">
        <v>7.8932636294384688E-4</v>
      </c>
      <c r="Z586" s="180">
        <v>8.3950208317612799E-4</v>
      </c>
      <c r="AA586" s="180">
        <v>2.4076387457302071E-4</v>
      </c>
      <c r="AB586" s="180">
        <v>1.174922395291398E-3</v>
      </c>
      <c r="AC586" s="180">
        <v>7.8676359672877393E-4</v>
      </c>
      <c r="AD586" s="180">
        <v>4.4624886795118808E-4</v>
      </c>
      <c r="AE586" s="180">
        <v>1.0117367356107026E-3</v>
      </c>
      <c r="AF586" s="180">
        <v>7.3214708969514145E-4</v>
      </c>
      <c r="AG586" s="180">
        <v>8.2747273857601913E-4</v>
      </c>
      <c r="AH586" s="180">
        <v>7.1470891411086447E-4</v>
      </c>
      <c r="AI586" s="181">
        <v>7.4627799983375924E-4</v>
      </c>
    </row>
    <row r="587" spans="2:35" x14ac:dyDescent="0.25">
      <c r="B587" s="163" t="str">
        <f>'Market Data'!$B$31</f>
        <v>JPM</v>
      </c>
      <c r="C587" s="160">
        <f>Statistics!$G$33</f>
        <v>1.7183196749963128E-2</v>
      </c>
      <c r="E587" s="168">
        <v>0</v>
      </c>
      <c r="F587" s="85" t="str">
        <v>JPM</v>
      </c>
      <c r="G587" s="179">
        <v>1.2529926248616137E-3</v>
      </c>
      <c r="H587" s="180">
        <v>2.7840355446374721E-3</v>
      </c>
      <c r="I587" s="180">
        <v>1.8054441283061249E-3</v>
      </c>
      <c r="J587" s="180">
        <v>2.011937601179676E-3</v>
      </c>
      <c r="K587" s="180">
        <v>2.0831844183308271E-3</v>
      </c>
      <c r="L587" s="180">
        <v>2.159640132817216E-3</v>
      </c>
      <c r="M587" s="180">
        <v>2.9403656750226037E-3</v>
      </c>
      <c r="N587" s="180">
        <v>2.3150492241015347E-3</v>
      </c>
      <c r="O587" s="180">
        <v>1.9825602222543746E-3</v>
      </c>
      <c r="P587" s="180">
        <v>3.8267678235899111E-3</v>
      </c>
      <c r="Q587" s="180">
        <v>1.4284505514434026E-3</v>
      </c>
      <c r="R587" s="180">
        <v>2.0888390371824788E-3</v>
      </c>
      <c r="S587" s="180">
        <v>1.6338310266769979E-3</v>
      </c>
      <c r="T587" s="180">
        <v>9.2330996350035955E-4</v>
      </c>
      <c r="U587" s="180">
        <v>3.6504820104783621E-3</v>
      </c>
      <c r="V587" s="180">
        <v>6.292727988425526E-4</v>
      </c>
      <c r="W587" s="180">
        <v>1.135373183104091E-3</v>
      </c>
      <c r="X587" s="180">
        <v>1.3229022331511452E-3</v>
      </c>
      <c r="Y587" s="180">
        <v>9.9035410413519649E-4</v>
      </c>
      <c r="Z587" s="180">
        <v>2.1029083027690664E-3</v>
      </c>
      <c r="AA587" s="180">
        <v>6.7839144071882979E-4</v>
      </c>
      <c r="AB587" s="180">
        <v>1.3592270505613203E-3</v>
      </c>
      <c r="AC587" s="180">
        <v>7.2953612857905574E-4</v>
      </c>
      <c r="AD587" s="180">
        <v>1.2617149248905092E-3</v>
      </c>
      <c r="AE587" s="180">
        <v>1.8453743354725578E-3</v>
      </c>
      <c r="AF587" s="180">
        <v>3.9836144643633019E-4</v>
      </c>
      <c r="AG587" s="180">
        <v>1.9463933682734615E-3</v>
      </c>
      <c r="AH587" s="180">
        <v>7.503242005510376E-5</v>
      </c>
      <c r="AI587" s="181">
        <v>1.3958094738143344E-3</v>
      </c>
    </row>
    <row r="588" spans="2:35" x14ac:dyDescent="0.25">
      <c r="B588" s="163" t="str">
        <f>'Market Data'!$B$32</f>
        <v>KO</v>
      </c>
      <c r="C588" s="160">
        <f>Statistics!$G$34</f>
        <v>4.1810541872704362E-3</v>
      </c>
      <c r="E588" s="168">
        <v>0</v>
      </c>
      <c r="F588" s="85" t="str">
        <v>KO</v>
      </c>
      <c r="G588" s="179">
        <v>9.6129190129553134E-4</v>
      </c>
      <c r="H588" s="180">
        <v>5.6369017954212687E-4</v>
      </c>
      <c r="I588" s="180">
        <v>9.7196182882881919E-4</v>
      </c>
      <c r="J588" s="180">
        <v>6.586205973694774E-4</v>
      </c>
      <c r="K588" s="180">
        <v>1.0904984859812852E-3</v>
      </c>
      <c r="L588" s="180">
        <v>7.7350953916938299E-4</v>
      </c>
      <c r="M588" s="180">
        <v>1.3828838928124146E-3</v>
      </c>
      <c r="N588" s="180">
        <v>7.3157249166013263E-4</v>
      </c>
      <c r="O588" s="180">
        <v>1.0900315820250495E-3</v>
      </c>
      <c r="P588" s="180">
        <v>5.0884399749192373E-4</v>
      </c>
      <c r="Q588" s="180">
        <v>5.5799413673053339E-4</v>
      </c>
      <c r="R588" s="180">
        <v>5.7019303114958723E-4</v>
      </c>
      <c r="S588" s="180">
        <v>1.1107691361801554E-3</v>
      </c>
      <c r="T588" s="180">
        <v>8.0248592661524116E-4</v>
      </c>
      <c r="U588" s="180">
        <v>6.292727988425526E-4</v>
      </c>
      <c r="V588" s="180">
        <v>1.2210270669043683E-3</v>
      </c>
      <c r="W588" s="180">
        <v>7.9000312454904529E-4</v>
      </c>
      <c r="X588" s="180">
        <v>6.5400026561614926E-4</v>
      </c>
      <c r="Y588" s="180">
        <v>5.6925923112739025E-4</v>
      </c>
      <c r="Z588" s="180">
        <v>1.0711085481253278E-3</v>
      </c>
      <c r="AA588" s="180">
        <v>4.3589033448327737E-4</v>
      </c>
      <c r="AB588" s="180">
        <v>6.3614560547018231E-4</v>
      </c>
      <c r="AC588" s="180">
        <v>6.5740070509151668E-4</v>
      </c>
      <c r="AD588" s="180">
        <v>1.2737483924284157E-4</v>
      </c>
      <c r="AE588" s="180">
        <v>5.7087013169956707E-4</v>
      </c>
      <c r="AF588" s="180">
        <v>4.9096142938173941E-4</v>
      </c>
      <c r="AG588" s="180">
        <v>9.4999344105865064E-4</v>
      </c>
      <c r="AH588" s="180">
        <v>6.4703627119224946E-4</v>
      </c>
      <c r="AI588" s="181">
        <v>5.1805651820066112E-4</v>
      </c>
    </row>
    <row r="589" spans="2:35" x14ac:dyDescent="0.25">
      <c r="B589" s="163" t="str">
        <f>'Market Data'!$B$33</f>
        <v>MCD</v>
      </c>
      <c r="C589" s="160">
        <f>Statistics!$G$35</f>
        <v>8.998422120903465E-3</v>
      </c>
      <c r="E589" s="168">
        <v>0</v>
      </c>
      <c r="F589" s="85" t="str">
        <v>MCD</v>
      </c>
      <c r="G589" s="179">
        <v>4.3723596630614248E-4</v>
      </c>
      <c r="H589" s="180">
        <v>5.9016175595858627E-4</v>
      </c>
      <c r="I589" s="180">
        <v>1.004575731683145E-3</v>
      </c>
      <c r="J589" s="180">
        <v>1.2118483675212872E-3</v>
      </c>
      <c r="K589" s="180">
        <v>8.8656407550750189E-4</v>
      </c>
      <c r="L589" s="180">
        <v>1.2445101608031307E-3</v>
      </c>
      <c r="M589" s="180">
        <v>1.5566945864839937E-3</v>
      </c>
      <c r="N589" s="180">
        <v>1.0434476997331528E-3</v>
      </c>
      <c r="O589" s="180">
        <v>1.4080437366372094E-3</v>
      </c>
      <c r="P589" s="180">
        <v>1.1844149472533348E-3</v>
      </c>
      <c r="Q589" s="180">
        <v>7.381374461617429E-4</v>
      </c>
      <c r="R589" s="180">
        <v>5.4513263389601688E-4</v>
      </c>
      <c r="S589" s="180">
        <v>9.1762089354393737E-4</v>
      </c>
      <c r="T589" s="180">
        <v>7.2064842002941051E-4</v>
      </c>
      <c r="U589" s="180">
        <v>1.135373183104091E-3</v>
      </c>
      <c r="V589" s="180">
        <v>7.9000312454904529E-4</v>
      </c>
      <c r="W589" s="180">
        <v>1.7650690545216805E-3</v>
      </c>
      <c r="X589" s="180">
        <v>7.9590651205676567E-4</v>
      </c>
      <c r="Y589" s="180">
        <v>5.886623345512683E-4</v>
      </c>
      <c r="Z589" s="180">
        <v>1.2284698745461862E-3</v>
      </c>
      <c r="AA589" s="180">
        <v>4.3355644868225306E-4</v>
      </c>
      <c r="AB589" s="180">
        <v>9.4939047744066322E-4</v>
      </c>
      <c r="AC589" s="180">
        <v>4.0611550084338323E-4</v>
      </c>
      <c r="AD589" s="180">
        <v>3.5874031329227935E-4</v>
      </c>
      <c r="AE589" s="180">
        <v>8.7888532505727346E-4</v>
      </c>
      <c r="AF589" s="180">
        <v>6.7734327840461236E-4</v>
      </c>
      <c r="AG589" s="180">
        <v>1.0020182531469391E-3</v>
      </c>
      <c r="AH589" s="180">
        <v>4.237060092283065E-5</v>
      </c>
      <c r="AI589" s="181">
        <v>6.6389606634421081E-4</v>
      </c>
    </row>
    <row r="590" spans="2:35" x14ac:dyDescent="0.25">
      <c r="B590" s="163" t="str">
        <f>'Market Data'!$B$34</f>
        <v>MMM</v>
      </c>
      <c r="C590" s="160">
        <f>Statistics!$G$36</f>
        <v>1.5280500930100561E-2</v>
      </c>
      <c r="E590" s="168">
        <v>0</v>
      </c>
      <c r="F590" s="85" t="str">
        <v>MMM</v>
      </c>
      <c r="G590" s="179">
        <v>1.6042263123932821E-3</v>
      </c>
      <c r="H590" s="180">
        <v>1.3680882736390085E-3</v>
      </c>
      <c r="I590" s="180">
        <v>1.220072170107771E-3</v>
      </c>
      <c r="J590" s="180">
        <v>1.3778500117759705E-3</v>
      </c>
      <c r="K590" s="180">
        <v>1.6594658489014636E-3</v>
      </c>
      <c r="L590" s="180">
        <v>1.3396872809028706E-3</v>
      </c>
      <c r="M590" s="180">
        <v>2.4333011024343194E-3</v>
      </c>
      <c r="N590" s="180">
        <v>1.3935802423237448E-3</v>
      </c>
      <c r="O590" s="180">
        <v>1.6476299492810176E-3</v>
      </c>
      <c r="P590" s="180">
        <v>1.5580261625844892E-3</v>
      </c>
      <c r="Q590" s="180">
        <v>1.0633975936011025E-3</v>
      </c>
      <c r="R590" s="180">
        <v>1.0275296737018624E-3</v>
      </c>
      <c r="S590" s="180">
        <v>1.3291856750406272E-3</v>
      </c>
      <c r="T590" s="180">
        <v>9.1647163555960687E-4</v>
      </c>
      <c r="U590" s="180">
        <v>1.3229022331511452E-3</v>
      </c>
      <c r="V590" s="180">
        <v>6.5400026561614926E-4</v>
      </c>
      <c r="W590" s="180">
        <v>7.9590651205676567E-4</v>
      </c>
      <c r="X590" s="180">
        <v>1.9007159701372343E-3</v>
      </c>
      <c r="Y590" s="180">
        <v>9.3087542856500223E-4</v>
      </c>
      <c r="Z590" s="180">
        <v>9.5021437706372129E-4</v>
      </c>
      <c r="AA590" s="180">
        <v>7.5220949128439868E-4</v>
      </c>
      <c r="AB590" s="180">
        <v>1.1108584905280188E-3</v>
      </c>
      <c r="AC590" s="180">
        <v>7.8023777188204919E-4</v>
      </c>
      <c r="AD590" s="180">
        <v>9.8369986573183495E-4</v>
      </c>
      <c r="AE590" s="180">
        <v>1.8471574472775569E-3</v>
      </c>
      <c r="AF590" s="180">
        <v>5.9539589470078522E-4</v>
      </c>
      <c r="AG590" s="180">
        <v>1.59984129324471E-3</v>
      </c>
      <c r="AH590" s="180">
        <v>4.5051539698961655E-4</v>
      </c>
      <c r="AI590" s="181">
        <v>1.2697174541958882E-3</v>
      </c>
    </row>
    <row r="591" spans="2:35" x14ac:dyDescent="0.25">
      <c r="B591" s="163" t="str">
        <f>'Market Data'!$B$35</f>
        <v>MRK</v>
      </c>
      <c r="C591" s="160">
        <f>Statistics!$G$37</f>
        <v>1.1473476041634185E-2</v>
      </c>
      <c r="E591" s="168">
        <v>0</v>
      </c>
      <c r="F591" s="85" t="str">
        <v>MRK</v>
      </c>
      <c r="G591" s="179">
        <v>6.6280896407091964E-4</v>
      </c>
      <c r="H591" s="180">
        <v>9.5675499919051471E-4</v>
      </c>
      <c r="I591" s="180">
        <v>1.3506721993334096E-3</v>
      </c>
      <c r="J591" s="180">
        <v>1.6454661341138513E-3</v>
      </c>
      <c r="K591" s="180">
        <v>1.2877752599161352E-3</v>
      </c>
      <c r="L591" s="180">
        <v>1.0548817345930506E-3</v>
      </c>
      <c r="M591" s="180">
        <v>2.1034755337789339E-3</v>
      </c>
      <c r="N591" s="180">
        <v>1.1180874248259017E-3</v>
      </c>
      <c r="O591" s="180">
        <v>7.4080885300837902E-4</v>
      </c>
      <c r="P591" s="180">
        <v>9.5059394038900442E-4</v>
      </c>
      <c r="Q591" s="180">
        <v>7.161428946835201E-4</v>
      </c>
      <c r="R591" s="180">
        <v>1.0097860441379664E-3</v>
      </c>
      <c r="S591" s="180">
        <v>1.2481991200788169E-3</v>
      </c>
      <c r="T591" s="180">
        <v>7.8932636294384688E-4</v>
      </c>
      <c r="U591" s="180">
        <v>9.9035410413519649E-4</v>
      </c>
      <c r="V591" s="180">
        <v>5.6925923112739025E-4</v>
      </c>
      <c r="W591" s="180">
        <v>5.886623345512683E-4</v>
      </c>
      <c r="X591" s="180">
        <v>9.3087542856500223E-4</v>
      </c>
      <c r="Y591" s="180">
        <v>2.5431403633519077E-3</v>
      </c>
      <c r="Z591" s="180">
        <v>1.0039618395335291E-3</v>
      </c>
      <c r="AA591" s="180">
        <v>3.4083858597475385E-4</v>
      </c>
      <c r="AB591" s="180">
        <v>1.3412346285691251E-3</v>
      </c>
      <c r="AC591" s="180">
        <v>3.7529952314904947E-4</v>
      </c>
      <c r="AD591" s="180">
        <v>8.5985137540516086E-4</v>
      </c>
      <c r="AE591" s="180">
        <v>1.4646144344401168E-3</v>
      </c>
      <c r="AF591" s="180">
        <v>3.3006228708408361E-4</v>
      </c>
      <c r="AG591" s="180">
        <v>1.1984054366898813E-3</v>
      </c>
      <c r="AH591" s="180">
        <v>4.389896882024129E-4</v>
      </c>
      <c r="AI591" s="181">
        <v>5.8214330295854532E-4</v>
      </c>
    </row>
    <row r="592" spans="2:35" x14ac:dyDescent="0.25">
      <c r="B592" s="163" t="str">
        <f>'Market Data'!$B$36</f>
        <v>MSFT</v>
      </c>
      <c r="C592" s="160">
        <f>Statistics!$G$38</f>
        <v>2.1777833497491961E-2</v>
      </c>
      <c r="E592" s="168">
        <v>8.4495566513298134E-2</v>
      </c>
      <c r="F592" s="85" t="str">
        <v>MSFT</v>
      </c>
      <c r="G592" s="179">
        <v>1.7656054736670385E-3</v>
      </c>
      <c r="H592" s="180">
        <v>1.7453927826798744E-3</v>
      </c>
      <c r="I592" s="180">
        <v>1.4618979219237266E-3</v>
      </c>
      <c r="J592" s="180">
        <v>2.2842322526096018E-3</v>
      </c>
      <c r="K592" s="180">
        <v>2.1511833371391734E-3</v>
      </c>
      <c r="L592" s="180">
        <v>1.921523261676006E-3</v>
      </c>
      <c r="M592" s="180">
        <v>3.4647817866697963E-3</v>
      </c>
      <c r="N592" s="180">
        <v>1.7514488094562146E-3</v>
      </c>
      <c r="O592" s="180">
        <v>2.1782812682115105E-3</v>
      </c>
      <c r="P592" s="180">
        <v>1.9881521509949444E-3</v>
      </c>
      <c r="Q592" s="180">
        <v>1.0017697174583111E-3</v>
      </c>
      <c r="R592" s="180">
        <v>1.4353906099659559E-3</v>
      </c>
      <c r="S592" s="180">
        <v>2.824290151917595E-3</v>
      </c>
      <c r="T592" s="180">
        <v>8.3950208317612799E-4</v>
      </c>
      <c r="U592" s="180">
        <v>2.1029083027690664E-3</v>
      </c>
      <c r="V592" s="180">
        <v>1.0711085481253278E-3</v>
      </c>
      <c r="W592" s="180">
        <v>1.2284698745461862E-3</v>
      </c>
      <c r="X592" s="180">
        <v>9.5021437706372129E-4</v>
      </c>
      <c r="Y592" s="180">
        <v>1.0039618395335291E-3</v>
      </c>
      <c r="Z592" s="180">
        <v>4.5817164894349687E-3</v>
      </c>
      <c r="AA592" s="180">
        <v>9.1111393401995618E-4</v>
      </c>
      <c r="AB592" s="180">
        <v>1.1007292150403058E-3</v>
      </c>
      <c r="AC592" s="180">
        <v>1.0300601718935634E-3</v>
      </c>
      <c r="AD592" s="180">
        <v>2.4058610256342332E-4</v>
      </c>
      <c r="AE592" s="180">
        <v>9.3007091875184366E-4</v>
      </c>
      <c r="AF592" s="180">
        <v>7.4555370224549768E-4</v>
      </c>
      <c r="AG592" s="180">
        <v>1.5294825998788863E-3</v>
      </c>
      <c r="AH592" s="180">
        <v>-3.4970831020819231E-4</v>
      </c>
      <c r="AI592" s="181">
        <v>1.2219742467918569E-3</v>
      </c>
    </row>
    <row r="593" spans="2:35" x14ac:dyDescent="0.25">
      <c r="B593" s="163" t="str">
        <f>'Market Data'!$B$37</f>
        <v>NKE</v>
      </c>
      <c r="C593" s="160">
        <f>Statistics!$G$39</f>
        <v>1.5970247269241938E-2</v>
      </c>
      <c r="E593" s="168">
        <v>0.17960846091160171</v>
      </c>
      <c r="F593" s="85" t="str">
        <v>NKE</v>
      </c>
      <c r="G593" s="179">
        <v>7.4054258425286133E-4</v>
      </c>
      <c r="H593" s="180">
        <v>9.1418204127611028E-4</v>
      </c>
      <c r="I593" s="180">
        <v>1.1825978430535619E-3</v>
      </c>
      <c r="J593" s="180">
        <v>-1.1104731462091626E-4</v>
      </c>
      <c r="K593" s="180">
        <v>7.2136303147440504E-4</v>
      </c>
      <c r="L593" s="180">
        <v>-3.0145919518466895E-4</v>
      </c>
      <c r="M593" s="180">
        <v>1.371253710214986E-3</v>
      </c>
      <c r="N593" s="180">
        <v>1.1713887062549742E-3</v>
      </c>
      <c r="O593" s="180">
        <v>6.8149888740689005E-4</v>
      </c>
      <c r="P593" s="180">
        <v>9.2810945195530823E-4</v>
      </c>
      <c r="Q593" s="180">
        <v>7.3578315539153108E-4</v>
      </c>
      <c r="R593" s="180">
        <v>1.3757321359017424E-4</v>
      </c>
      <c r="S593" s="180">
        <v>5.7515792739731505E-4</v>
      </c>
      <c r="T593" s="180">
        <v>2.4076387457302071E-4</v>
      </c>
      <c r="U593" s="180">
        <v>6.7839144071882979E-4</v>
      </c>
      <c r="V593" s="180">
        <v>4.3589033448327737E-4</v>
      </c>
      <c r="W593" s="180">
        <v>4.3355644868225306E-4</v>
      </c>
      <c r="X593" s="180">
        <v>7.5220949128439868E-4</v>
      </c>
      <c r="Y593" s="180">
        <v>3.4083858597475385E-4</v>
      </c>
      <c r="Z593" s="180">
        <v>9.1111393401995618E-4</v>
      </c>
      <c r="AA593" s="180">
        <v>2.7193308407813446E-3</v>
      </c>
      <c r="AB593" s="180">
        <v>5.6615292191577104E-4</v>
      </c>
      <c r="AC593" s="180">
        <v>3.6538493696828688E-4</v>
      </c>
      <c r="AD593" s="180">
        <v>8.9669180264711685E-5</v>
      </c>
      <c r="AE593" s="180">
        <v>4.9140530374502923E-4</v>
      </c>
      <c r="AF593" s="180">
        <v>1.0278859564771125E-5</v>
      </c>
      <c r="AG593" s="180">
        <v>1.2162400994020978E-3</v>
      </c>
      <c r="AH593" s="180">
        <v>1.3266739677968515E-5</v>
      </c>
      <c r="AI593" s="181">
        <v>-1.9722713194093662E-4</v>
      </c>
    </row>
    <row r="594" spans="2:35" x14ac:dyDescent="0.25">
      <c r="B594" s="163" t="str">
        <f>'Market Data'!$B$38</f>
        <v>PFE</v>
      </c>
      <c r="C594" s="160">
        <f>Statistics!$G$40</f>
        <v>7.6042605716081235E-3</v>
      </c>
      <c r="E594" s="168">
        <v>0</v>
      </c>
      <c r="F594" s="85" t="str">
        <v>PFE</v>
      </c>
      <c r="G594" s="179">
        <v>1.105136574328315E-3</v>
      </c>
      <c r="H594" s="180">
        <v>1.0081234358528435E-3</v>
      </c>
      <c r="I594" s="180">
        <v>1.2950969606515986E-3</v>
      </c>
      <c r="J594" s="180">
        <v>7.9610645869862182E-4</v>
      </c>
      <c r="K594" s="180">
        <v>1.5185012123350332E-3</v>
      </c>
      <c r="L594" s="180">
        <v>1.0966581694716135E-3</v>
      </c>
      <c r="M594" s="180">
        <v>2.2541080192876768E-3</v>
      </c>
      <c r="N594" s="180">
        <v>1.4909638464124207E-3</v>
      </c>
      <c r="O594" s="180">
        <v>1.1596920910434683E-3</v>
      </c>
      <c r="P594" s="180">
        <v>1.2974763649140325E-3</v>
      </c>
      <c r="Q594" s="180">
        <v>8.5234066580948517E-4</v>
      </c>
      <c r="R594" s="180">
        <v>7.9545047293496068E-4</v>
      </c>
      <c r="S594" s="180">
        <v>9.9184976149502301E-4</v>
      </c>
      <c r="T594" s="180">
        <v>1.174922395291398E-3</v>
      </c>
      <c r="U594" s="180">
        <v>1.3592270505613203E-3</v>
      </c>
      <c r="V594" s="180">
        <v>6.3614560547018231E-4</v>
      </c>
      <c r="W594" s="180">
        <v>9.4939047744066322E-4</v>
      </c>
      <c r="X594" s="180">
        <v>1.1108584905280188E-3</v>
      </c>
      <c r="Y594" s="180">
        <v>1.3412346285691251E-3</v>
      </c>
      <c r="Z594" s="180">
        <v>1.1007292150403058E-3</v>
      </c>
      <c r="AA594" s="180">
        <v>5.6615292191577104E-4</v>
      </c>
      <c r="AB594" s="180">
        <v>2.4354805215546461E-3</v>
      </c>
      <c r="AC594" s="180">
        <v>7.7698221980775051E-4</v>
      </c>
      <c r="AD594" s="180">
        <v>7.5423895885674786E-4</v>
      </c>
      <c r="AE594" s="180">
        <v>1.3524566727664237E-3</v>
      </c>
      <c r="AF594" s="180">
        <v>6.9733723903610885E-4</v>
      </c>
      <c r="AG594" s="180">
        <v>1.6142857385330945E-3</v>
      </c>
      <c r="AH594" s="180">
        <v>6.1756439897017149E-4</v>
      </c>
      <c r="AI594" s="181">
        <v>8.1835922434987771E-4</v>
      </c>
    </row>
    <row r="595" spans="2:35" x14ac:dyDescent="0.25">
      <c r="B595" s="163" t="str">
        <f>'Market Data'!$B$39</f>
        <v>PG</v>
      </c>
      <c r="C595" s="160">
        <f>Statistics!$G$41</f>
        <v>6.7668222923833359E-3</v>
      </c>
      <c r="E595" s="168">
        <v>0</v>
      </c>
      <c r="F595" s="85" t="str">
        <v>PG</v>
      </c>
      <c r="G595" s="179">
        <v>1.0336127768185608E-3</v>
      </c>
      <c r="H595" s="180">
        <v>4.150551569421239E-4</v>
      </c>
      <c r="I595" s="180">
        <v>5.997217417536032E-4</v>
      </c>
      <c r="J595" s="180">
        <v>4.9254664842985144E-4</v>
      </c>
      <c r="K595" s="180">
        <v>1.0690588122897406E-3</v>
      </c>
      <c r="L595" s="180">
        <v>8.4385070363078498E-4</v>
      </c>
      <c r="M595" s="180">
        <v>1.1783213677355128E-3</v>
      </c>
      <c r="N595" s="180">
        <v>6.6920552953337459E-4</v>
      </c>
      <c r="O595" s="180">
        <v>8.669689440805547E-4</v>
      </c>
      <c r="P595" s="180">
        <v>6.8796273406052837E-4</v>
      </c>
      <c r="Q595" s="180">
        <v>4.7474349038820928E-4</v>
      </c>
      <c r="R595" s="180">
        <v>5.5361049131124631E-4</v>
      </c>
      <c r="S595" s="180">
        <v>7.9168442412031782E-4</v>
      </c>
      <c r="T595" s="180">
        <v>7.8676359672877393E-4</v>
      </c>
      <c r="U595" s="180">
        <v>7.2953612857905574E-4</v>
      </c>
      <c r="V595" s="180">
        <v>6.5740070509151668E-4</v>
      </c>
      <c r="W595" s="180">
        <v>4.0611550084338323E-4</v>
      </c>
      <c r="X595" s="180">
        <v>7.8023777188204919E-4</v>
      </c>
      <c r="Y595" s="180">
        <v>3.7529952314904947E-4</v>
      </c>
      <c r="Z595" s="180">
        <v>1.0300601718935634E-3</v>
      </c>
      <c r="AA595" s="180">
        <v>3.6538493696828688E-4</v>
      </c>
      <c r="AB595" s="180">
        <v>7.7698221980775051E-4</v>
      </c>
      <c r="AC595" s="180">
        <v>1.4111752678343567E-3</v>
      </c>
      <c r="AD595" s="180">
        <v>1.723275330802805E-4</v>
      </c>
      <c r="AE595" s="180">
        <v>6.4008748533685535E-4</v>
      </c>
      <c r="AF595" s="180">
        <v>2.3535220881827705E-4</v>
      </c>
      <c r="AG595" s="180">
        <v>9.2172519542926422E-4</v>
      </c>
      <c r="AH595" s="180">
        <v>7.2490049760504278E-4</v>
      </c>
      <c r="AI595" s="181">
        <v>6.1092932367000222E-4</v>
      </c>
    </row>
    <row r="596" spans="2:35" x14ac:dyDescent="0.25">
      <c r="B596" s="163" t="str">
        <f>'Market Data'!$B$40</f>
        <v>UNH</v>
      </c>
      <c r="C596" s="160">
        <f>Statistics!$G$42</f>
        <v>2.4695057092687361E-2</v>
      </c>
      <c r="E596" s="168">
        <v>0.42765583996405671</v>
      </c>
      <c r="F596" s="85" t="str">
        <v>UNH</v>
      </c>
      <c r="G596" s="179">
        <v>5.5673881663560775E-4</v>
      </c>
      <c r="H596" s="180">
        <v>9.035040942327959E-4</v>
      </c>
      <c r="I596" s="180">
        <v>6.5863568330466196E-4</v>
      </c>
      <c r="J596" s="180">
        <v>7.8373416165496384E-4</v>
      </c>
      <c r="K596" s="180">
        <v>1.0321561899434074E-3</v>
      </c>
      <c r="L596" s="180">
        <v>8.9699068571536217E-4</v>
      </c>
      <c r="M596" s="180">
        <v>1.3915459916452729E-3</v>
      </c>
      <c r="N596" s="180">
        <v>9.9320622386439117E-4</v>
      </c>
      <c r="O596" s="180">
        <v>6.9406421327386882E-4</v>
      </c>
      <c r="P596" s="180">
        <v>1.248419321363809E-3</v>
      </c>
      <c r="Q596" s="180">
        <v>6.4915062582396636E-4</v>
      </c>
      <c r="R596" s="180">
        <v>8.8298395118505178E-4</v>
      </c>
      <c r="S596" s="180">
        <v>5.6633014876153942E-4</v>
      </c>
      <c r="T596" s="180">
        <v>4.4624886795118808E-4</v>
      </c>
      <c r="U596" s="180">
        <v>1.2617149248905092E-3</v>
      </c>
      <c r="V596" s="180">
        <v>1.2737483924284157E-4</v>
      </c>
      <c r="W596" s="180">
        <v>3.5874031329227935E-4</v>
      </c>
      <c r="X596" s="180">
        <v>9.8369986573183495E-4</v>
      </c>
      <c r="Y596" s="180">
        <v>8.5985137540516086E-4</v>
      </c>
      <c r="Z596" s="180">
        <v>2.4058610256342332E-4</v>
      </c>
      <c r="AA596" s="180">
        <v>8.9669180264711685E-5</v>
      </c>
      <c r="AB596" s="180">
        <v>7.5423895885674786E-4</v>
      </c>
      <c r="AC596" s="180">
        <v>1.723275330802805E-4</v>
      </c>
      <c r="AD596" s="180">
        <v>1.9588021355587989E-3</v>
      </c>
      <c r="AE596" s="180">
        <v>1.3013762269017E-3</v>
      </c>
      <c r="AF596" s="180">
        <v>4.3562344006968111E-4</v>
      </c>
      <c r="AG596" s="180">
        <v>6.7255745531353401E-4</v>
      </c>
      <c r="AH596" s="180">
        <v>2.5472583633253342E-4</v>
      </c>
      <c r="AI596" s="181">
        <v>7.6037739981613735E-4</v>
      </c>
    </row>
    <row r="597" spans="2:35" x14ac:dyDescent="0.25">
      <c r="B597" s="163" t="str">
        <f>'Market Data'!$B$41</f>
        <v>UTX</v>
      </c>
      <c r="C597" s="160">
        <f>Statistics!$G$43</f>
        <v>7.3861111519648165E-3</v>
      </c>
      <c r="E597" s="168">
        <v>0</v>
      </c>
      <c r="F597" s="85" t="str">
        <v>UTX</v>
      </c>
      <c r="G597" s="179">
        <v>1.2367738317379871E-3</v>
      </c>
      <c r="H597" s="180">
        <v>1.9679940702890687E-3</v>
      </c>
      <c r="I597" s="180">
        <v>1.846395156096473E-3</v>
      </c>
      <c r="J597" s="180">
        <v>2.1924453554447642E-3</v>
      </c>
      <c r="K597" s="180">
        <v>2.0848208418056797E-3</v>
      </c>
      <c r="L597" s="180">
        <v>1.7655731333339048E-3</v>
      </c>
      <c r="M597" s="180">
        <v>3.4844332298577191E-3</v>
      </c>
      <c r="N597" s="180">
        <v>1.6618009644053405E-3</v>
      </c>
      <c r="O597" s="180">
        <v>1.9210155408337607E-3</v>
      </c>
      <c r="P597" s="180">
        <v>2.1674424403236793E-3</v>
      </c>
      <c r="Q597" s="180">
        <v>1.2386809813748902E-3</v>
      </c>
      <c r="R597" s="180">
        <v>1.5169272523521361E-3</v>
      </c>
      <c r="S597" s="180">
        <v>1.2132957377483657E-3</v>
      </c>
      <c r="T597" s="180">
        <v>1.0117367356107026E-3</v>
      </c>
      <c r="U597" s="180">
        <v>1.8453743354725578E-3</v>
      </c>
      <c r="V597" s="180">
        <v>5.7087013169956707E-4</v>
      </c>
      <c r="W597" s="180">
        <v>8.7888532505727346E-4</v>
      </c>
      <c r="X597" s="180">
        <v>1.8471574472775569E-3</v>
      </c>
      <c r="Y597" s="180">
        <v>1.4646144344401168E-3</v>
      </c>
      <c r="Z597" s="180">
        <v>9.3007091875184366E-4</v>
      </c>
      <c r="AA597" s="180">
        <v>4.9140530374502923E-4</v>
      </c>
      <c r="AB597" s="180">
        <v>1.3524566727664237E-3</v>
      </c>
      <c r="AC597" s="180">
        <v>6.4008748533685535E-4</v>
      </c>
      <c r="AD597" s="180">
        <v>1.3013762269017E-3</v>
      </c>
      <c r="AE597" s="180">
        <v>3.1502830070701034E-3</v>
      </c>
      <c r="AF597" s="180">
        <v>3.2120511051046262E-4</v>
      </c>
      <c r="AG597" s="180">
        <v>1.6964262161404888E-3</v>
      </c>
      <c r="AH597" s="180">
        <v>2.8814451862251201E-4</v>
      </c>
      <c r="AI597" s="181">
        <v>1.3259012920786922E-3</v>
      </c>
    </row>
    <row r="598" spans="2:35" x14ac:dyDescent="0.25">
      <c r="B598" s="163" t="str">
        <f>'Market Data'!$B$42</f>
        <v>VZ</v>
      </c>
      <c r="C598" s="160">
        <f>Statistics!$G$44</f>
        <v>5.0086030759070753E-3</v>
      </c>
      <c r="E598" s="168">
        <v>0</v>
      </c>
      <c r="F598" s="85" t="str">
        <v>VZ</v>
      </c>
      <c r="G598" s="179">
        <v>1.8457278448214234E-4</v>
      </c>
      <c r="H598" s="180">
        <v>-7.7366109832012643E-5</v>
      </c>
      <c r="I598" s="180">
        <v>3.7914592931386057E-4</v>
      </c>
      <c r="J598" s="180">
        <v>6.8929109799853135E-4</v>
      </c>
      <c r="K598" s="180">
        <v>5.9888719676582812E-4</v>
      </c>
      <c r="L598" s="180">
        <v>7.5916190680994219E-4</v>
      </c>
      <c r="M598" s="180">
        <v>9.2727826439514978E-4</v>
      </c>
      <c r="N598" s="180">
        <v>5.8624704841600517E-4</v>
      </c>
      <c r="O598" s="180">
        <v>1.0256274934399997E-3</v>
      </c>
      <c r="P598" s="180">
        <v>3.7523862948950627E-4</v>
      </c>
      <c r="Q598" s="180">
        <v>1.1189073531181803E-4</v>
      </c>
      <c r="R598" s="180">
        <v>2.033685246020378E-4</v>
      </c>
      <c r="S598" s="180">
        <v>8.2166255763751334E-4</v>
      </c>
      <c r="T598" s="180">
        <v>7.3214708969514145E-4</v>
      </c>
      <c r="U598" s="180">
        <v>3.9836144643633019E-4</v>
      </c>
      <c r="V598" s="180">
        <v>4.9096142938173941E-4</v>
      </c>
      <c r="W598" s="180">
        <v>6.7734327840461236E-4</v>
      </c>
      <c r="X598" s="180">
        <v>5.9539589470078522E-4</v>
      </c>
      <c r="Y598" s="180">
        <v>3.3006228708408361E-4</v>
      </c>
      <c r="Z598" s="180">
        <v>7.4555370224549768E-4</v>
      </c>
      <c r="AA598" s="180">
        <v>1.0278859564771125E-5</v>
      </c>
      <c r="AB598" s="180">
        <v>6.9733723903610885E-4</v>
      </c>
      <c r="AC598" s="180">
        <v>2.3535220881827705E-4</v>
      </c>
      <c r="AD598" s="180">
        <v>4.3562344006968111E-4</v>
      </c>
      <c r="AE598" s="180">
        <v>3.2120511051046262E-4</v>
      </c>
      <c r="AF598" s="180">
        <v>2.0420562729853461E-3</v>
      </c>
      <c r="AG598" s="180">
        <v>3.5270826394507459E-4</v>
      </c>
      <c r="AH598" s="180">
        <v>4.5696587310639262E-4</v>
      </c>
      <c r="AI598" s="181">
        <v>6.4524949399266879E-4</v>
      </c>
    </row>
    <row r="599" spans="2:35" x14ac:dyDescent="0.25">
      <c r="B599" s="163" t="str">
        <f>'Market Data'!$B$43</f>
        <v>V</v>
      </c>
      <c r="C599" s="160">
        <f>Statistics!$G$45</f>
        <v>1.7947618128132319E-2</v>
      </c>
      <c r="E599" s="168">
        <v>0</v>
      </c>
      <c r="F599" s="85" t="str">
        <v>V</v>
      </c>
      <c r="G599" s="179">
        <v>1.5697677901095443E-3</v>
      </c>
      <c r="H599" s="180">
        <v>2.1563583115517065E-3</v>
      </c>
      <c r="I599" s="180">
        <v>2.2475777063178958E-3</v>
      </c>
      <c r="J599" s="180">
        <v>1.4624027030174886E-3</v>
      </c>
      <c r="K599" s="180">
        <v>2.8598074505702059E-3</v>
      </c>
      <c r="L599" s="180">
        <v>9.2897312946466114E-4</v>
      </c>
      <c r="M599" s="180">
        <v>3.0677861856869904E-3</v>
      </c>
      <c r="N599" s="180">
        <v>2.2204011828610088E-3</v>
      </c>
      <c r="O599" s="180">
        <v>1.7646874198991678E-3</v>
      </c>
      <c r="P599" s="180">
        <v>2.0541307067505868E-3</v>
      </c>
      <c r="Q599" s="180">
        <v>1.2055891827737501E-3</v>
      </c>
      <c r="R599" s="180">
        <v>1.2306885914741903E-3</v>
      </c>
      <c r="S599" s="180">
        <v>1.8678530672680304E-3</v>
      </c>
      <c r="T599" s="180">
        <v>8.2747273857601913E-4</v>
      </c>
      <c r="U599" s="180">
        <v>1.9463933682734615E-3</v>
      </c>
      <c r="V599" s="180">
        <v>9.4999344105865064E-4</v>
      </c>
      <c r="W599" s="180">
        <v>1.0020182531469391E-3</v>
      </c>
      <c r="X599" s="180">
        <v>1.59984129324471E-3</v>
      </c>
      <c r="Y599" s="180">
        <v>1.1984054366898813E-3</v>
      </c>
      <c r="Z599" s="180">
        <v>1.5294825998788863E-3</v>
      </c>
      <c r="AA599" s="180">
        <v>1.2162400994020978E-3</v>
      </c>
      <c r="AB599" s="180">
        <v>1.6142857385330945E-3</v>
      </c>
      <c r="AC599" s="180">
        <v>9.2172519542926422E-4</v>
      </c>
      <c r="AD599" s="180">
        <v>6.7255745531353401E-4</v>
      </c>
      <c r="AE599" s="180">
        <v>1.6964262161404888E-3</v>
      </c>
      <c r="AF599" s="180">
        <v>3.5270826394507459E-4</v>
      </c>
      <c r="AG599" s="180">
        <v>3.6944718915923875E-3</v>
      </c>
      <c r="AH599" s="180">
        <v>2.1280259291490004E-4</v>
      </c>
      <c r="AI599" s="181">
        <v>9.4116112769672574E-4</v>
      </c>
    </row>
    <row r="600" spans="2:35" x14ac:dyDescent="0.25">
      <c r="B600" s="163" t="str">
        <f>'Market Data'!$B$44</f>
        <v>WMT</v>
      </c>
      <c r="C600" s="160">
        <f>Statistics!$G$46</f>
        <v>1.8437214178450567E-3</v>
      </c>
      <c r="E600" s="168">
        <v>2.2734854314357685E-2</v>
      </c>
      <c r="F600" s="85" t="str">
        <v>WMT</v>
      </c>
      <c r="G600" s="179">
        <v>5.7975796375205426E-4</v>
      </c>
      <c r="H600" s="180">
        <v>2.6973274792062105E-5</v>
      </c>
      <c r="I600" s="180">
        <v>1.7979190170774528E-4</v>
      </c>
      <c r="J600" s="180">
        <v>-2.1581932882750213E-4</v>
      </c>
      <c r="K600" s="180">
        <v>3.2563207166723412E-4</v>
      </c>
      <c r="L600" s="180">
        <v>1.437380584121094E-4</v>
      </c>
      <c r="M600" s="180">
        <v>-2.3301122426120984E-5</v>
      </c>
      <c r="N600" s="180">
        <v>-1.1672694641114529E-4</v>
      </c>
      <c r="O600" s="180">
        <v>3.1986346053900631E-5</v>
      </c>
      <c r="P600" s="180">
        <v>-5.4295264980806504E-5</v>
      </c>
      <c r="Q600" s="180">
        <v>1.9815526434870993E-4</v>
      </c>
      <c r="R600" s="180">
        <v>3.7610030291999273E-4</v>
      </c>
      <c r="S600" s="180">
        <v>-1.8556188989019865E-5</v>
      </c>
      <c r="T600" s="180">
        <v>7.1470891411086447E-4</v>
      </c>
      <c r="U600" s="180">
        <v>7.503242005510376E-5</v>
      </c>
      <c r="V600" s="180">
        <v>6.4703627119224946E-4</v>
      </c>
      <c r="W600" s="180">
        <v>4.237060092283065E-5</v>
      </c>
      <c r="X600" s="180">
        <v>4.5051539698961655E-4</v>
      </c>
      <c r="Y600" s="180">
        <v>4.389896882024129E-4</v>
      </c>
      <c r="Z600" s="180">
        <v>-3.4970831020819231E-4</v>
      </c>
      <c r="AA600" s="180">
        <v>1.3266739677968515E-5</v>
      </c>
      <c r="AB600" s="180">
        <v>6.1756439897017149E-4</v>
      </c>
      <c r="AC600" s="180">
        <v>7.2490049760504278E-4</v>
      </c>
      <c r="AD600" s="180">
        <v>2.5472583633253342E-4</v>
      </c>
      <c r="AE600" s="180">
        <v>2.8814451862251201E-4</v>
      </c>
      <c r="AF600" s="180">
        <v>4.5696587310639262E-4</v>
      </c>
      <c r="AG600" s="180">
        <v>2.1280259291490004E-4</v>
      </c>
      <c r="AH600" s="180">
        <v>1.9253008332035728E-3</v>
      </c>
      <c r="AI600" s="181">
        <v>9.9417778748729687E-5</v>
      </c>
    </row>
    <row r="601" spans="2:35" x14ac:dyDescent="0.25">
      <c r="B601" s="164" t="str">
        <f>'Market Data'!$B$45</f>
        <v>XOM</v>
      </c>
      <c r="C601" s="165">
        <f>Statistics!$G$47</f>
        <v>1.7101166353118678E-3</v>
      </c>
      <c r="E601" s="169">
        <v>0</v>
      </c>
      <c r="F601" s="86" t="str">
        <v>XOM</v>
      </c>
      <c r="G601" s="179">
        <v>8.3126780280069973E-4</v>
      </c>
      <c r="H601" s="180">
        <v>9.0240454872836753E-4</v>
      </c>
      <c r="I601" s="180">
        <v>5.5785917505375118E-4</v>
      </c>
      <c r="J601" s="180">
        <v>1.368945659107327E-3</v>
      </c>
      <c r="K601" s="180">
        <v>1.3701802479257339E-3</v>
      </c>
      <c r="L601" s="180">
        <v>1.9286286807754067E-3</v>
      </c>
      <c r="M601" s="180">
        <v>2.1182301102402332E-3</v>
      </c>
      <c r="N601" s="180">
        <v>1.3292278052638991E-3</v>
      </c>
      <c r="O601" s="180">
        <v>1.6264073394302158E-3</v>
      </c>
      <c r="P601" s="180">
        <v>1.4387650786059658E-3</v>
      </c>
      <c r="Q601" s="180">
        <v>5.7016164369997474E-4</v>
      </c>
      <c r="R601" s="180">
        <v>1.0970123689928199E-3</v>
      </c>
      <c r="S601" s="180">
        <v>1.0791409093812321E-3</v>
      </c>
      <c r="T601" s="180">
        <v>7.4627799983375924E-4</v>
      </c>
      <c r="U601" s="180">
        <v>1.3958094738143344E-3</v>
      </c>
      <c r="V601" s="180">
        <v>5.1805651820066112E-4</v>
      </c>
      <c r="W601" s="180">
        <v>6.6389606634421081E-4</v>
      </c>
      <c r="X601" s="180">
        <v>1.2697174541958882E-3</v>
      </c>
      <c r="Y601" s="180">
        <v>5.8214330295854532E-4</v>
      </c>
      <c r="Z601" s="180">
        <v>1.2219742467918569E-3</v>
      </c>
      <c r="AA601" s="180">
        <v>-1.9722713194093662E-4</v>
      </c>
      <c r="AB601" s="180">
        <v>8.1835922434987771E-4</v>
      </c>
      <c r="AC601" s="180">
        <v>6.1092932367000222E-4</v>
      </c>
      <c r="AD601" s="180">
        <v>7.6037739981613735E-4</v>
      </c>
      <c r="AE601" s="180">
        <v>1.3259012920786922E-3</v>
      </c>
      <c r="AF601" s="180">
        <v>6.4524949399266879E-4</v>
      </c>
      <c r="AG601" s="180">
        <v>9.4116112769672574E-4</v>
      </c>
      <c r="AH601" s="180">
        <v>9.9417778748729687E-5</v>
      </c>
      <c r="AI601" s="181">
        <v>1.845802781732033E-3</v>
      </c>
    </row>
    <row r="602" spans="2:35" x14ac:dyDescent="0.25">
      <c r="B602" s="3"/>
      <c r="C602" s="3"/>
      <c r="D602" s="3"/>
      <c r="E602" s="182">
        <f>SUM(TR12_PORTFOLIO_WEIGHTS)</f>
        <v>1.0000000000000002</v>
      </c>
      <c r="F602" s="3"/>
      <c r="G602" s="184">
        <f>_xll.SumProduct2(TR12_PORTFOLIO_WEIGHTS,G573:G601) * G571</f>
        <v>3.2510275509689707E-5</v>
      </c>
      <c r="H602" s="185">
        <f>_xll.SumProduct2(TR12_PORTFOLIO_WEIGHTS,H573:H601) * H571</f>
        <v>0</v>
      </c>
      <c r="I602" s="185">
        <f>_xll.SumProduct2(TR12_PORTFOLIO_WEIGHTS,I573:I601) * I571</f>
        <v>0</v>
      </c>
      <c r="J602" s="185">
        <f>_xll.SumProduct2(TR12_PORTFOLIO_WEIGHTS,J573:J601) * J571</f>
        <v>0</v>
      </c>
      <c r="K602" s="185">
        <f>_xll.SumProduct2(TR12_PORTFOLIO_WEIGHTS,K573:K601) * K571</f>
        <v>0</v>
      </c>
      <c r="L602" s="185">
        <f>_xll.SumProduct2(TR12_PORTFOLIO_WEIGHTS,L573:L601) * L571</f>
        <v>0</v>
      </c>
      <c r="M602" s="185">
        <f>_xll.SumProduct2(TR12_PORTFOLIO_WEIGHTS,M573:M601) * M571</f>
        <v>0</v>
      </c>
      <c r="N602" s="185">
        <f>_xll.SumProduct2(TR12_PORTFOLIO_WEIGHTS,N573:N601) * N571</f>
        <v>0</v>
      </c>
      <c r="O602" s="185">
        <f>_xll.SumProduct2(TR12_PORTFOLIO_WEIGHTS,O573:O601) * O571</f>
        <v>0</v>
      </c>
      <c r="P602" s="185">
        <f>_xll.SumProduct2(TR12_PORTFOLIO_WEIGHTS,P573:P601) * P571</f>
        <v>0</v>
      </c>
      <c r="Q602" s="185">
        <f>_xll.SumProduct2(TR12_PORTFOLIO_WEIGHTS,Q573:Q601) * Q571</f>
        <v>8.5109437864388805E-5</v>
      </c>
      <c r="R602" s="185">
        <f>_xll.SumProduct2(TR12_PORTFOLIO_WEIGHTS,R573:R601) * R571</f>
        <v>0</v>
      </c>
      <c r="S602" s="185">
        <f>_xll.SumProduct2(TR12_PORTFOLIO_WEIGHTS,S573:S601) * S571</f>
        <v>0</v>
      </c>
      <c r="T602" s="185">
        <f>_xll.SumProduct2(TR12_PORTFOLIO_WEIGHTS,T573:T601) * T571</f>
        <v>8.9595326354263314E-5</v>
      </c>
      <c r="U602" s="186">
        <f>_xll.SumProduct2(TR12_PORTFOLIO_WEIGHTS,U573:U601) * U571</f>
        <v>0</v>
      </c>
      <c r="V602" s="186">
        <f>_xll.SumProduct2(TR12_PORTFOLIO_WEIGHTS,V573:V601) * V571</f>
        <v>0</v>
      </c>
      <c r="W602" s="186">
        <f>_xll.SumProduct2(TR12_PORTFOLIO_WEIGHTS,W573:W601) * W571</f>
        <v>0</v>
      </c>
      <c r="X602" s="186">
        <f>_xll.SumProduct2(TR12_PORTFOLIO_WEIGHTS,X573:X601) * X571</f>
        <v>0</v>
      </c>
      <c r="Y602" s="186">
        <f>_xll.SumProduct2(TR12_PORTFOLIO_WEIGHTS,Y573:Y601) * Y571</f>
        <v>0</v>
      </c>
      <c r="Z602" s="186">
        <f>_xll.SumProduct2(TR12_PORTFOLIO_WEIGHTS,Z573:Z601) * Z571</f>
        <v>7.9008242825589239E-5</v>
      </c>
      <c r="AA602" s="186">
        <f>_xll.SumProduct2(TR12_PORTFOLIO_WEIGHTS,AA573:AA601) * AA571</f>
        <v>1.3323765426577198E-4</v>
      </c>
      <c r="AB602" s="186">
        <f>_xll.SumProduct2(TR12_PORTFOLIO_WEIGHTS,AB573:AB601) * AB571</f>
        <v>0</v>
      </c>
      <c r="AC602" s="186">
        <f>_xll.SumProduct2(TR12_PORTFOLIO_WEIGHTS,AC573:AC601) * AC571</f>
        <v>0</v>
      </c>
      <c r="AD602" s="186">
        <f>_xll.SumProduct2(TR12_PORTFOLIO_WEIGHTS,AD573:AD601) * AD571</f>
        <v>4.4145831663604956E-4</v>
      </c>
      <c r="AE602" s="186">
        <f>_xll.SumProduct2(TR12_PORTFOLIO_WEIGHTS,AE573:AE601) * AE571</f>
        <v>0</v>
      </c>
      <c r="AF602" s="186">
        <f>_xll.SumProduct2(TR12_PORTFOLIO_WEIGHTS,AF573:AF601) * AF571</f>
        <v>0</v>
      </c>
      <c r="AG602" s="186">
        <f>_xll.SumProduct2(TR12_PORTFOLIO_WEIGHTS,AG573:AG601) * AG571</f>
        <v>0</v>
      </c>
      <c r="AH602" s="186">
        <f>_xll.SumProduct2(TR12_PORTFOLIO_WEIGHTS,AH573:AH601) * AH571</f>
        <v>6.167141275966095E-6</v>
      </c>
      <c r="AI602" s="187">
        <f>_xll.SumProduct2(TR12_PORTFOLIO_WEIGHTS,AI573:AI601) * AI571</f>
        <v>0</v>
      </c>
    </row>
    <row r="603" spans="2:35" x14ac:dyDescent="0.25">
      <c r="C603" s="5"/>
      <c r="E603" s="5"/>
      <c r="R603" s="6"/>
      <c r="T603" s="6"/>
      <c r="V603" s="6"/>
      <c r="W603" s="6"/>
      <c r="Y603" s="6"/>
      <c r="AA603" s="6"/>
      <c r="AB603" s="6"/>
      <c r="AC603" s="6"/>
      <c r="AF603" s="6"/>
      <c r="AG603" s="6"/>
      <c r="AH603" s="6"/>
      <c r="AI603" s="6"/>
    </row>
    <row r="604" spans="2:35" ht="20.25" thickBot="1" x14ac:dyDescent="0.35">
      <c r="B604" s="153" t="str">
        <f>ROUND(TR13_PORTFOLIO_TARGET_RETURN*100, LABEL_ROUNDING) &amp; "% Target Return Portfolio (TR13)"</f>
        <v>2.135% Target Return Portfolio (TR13)</v>
      </c>
      <c r="C604" s="153"/>
      <c r="D604" s="153"/>
      <c r="E604" s="154"/>
      <c r="F604" s="153"/>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155"/>
      <c r="AD604" s="155"/>
      <c r="AE604" s="155"/>
      <c r="AF604" s="155"/>
      <c r="AG604" s="155"/>
      <c r="AH604" s="155"/>
      <c r="AI604" s="155"/>
    </row>
    <row r="605" spans="2:35" ht="15.75" thickTop="1" x14ac:dyDescent="0.25">
      <c r="B605" s="156" t="s">
        <v>70</v>
      </c>
      <c r="C605" s="159">
        <f>TR13_PORTFOLIO_TARGET_RETURN</f>
        <v>2.1353259611642816E-2</v>
      </c>
    </row>
    <row r="606" spans="2:35" x14ac:dyDescent="0.25">
      <c r="B606" s="157" t="s">
        <v>60</v>
      </c>
      <c r="C606" s="160">
        <f>_xll.SumProduct2(TR13_PORTFOLIO_EXPECTED_RETURNS, TR13_PORTFOLIO_WEIGHTS) - RISK_FREE_RATE</f>
        <v>2.1353259569373322E-2</v>
      </c>
    </row>
    <row r="607" spans="2:35" x14ac:dyDescent="0.25">
      <c r="B607" s="157" t="s">
        <v>62</v>
      </c>
      <c r="C607" s="160">
        <f>SQRT(SUM(G640:AI640))</f>
        <v>3.1628589172916062E-2</v>
      </c>
    </row>
    <row r="608" spans="2:35" x14ac:dyDescent="0.25">
      <c r="B608" s="158" t="s">
        <v>103</v>
      </c>
      <c r="C608" s="161" t="str">
        <f>_xll.TimeSeries.CovarianceMatrixCalculator.apply(COVARIANCE_MATRIX_CALCULATOR,'Efficient Frontier'!B611:B639,Statistics!$F$19:$F$47)</f>
        <v>»LabelledMatrix-16705291694770987821</v>
      </c>
      <c r="D608" t="s">
        <v>77</v>
      </c>
    </row>
    <row r="609" spans="2:35" x14ac:dyDescent="0.25">
      <c r="F609" s="111" t="s">
        <v>69</v>
      </c>
      <c r="G609" s="170">
        <f t="array" ref="G609:AI609">TRANSPOSE(TR13_PORTFOLIO_WEIGHTS)</f>
        <v>5.3998702941837701E-2</v>
      </c>
      <c r="H609" s="171">
        <v>0</v>
      </c>
      <c r="I609" s="171">
        <v>0</v>
      </c>
      <c r="J609" s="171">
        <v>0</v>
      </c>
      <c r="K609" s="171">
        <v>0</v>
      </c>
      <c r="L609" s="171">
        <v>0</v>
      </c>
      <c r="M609" s="171">
        <v>0</v>
      </c>
      <c r="N609" s="171">
        <v>0</v>
      </c>
      <c r="O609" s="171">
        <v>0</v>
      </c>
      <c r="P609" s="171">
        <v>0</v>
      </c>
      <c r="Q609" s="171">
        <v>0.10627380432735896</v>
      </c>
      <c r="R609" s="171">
        <v>0</v>
      </c>
      <c r="S609" s="171">
        <v>0</v>
      </c>
      <c r="T609" s="171">
        <v>5.2394475039689026E-2</v>
      </c>
      <c r="U609" s="171">
        <v>0</v>
      </c>
      <c r="V609" s="171">
        <v>0</v>
      </c>
      <c r="W609" s="171">
        <v>0</v>
      </c>
      <c r="X609" s="171">
        <v>0</v>
      </c>
      <c r="Y609" s="171">
        <v>0</v>
      </c>
      <c r="Z609" s="171">
        <v>0.10863126043507117</v>
      </c>
      <c r="AA609" s="171">
        <v>0.16824578600815188</v>
      </c>
      <c r="AB609" s="171">
        <v>0</v>
      </c>
      <c r="AC609" s="171">
        <v>0</v>
      </c>
      <c r="AD609" s="171">
        <v>0.51045597124789122</v>
      </c>
      <c r="AE609" s="171">
        <v>0</v>
      </c>
      <c r="AF609" s="171">
        <v>0</v>
      </c>
      <c r="AG609" s="171">
        <v>0</v>
      </c>
      <c r="AH609" s="171">
        <v>0</v>
      </c>
      <c r="AI609" s="172">
        <v>0</v>
      </c>
    </row>
    <row r="610" spans="2:35" x14ac:dyDescent="0.25">
      <c r="C610" s="111" t="s">
        <v>63</v>
      </c>
      <c r="E610" s="89" t="s">
        <v>69</v>
      </c>
      <c r="F610" s="166" t="str">
        <f t="array" ref="F610:AI639">_xll.Matrix.ExpandAsArray(C608)</f>
        <v/>
      </c>
      <c r="G610" s="173" t="str">
        <v>AAPL</v>
      </c>
      <c r="H610" s="174" t="str">
        <v>AXP</v>
      </c>
      <c r="I610" s="174" t="str">
        <v>BA</v>
      </c>
      <c r="J610" s="174" t="str">
        <v>CAT</v>
      </c>
      <c r="K610" s="174" t="str">
        <v>CSCO</v>
      </c>
      <c r="L610" s="174" t="str">
        <v>CVX</v>
      </c>
      <c r="M610" s="174" t="str">
        <v>DD</v>
      </c>
      <c r="N610" s="174" t="str">
        <v>DIS</v>
      </c>
      <c r="O610" s="174" t="str">
        <v>GE</v>
      </c>
      <c r="P610" s="174" t="str">
        <v>GS</v>
      </c>
      <c r="Q610" s="174" t="str">
        <v>HD</v>
      </c>
      <c r="R610" s="174" t="str">
        <v>IBM</v>
      </c>
      <c r="S610" s="174" t="str">
        <v>INTC</v>
      </c>
      <c r="T610" s="174" t="str">
        <v>JNJ</v>
      </c>
      <c r="U610" s="174" t="str">
        <v>JPM</v>
      </c>
      <c r="V610" s="174" t="str">
        <v>KO</v>
      </c>
      <c r="W610" s="174" t="str">
        <v>MCD</v>
      </c>
      <c r="X610" s="174" t="str">
        <v>MMM</v>
      </c>
      <c r="Y610" s="174" t="str">
        <v>MRK</v>
      </c>
      <c r="Z610" s="174" t="str">
        <v>MSFT</v>
      </c>
      <c r="AA610" s="174" t="str">
        <v>NKE</v>
      </c>
      <c r="AB610" s="174" t="str">
        <v>PFE</v>
      </c>
      <c r="AC610" s="174" t="str">
        <v>PG</v>
      </c>
      <c r="AD610" s="174" t="str">
        <v>UNH</v>
      </c>
      <c r="AE610" s="174" t="str">
        <v>UTX</v>
      </c>
      <c r="AF610" s="174" t="str">
        <v>VZ</v>
      </c>
      <c r="AG610" s="174" t="str">
        <v>V</v>
      </c>
      <c r="AH610" s="174" t="str">
        <v>WMT</v>
      </c>
      <c r="AI610" s="175" t="str">
        <v>XOM</v>
      </c>
    </row>
    <row r="611" spans="2:35" x14ac:dyDescent="0.25">
      <c r="B611" s="162" t="str">
        <f>'Market Data'!$B$17</f>
        <v>AAPL</v>
      </c>
      <c r="C611" s="159">
        <f>Statistics!$G$19</f>
        <v>2.1230184800142136E-2</v>
      </c>
      <c r="E611" s="167">
        <v>5.3998702941837701E-2</v>
      </c>
      <c r="F611" s="84" t="str">
        <v>AAPL</v>
      </c>
      <c r="G611" s="176">
        <v>4.5162973293162668E-3</v>
      </c>
      <c r="H611" s="177">
        <v>1.6284380645241216E-3</v>
      </c>
      <c r="I611" s="177">
        <v>1.6201491796022521E-3</v>
      </c>
      <c r="J611" s="177">
        <v>1.5690359790962263E-3</v>
      </c>
      <c r="K611" s="177">
        <v>2.3505409053430782E-3</v>
      </c>
      <c r="L611" s="177">
        <v>1.1773098260505132E-3</v>
      </c>
      <c r="M611" s="177">
        <v>2.5889638042653502E-3</v>
      </c>
      <c r="N611" s="177">
        <v>1.366655807124157E-3</v>
      </c>
      <c r="O611" s="177">
        <v>1.5698375611055285E-3</v>
      </c>
      <c r="P611" s="177">
        <v>1.8109156333145874E-3</v>
      </c>
      <c r="Q611" s="177">
        <v>9.8639311096076088E-4</v>
      </c>
      <c r="R611" s="177">
        <v>1.7737023799007877E-3</v>
      </c>
      <c r="S611" s="177">
        <v>1.6293191413582805E-3</v>
      </c>
      <c r="T611" s="177">
        <v>8.2631268301744008E-4</v>
      </c>
      <c r="U611" s="177">
        <v>1.2529926248616137E-3</v>
      </c>
      <c r="V611" s="177">
        <v>9.6129190129553134E-4</v>
      </c>
      <c r="W611" s="177">
        <v>4.3723596630614248E-4</v>
      </c>
      <c r="X611" s="177">
        <v>1.6042263123932821E-3</v>
      </c>
      <c r="Y611" s="177">
        <v>6.6280896407091964E-4</v>
      </c>
      <c r="Z611" s="177">
        <v>1.7656054736670385E-3</v>
      </c>
      <c r="AA611" s="177">
        <v>7.4054258425286133E-4</v>
      </c>
      <c r="AB611" s="177">
        <v>1.105136574328315E-3</v>
      </c>
      <c r="AC611" s="177">
        <v>1.0336127768185608E-3</v>
      </c>
      <c r="AD611" s="177">
        <v>5.5673881663560775E-4</v>
      </c>
      <c r="AE611" s="177">
        <v>1.2367738317379871E-3</v>
      </c>
      <c r="AF611" s="177">
        <v>1.8457278448214234E-4</v>
      </c>
      <c r="AG611" s="177">
        <v>1.5697677901095443E-3</v>
      </c>
      <c r="AH611" s="177">
        <v>5.7975796375205426E-4</v>
      </c>
      <c r="AI611" s="178">
        <v>8.3126780280069973E-4</v>
      </c>
    </row>
    <row r="612" spans="2:35" x14ac:dyDescent="0.25">
      <c r="B612" s="163" t="str">
        <f>'Market Data'!$B$18</f>
        <v>AXP</v>
      </c>
      <c r="C612" s="160">
        <f>Statistics!$G$20</f>
        <v>6.4918343965214677E-3</v>
      </c>
      <c r="E612" s="168">
        <v>0</v>
      </c>
      <c r="F612" s="85" t="str">
        <v>AXP</v>
      </c>
      <c r="G612" s="179">
        <v>1.6284380645241216E-3</v>
      </c>
      <c r="H612" s="180">
        <v>4.0660324753009668E-3</v>
      </c>
      <c r="I612" s="180">
        <v>2.3214948032735548E-3</v>
      </c>
      <c r="J612" s="180">
        <v>2.4672804057197504E-3</v>
      </c>
      <c r="K612" s="180">
        <v>2.2861035048804129E-3</v>
      </c>
      <c r="L612" s="180">
        <v>1.4106472819975181E-3</v>
      </c>
      <c r="M612" s="180">
        <v>3.0070268955997704E-3</v>
      </c>
      <c r="N612" s="180">
        <v>1.9718583562846406E-3</v>
      </c>
      <c r="O612" s="180">
        <v>1.6460552176854309E-3</v>
      </c>
      <c r="P612" s="180">
        <v>3.1197862990926528E-3</v>
      </c>
      <c r="Q612" s="180">
        <v>1.285962047454306E-3</v>
      </c>
      <c r="R612" s="180">
        <v>1.960684724858895E-3</v>
      </c>
      <c r="S612" s="180">
        <v>2.0715314739138896E-3</v>
      </c>
      <c r="T612" s="180">
        <v>7.3945969222275051E-4</v>
      </c>
      <c r="U612" s="180">
        <v>2.7840355446374721E-3</v>
      </c>
      <c r="V612" s="180">
        <v>5.6369017954212687E-4</v>
      </c>
      <c r="W612" s="180">
        <v>5.9016175595858627E-4</v>
      </c>
      <c r="X612" s="180">
        <v>1.3680882736390085E-3</v>
      </c>
      <c r="Y612" s="180">
        <v>9.5675499919051471E-4</v>
      </c>
      <c r="Z612" s="180">
        <v>1.7453927826798744E-3</v>
      </c>
      <c r="AA612" s="180">
        <v>9.1418204127611028E-4</v>
      </c>
      <c r="AB612" s="180">
        <v>1.0081234358528435E-3</v>
      </c>
      <c r="AC612" s="180">
        <v>4.150551569421239E-4</v>
      </c>
      <c r="AD612" s="180">
        <v>9.035040942327959E-4</v>
      </c>
      <c r="AE612" s="180">
        <v>1.9679940702890687E-3</v>
      </c>
      <c r="AF612" s="180">
        <v>-7.7366109832012643E-5</v>
      </c>
      <c r="AG612" s="180">
        <v>2.1563583115517065E-3</v>
      </c>
      <c r="AH612" s="180">
        <v>2.6973274792062105E-5</v>
      </c>
      <c r="AI612" s="181">
        <v>9.0240454872836753E-4</v>
      </c>
    </row>
    <row r="613" spans="2:35" x14ac:dyDescent="0.25">
      <c r="B613" s="163" t="str">
        <f>'Market Data'!$B$19</f>
        <v>BA</v>
      </c>
      <c r="C613" s="160">
        <f>Statistics!$G$21</f>
        <v>1.9250861766613322E-2</v>
      </c>
      <c r="E613" s="168">
        <v>0</v>
      </c>
      <c r="F613" s="85" t="str">
        <v>BA</v>
      </c>
      <c r="G613" s="179">
        <v>1.6201491796022521E-3</v>
      </c>
      <c r="H613" s="180">
        <v>2.3214948032735548E-3</v>
      </c>
      <c r="I613" s="180">
        <v>3.7402935775721971E-3</v>
      </c>
      <c r="J613" s="180">
        <v>1.6046317611050844E-3</v>
      </c>
      <c r="K613" s="180">
        <v>2.1240240973260023E-3</v>
      </c>
      <c r="L613" s="180">
        <v>1.3419066335272889E-3</v>
      </c>
      <c r="M613" s="180">
        <v>3.1629198402818382E-3</v>
      </c>
      <c r="N613" s="180">
        <v>2.193611301570318E-3</v>
      </c>
      <c r="O613" s="180">
        <v>1.7334051959416068E-3</v>
      </c>
      <c r="P613" s="180">
        <v>2.2391121271409182E-3</v>
      </c>
      <c r="Q613" s="180">
        <v>1.2911501083222776E-3</v>
      </c>
      <c r="R613" s="180">
        <v>1.1336433634722555E-3</v>
      </c>
      <c r="S613" s="180">
        <v>1.485647562986758E-3</v>
      </c>
      <c r="T613" s="180">
        <v>7.7470388279684329E-4</v>
      </c>
      <c r="U613" s="180">
        <v>1.8054441283061249E-3</v>
      </c>
      <c r="V613" s="180">
        <v>9.7196182882881919E-4</v>
      </c>
      <c r="W613" s="180">
        <v>1.004575731683145E-3</v>
      </c>
      <c r="X613" s="180">
        <v>1.220072170107771E-3</v>
      </c>
      <c r="Y613" s="180">
        <v>1.3506721993334096E-3</v>
      </c>
      <c r="Z613" s="180">
        <v>1.4618979219237266E-3</v>
      </c>
      <c r="AA613" s="180">
        <v>1.1825978430535619E-3</v>
      </c>
      <c r="AB613" s="180">
        <v>1.2950969606515986E-3</v>
      </c>
      <c r="AC613" s="180">
        <v>5.997217417536032E-4</v>
      </c>
      <c r="AD613" s="180">
        <v>6.5863568330466196E-4</v>
      </c>
      <c r="AE613" s="180">
        <v>1.846395156096473E-3</v>
      </c>
      <c r="AF613" s="180">
        <v>3.7914592931386057E-4</v>
      </c>
      <c r="AG613" s="180">
        <v>2.2475777063178958E-3</v>
      </c>
      <c r="AH613" s="180">
        <v>1.7979190170774528E-4</v>
      </c>
      <c r="AI613" s="181">
        <v>5.5785917505375118E-4</v>
      </c>
    </row>
    <row r="614" spans="2:35" x14ac:dyDescent="0.25">
      <c r="B614" s="163" t="str">
        <f>'Market Data'!$B$20</f>
        <v>CAT</v>
      </c>
      <c r="C614" s="160">
        <f>Statistics!$G$22</f>
        <v>6.3545919720494892E-3</v>
      </c>
      <c r="E614" s="168">
        <v>0</v>
      </c>
      <c r="F614" s="85" t="str">
        <v>CAT</v>
      </c>
      <c r="G614" s="179">
        <v>1.5690359790962263E-3</v>
      </c>
      <c r="H614" s="180">
        <v>2.4672804057197504E-3</v>
      </c>
      <c r="I614" s="180">
        <v>1.6046317611050844E-3</v>
      </c>
      <c r="J614" s="180">
        <v>4.5013491323716076E-3</v>
      </c>
      <c r="K614" s="180">
        <v>1.8532157140411887E-3</v>
      </c>
      <c r="L614" s="180">
        <v>2.2352946064681648E-3</v>
      </c>
      <c r="M614" s="180">
        <v>3.0429489894058951E-3</v>
      </c>
      <c r="N614" s="180">
        <v>1.6981712196612736E-3</v>
      </c>
      <c r="O614" s="180">
        <v>2.2046623152336968E-3</v>
      </c>
      <c r="P614" s="180">
        <v>2.3825247137119567E-3</v>
      </c>
      <c r="Q614" s="180">
        <v>1.0587514228509517E-3</v>
      </c>
      <c r="R614" s="180">
        <v>2.1554825858441308E-3</v>
      </c>
      <c r="S614" s="180">
        <v>2.3005603160952529E-3</v>
      </c>
      <c r="T614" s="180">
        <v>9.0633949973445221E-4</v>
      </c>
      <c r="U614" s="180">
        <v>2.011937601179676E-3</v>
      </c>
      <c r="V614" s="180">
        <v>6.586205973694774E-4</v>
      </c>
      <c r="W614" s="180">
        <v>1.2118483675212872E-3</v>
      </c>
      <c r="X614" s="180">
        <v>1.3778500117759705E-3</v>
      </c>
      <c r="Y614" s="180">
        <v>1.6454661341138513E-3</v>
      </c>
      <c r="Z614" s="180">
        <v>2.2842322526096018E-3</v>
      </c>
      <c r="AA614" s="180">
        <v>-1.1104731462091626E-4</v>
      </c>
      <c r="AB614" s="180">
        <v>7.9610645869862182E-4</v>
      </c>
      <c r="AC614" s="180">
        <v>4.9254664842985144E-4</v>
      </c>
      <c r="AD614" s="180">
        <v>7.8373416165496384E-4</v>
      </c>
      <c r="AE614" s="180">
        <v>2.1924453554447642E-3</v>
      </c>
      <c r="AF614" s="180">
        <v>6.8929109799853135E-4</v>
      </c>
      <c r="AG614" s="180">
        <v>1.4624027030174886E-3</v>
      </c>
      <c r="AH614" s="180">
        <v>-2.1581932882750213E-4</v>
      </c>
      <c r="AI614" s="181">
        <v>1.368945659107327E-3</v>
      </c>
    </row>
    <row r="615" spans="2:35" x14ac:dyDescent="0.25">
      <c r="B615" s="163" t="str">
        <f>'Market Data'!$B$21</f>
        <v>CSCO</v>
      </c>
      <c r="C615" s="160">
        <f>Statistics!$G$23</f>
        <v>1.4928779568119917E-2</v>
      </c>
      <c r="E615" s="168">
        <v>0</v>
      </c>
      <c r="F615" s="85" t="str">
        <v>CSCO</v>
      </c>
      <c r="G615" s="179">
        <v>2.3505409053430782E-3</v>
      </c>
      <c r="H615" s="180">
        <v>2.2861035048804129E-3</v>
      </c>
      <c r="I615" s="180">
        <v>2.1240240973260023E-3</v>
      </c>
      <c r="J615" s="180">
        <v>1.8532157140411887E-3</v>
      </c>
      <c r="K615" s="180">
        <v>4.2943797540477393E-3</v>
      </c>
      <c r="L615" s="180">
        <v>1.6495950515362169E-3</v>
      </c>
      <c r="M615" s="180">
        <v>3.7036865533827041E-3</v>
      </c>
      <c r="N615" s="180">
        <v>1.9090150380186609E-3</v>
      </c>
      <c r="O615" s="180">
        <v>2.0168425927536027E-3</v>
      </c>
      <c r="P615" s="180">
        <v>2.2177683830845976E-3</v>
      </c>
      <c r="Q615" s="180">
        <v>9.8504335267051509E-4</v>
      </c>
      <c r="R615" s="180">
        <v>2.2508292865696072E-3</v>
      </c>
      <c r="S615" s="180">
        <v>2.2625583672846289E-3</v>
      </c>
      <c r="T615" s="180">
        <v>1.1094225673998865E-3</v>
      </c>
      <c r="U615" s="180">
        <v>2.0831844183308271E-3</v>
      </c>
      <c r="V615" s="180">
        <v>1.0904984859812852E-3</v>
      </c>
      <c r="W615" s="180">
        <v>8.8656407550750189E-4</v>
      </c>
      <c r="X615" s="180">
        <v>1.6594658489014636E-3</v>
      </c>
      <c r="Y615" s="180">
        <v>1.2877752599161352E-3</v>
      </c>
      <c r="Z615" s="180">
        <v>2.1511833371391734E-3</v>
      </c>
      <c r="AA615" s="180">
        <v>7.2136303147440504E-4</v>
      </c>
      <c r="AB615" s="180">
        <v>1.5185012123350332E-3</v>
      </c>
      <c r="AC615" s="180">
        <v>1.0690588122897406E-3</v>
      </c>
      <c r="AD615" s="180">
        <v>1.0321561899434074E-3</v>
      </c>
      <c r="AE615" s="180">
        <v>2.0848208418056797E-3</v>
      </c>
      <c r="AF615" s="180">
        <v>5.9888719676582812E-4</v>
      </c>
      <c r="AG615" s="180">
        <v>2.8598074505702059E-3</v>
      </c>
      <c r="AH615" s="180">
        <v>3.2563207166723412E-4</v>
      </c>
      <c r="AI615" s="181">
        <v>1.3701802479257339E-3</v>
      </c>
    </row>
    <row r="616" spans="2:35" x14ac:dyDescent="0.25">
      <c r="B616" s="163" t="str">
        <f>'Market Data'!$B$22</f>
        <v>CVX</v>
      </c>
      <c r="C616" s="160">
        <f>Statistics!$G$24</f>
        <v>2.6845541907593424E-3</v>
      </c>
      <c r="E616" s="168">
        <v>0</v>
      </c>
      <c r="F616" s="85" t="str">
        <v>CVX</v>
      </c>
      <c r="G616" s="179">
        <v>1.1773098260505132E-3</v>
      </c>
      <c r="H616" s="180">
        <v>1.4106472819975181E-3</v>
      </c>
      <c r="I616" s="180">
        <v>1.3419066335272889E-3</v>
      </c>
      <c r="J616" s="180">
        <v>2.2352946064681648E-3</v>
      </c>
      <c r="K616" s="180">
        <v>1.6495950515362169E-3</v>
      </c>
      <c r="L616" s="180">
        <v>3.2764948408559465E-3</v>
      </c>
      <c r="M616" s="180">
        <v>2.8277959806832817E-3</v>
      </c>
      <c r="N616" s="180">
        <v>1.8200348202442435E-3</v>
      </c>
      <c r="O616" s="180">
        <v>2.0997855192430963E-3</v>
      </c>
      <c r="P616" s="180">
        <v>2.495859527554455E-3</v>
      </c>
      <c r="Q616" s="180">
        <v>7.9860489883547216E-4</v>
      </c>
      <c r="R616" s="180">
        <v>1.7099575851328929E-3</v>
      </c>
      <c r="S616" s="180">
        <v>1.762362573764028E-3</v>
      </c>
      <c r="T616" s="180">
        <v>1.0006982850928254E-3</v>
      </c>
      <c r="U616" s="180">
        <v>2.159640132817216E-3</v>
      </c>
      <c r="V616" s="180">
        <v>7.7350953916938299E-4</v>
      </c>
      <c r="W616" s="180">
        <v>1.2445101608031307E-3</v>
      </c>
      <c r="X616" s="180">
        <v>1.3396872809028706E-3</v>
      </c>
      <c r="Y616" s="180">
        <v>1.0548817345930506E-3</v>
      </c>
      <c r="Z616" s="180">
        <v>1.921523261676006E-3</v>
      </c>
      <c r="AA616" s="180">
        <v>-3.0145919518466895E-4</v>
      </c>
      <c r="AB616" s="180">
        <v>1.0966581694716135E-3</v>
      </c>
      <c r="AC616" s="180">
        <v>8.4385070363078498E-4</v>
      </c>
      <c r="AD616" s="180">
        <v>8.9699068571536217E-4</v>
      </c>
      <c r="AE616" s="180">
        <v>1.7655731333339048E-3</v>
      </c>
      <c r="AF616" s="180">
        <v>7.5916190680994219E-4</v>
      </c>
      <c r="AG616" s="180">
        <v>9.2897312946466114E-4</v>
      </c>
      <c r="AH616" s="180">
        <v>1.437380584121094E-4</v>
      </c>
      <c r="AI616" s="181">
        <v>1.9286286807754067E-3</v>
      </c>
    </row>
    <row r="617" spans="2:35" x14ac:dyDescent="0.25">
      <c r="B617" s="163" t="str">
        <f>'Market Data'!$B$23</f>
        <v>DD</v>
      </c>
      <c r="C617" s="160">
        <f>Statistics!$G$25</f>
        <v>1.7349865519574785E-2</v>
      </c>
      <c r="E617" s="168">
        <v>0</v>
      </c>
      <c r="F617" s="85" t="str">
        <v>DD</v>
      </c>
      <c r="G617" s="179">
        <v>2.5889638042653502E-3</v>
      </c>
      <c r="H617" s="180">
        <v>3.0070268955997704E-3</v>
      </c>
      <c r="I617" s="180">
        <v>3.1629198402818382E-3</v>
      </c>
      <c r="J617" s="180">
        <v>3.0429489894058951E-3</v>
      </c>
      <c r="K617" s="180">
        <v>3.7036865533827041E-3</v>
      </c>
      <c r="L617" s="180">
        <v>2.8277959806832817E-3</v>
      </c>
      <c r="M617" s="180">
        <v>7.2090294001774871E-3</v>
      </c>
      <c r="N617" s="180">
        <v>3.2246456006375726E-3</v>
      </c>
      <c r="O617" s="180">
        <v>3.2408092269649337E-3</v>
      </c>
      <c r="P617" s="180">
        <v>3.1194558916632768E-3</v>
      </c>
      <c r="Q617" s="180">
        <v>2.0138415935295195E-3</v>
      </c>
      <c r="R617" s="180">
        <v>2.4056181433013803E-3</v>
      </c>
      <c r="S617" s="180">
        <v>2.9333641814070907E-3</v>
      </c>
      <c r="T617" s="180">
        <v>1.7073269232421356E-3</v>
      </c>
      <c r="U617" s="180">
        <v>2.9403656750226037E-3</v>
      </c>
      <c r="V617" s="180">
        <v>1.3828838928124146E-3</v>
      </c>
      <c r="W617" s="180">
        <v>1.5566945864839937E-3</v>
      </c>
      <c r="X617" s="180">
        <v>2.4333011024343194E-3</v>
      </c>
      <c r="Y617" s="180">
        <v>2.1034755337789339E-3</v>
      </c>
      <c r="Z617" s="180">
        <v>3.4647817866697963E-3</v>
      </c>
      <c r="AA617" s="180">
        <v>1.371253710214986E-3</v>
      </c>
      <c r="AB617" s="180">
        <v>2.2541080192876768E-3</v>
      </c>
      <c r="AC617" s="180">
        <v>1.1783213677355128E-3</v>
      </c>
      <c r="AD617" s="180">
        <v>1.3915459916452729E-3</v>
      </c>
      <c r="AE617" s="180">
        <v>3.4844332298577191E-3</v>
      </c>
      <c r="AF617" s="180">
        <v>9.2727826439514978E-4</v>
      </c>
      <c r="AG617" s="180">
        <v>3.0677861856869904E-3</v>
      </c>
      <c r="AH617" s="180">
        <v>-2.3301122426120984E-5</v>
      </c>
      <c r="AI617" s="181">
        <v>2.1182301102402332E-3</v>
      </c>
    </row>
    <row r="618" spans="2:35" x14ac:dyDescent="0.25">
      <c r="B618" s="163" t="str">
        <f>'Market Data'!$B$24</f>
        <v>DIS</v>
      </c>
      <c r="C618" s="160">
        <f>Statistics!$G$26</f>
        <v>1.7109009470709015E-2</v>
      </c>
      <c r="E618" s="168">
        <v>0</v>
      </c>
      <c r="F618" s="85" t="str">
        <v>DIS</v>
      </c>
      <c r="G618" s="179">
        <v>1.366655807124157E-3</v>
      </c>
      <c r="H618" s="180">
        <v>1.9718583562846406E-3</v>
      </c>
      <c r="I618" s="180">
        <v>2.193611301570318E-3</v>
      </c>
      <c r="J618" s="180">
        <v>1.6981712196612736E-3</v>
      </c>
      <c r="K618" s="180">
        <v>1.9090150380186609E-3</v>
      </c>
      <c r="L618" s="180">
        <v>1.8200348202442435E-3</v>
      </c>
      <c r="M618" s="180">
        <v>3.2246456006375726E-3</v>
      </c>
      <c r="N618" s="180">
        <v>3.2225637954133132E-3</v>
      </c>
      <c r="O618" s="180">
        <v>1.7980110839806059E-3</v>
      </c>
      <c r="P618" s="180">
        <v>2.5910429203650125E-3</v>
      </c>
      <c r="Q618" s="180">
        <v>1.4438567521116873E-3</v>
      </c>
      <c r="R618" s="180">
        <v>1.2533920720746924E-3</v>
      </c>
      <c r="S618" s="180">
        <v>1.4872846501875279E-3</v>
      </c>
      <c r="T618" s="180">
        <v>7.6090581351824873E-4</v>
      </c>
      <c r="U618" s="180">
        <v>2.3150492241015347E-3</v>
      </c>
      <c r="V618" s="180">
        <v>7.3157249166013263E-4</v>
      </c>
      <c r="W618" s="180">
        <v>1.0434476997331528E-3</v>
      </c>
      <c r="X618" s="180">
        <v>1.3935802423237448E-3</v>
      </c>
      <c r="Y618" s="180">
        <v>1.1180874248259017E-3</v>
      </c>
      <c r="Z618" s="180">
        <v>1.7514488094562146E-3</v>
      </c>
      <c r="AA618" s="180">
        <v>1.1713887062549742E-3</v>
      </c>
      <c r="AB618" s="180">
        <v>1.4909638464124207E-3</v>
      </c>
      <c r="AC618" s="180">
        <v>6.6920552953337459E-4</v>
      </c>
      <c r="AD618" s="180">
        <v>9.9320622386439117E-4</v>
      </c>
      <c r="AE618" s="180">
        <v>1.6618009644053405E-3</v>
      </c>
      <c r="AF618" s="180">
        <v>5.8624704841600517E-4</v>
      </c>
      <c r="AG618" s="180">
        <v>2.2204011828610088E-3</v>
      </c>
      <c r="AH618" s="180">
        <v>-1.1672694641114529E-4</v>
      </c>
      <c r="AI618" s="181">
        <v>1.3292278052638991E-3</v>
      </c>
    </row>
    <row r="619" spans="2:35" x14ac:dyDescent="0.25">
      <c r="B619" s="163" t="str">
        <f>'Market Data'!$B$25</f>
        <v>GE</v>
      </c>
      <c r="C619" s="160">
        <f>Statistics!$G$27</f>
        <v>9.2719197536449416E-3</v>
      </c>
      <c r="E619" s="168">
        <v>0</v>
      </c>
      <c r="F619" s="85" t="str">
        <v>GE</v>
      </c>
      <c r="G619" s="179">
        <v>1.5698375611055285E-3</v>
      </c>
      <c r="H619" s="180">
        <v>1.6460552176854309E-3</v>
      </c>
      <c r="I619" s="180">
        <v>1.7334051959416068E-3</v>
      </c>
      <c r="J619" s="180">
        <v>2.2046623152336968E-3</v>
      </c>
      <c r="K619" s="180">
        <v>2.0168425927536027E-3</v>
      </c>
      <c r="L619" s="180">
        <v>2.0997855192430963E-3</v>
      </c>
      <c r="M619" s="180">
        <v>3.2408092269649337E-3</v>
      </c>
      <c r="N619" s="180">
        <v>1.7980110839806059E-3</v>
      </c>
      <c r="O619" s="180">
        <v>2.8739818723832944E-3</v>
      </c>
      <c r="P619" s="180">
        <v>2.2255962061739098E-3</v>
      </c>
      <c r="Q619" s="180">
        <v>1.1779071347684854E-3</v>
      </c>
      <c r="R619" s="180">
        <v>1.4606469135339543E-3</v>
      </c>
      <c r="S619" s="180">
        <v>1.8413857882482649E-3</v>
      </c>
      <c r="T619" s="180">
        <v>1.1338883047798758E-3</v>
      </c>
      <c r="U619" s="180">
        <v>1.9825602222543746E-3</v>
      </c>
      <c r="V619" s="180">
        <v>1.0900315820250495E-3</v>
      </c>
      <c r="W619" s="180">
        <v>1.4080437366372094E-3</v>
      </c>
      <c r="X619" s="180">
        <v>1.6476299492810176E-3</v>
      </c>
      <c r="Y619" s="180">
        <v>7.4080885300837902E-4</v>
      </c>
      <c r="Z619" s="180">
        <v>2.1782812682115105E-3</v>
      </c>
      <c r="AA619" s="180">
        <v>6.8149888740689005E-4</v>
      </c>
      <c r="AB619" s="180">
        <v>1.1596920910434683E-3</v>
      </c>
      <c r="AC619" s="180">
        <v>8.669689440805547E-4</v>
      </c>
      <c r="AD619" s="180">
        <v>6.9406421327386882E-4</v>
      </c>
      <c r="AE619" s="180">
        <v>1.9210155408337607E-3</v>
      </c>
      <c r="AF619" s="180">
        <v>1.0256274934399997E-3</v>
      </c>
      <c r="AG619" s="180">
        <v>1.7646874198991678E-3</v>
      </c>
      <c r="AH619" s="180">
        <v>3.1986346053900631E-5</v>
      </c>
      <c r="AI619" s="181">
        <v>1.6264073394302158E-3</v>
      </c>
    </row>
    <row r="620" spans="2:35" x14ac:dyDescent="0.25">
      <c r="B620" s="163" t="str">
        <f>'Market Data'!$B$26</f>
        <v>GS</v>
      </c>
      <c r="C620" s="160">
        <f>Statistics!$G$28</f>
        <v>1.2775975133106521E-2</v>
      </c>
      <c r="E620" s="168">
        <v>0</v>
      </c>
      <c r="F620" s="85" t="str">
        <v>GS</v>
      </c>
      <c r="G620" s="179">
        <v>1.8109156333145874E-3</v>
      </c>
      <c r="H620" s="180">
        <v>3.1197862990926528E-3</v>
      </c>
      <c r="I620" s="180">
        <v>2.2391121271409182E-3</v>
      </c>
      <c r="J620" s="180">
        <v>2.3825247137119567E-3</v>
      </c>
      <c r="K620" s="180">
        <v>2.2177683830845976E-3</v>
      </c>
      <c r="L620" s="180">
        <v>2.495859527554455E-3</v>
      </c>
      <c r="M620" s="180">
        <v>3.1194558916632768E-3</v>
      </c>
      <c r="N620" s="180">
        <v>2.5910429203650125E-3</v>
      </c>
      <c r="O620" s="180">
        <v>2.2255962061739098E-3</v>
      </c>
      <c r="P620" s="180">
        <v>4.8815099105356504E-3</v>
      </c>
      <c r="Q620" s="180">
        <v>1.5442152510598698E-3</v>
      </c>
      <c r="R620" s="180">
        <v>2.2308798805711167E-3</v>
      </c>
      <c r="S620" s="180">
        <v>1.7997270101458302E-3</v>
      </c>
      <c r="T620" s="180">
        <v>7.4857834611503948E-4</v>
      </c>
      <c r="U620" s="180">
        <v>3.8267678235899111E-3</v>
      </c>
      <c r="V620" s="180">
        <v>5.0884399749192373E-4</v>
      </c>
      <c r="W620" s="180">
        <v>1.1844149472533348E-3</v>
      </c>
      <c r="X620" s="180">
        <v>1.5580261625844892E-3</v>
      </c>
      <c r="Y620" s="180">
        <v>9.5059394038900442E-4</v>
      </c>
      <c r="Z620" s="180">
        <v>1.9881521509949444E-3</v>
      </c>
      <c r="AA620" s="180">
        <v>9.2810945195530823E-4</v>
      </c>
      <c r="AB620" s="180">
        <v>1.2974763649140325E-3</v>
      </c>
      <c r="AC620" s="180">
        <v>6.8796273406052837E-4</v>
      </c>
      <c r="AD620" s="180">
        <v>1.248419321363809E-3</v>
      </c>
      <c r="AE620" s="180">
        <v>2.1674424403236793E-3</v>
      </c>
      <c r="AF620" s="180">
        <v>3.7523862948950627E-4</v>
      </c>
      <c r="AG620" s="180">
        <v>2.0541307067505868E-3</v>
      </c>
      <c r="AH620" s="180">
        <v>-5.4295264980806504E-5</v>
      </c>
      <c r="AI620" s="181">
        <v>1.4387650786059658E-3</v>
      </c>
    </row>
    <row r="621" spans="2:35" x14ac:dyDescent="0.25">
      <c r="B621" s="163" t="str">
        <f>'Market Data'!$B$27</f>
        <v>HD</v>
      </c>
      <c r="C621" s="160">
        <f>Statistics!$G$29</f>
        <v>1.8352985528230569E-2</v>
      </c>
      <c r="E621" s="168">
        <v>0.10627380432735896</v>
      </c>
      <c r="F621" s="85" t="str">
        <v>HD</v>
      </c>
      <c r="G621" s="179">
        <v>9.8639311096076088E-4</v>
      </c>
      <c r="H621" s="180">
        <v>1.285962047454306E-3</v>
      </c>
      <c r="I621" s="180">
        <v>1.2911501083222776E-3</v>
      </c>
      <c r="J621" s="180">
        <v>1.0587514228509517E-3</v>
      </c>
      <c r="K621" s="180">
        <v>9.8504335267051509E-4</v>
      </c>
      <c r="L621" s="180">
        <v>7.9860489883547216E-4</v>
      </c>
      <c r="M621" s="180">
        <v>2.0138415935295195E-3</v>
      </c>
      <c r="N621" s="180">
        <v>1.4438567521116873E-3</v>
      </c>
      <c r="O621" s="180">
        <v>1.1779071347684854E-3</v>
      </c>
      <c r="P621" s="180">
        <v>1.5442152510598698E-3</v>
      </c>
      <c r="Q621" s="180">
        <v>1.8880219117441428E-3</v>
      </c>
      <c r="R621" s="180">
        <v>9.3173966010624539E-4</v>
      </c>
      <c r="S621" s="180">
        <v>9.2701062278089308E-4</v>
      </c>
      <c r="T621" s="180">
        <v>6.2481040103688149E-4</v>
      </c>
      <c r="U621" s="180">
        <v>1.4284505514434026E-3</v>
      </c>
      <c r="V621" s="180">
        <v>5.5799413673053339E-4</v>
      </c>
      <c r="W621" s="180">
        <v>7.381374461617429E-4</v>
      </c>
      <c r="X621" s="180">
        <v>1.0633975936011025E-3</v>
      </c>
      <c r="Y621" s="180">
        <v>7.161428946835201E-4</v>
      </c>
      <c r="Z621" s="180">
        <v>1.0017697174583111E-3</v>
      </c>
      <c r="AA621" s="180">
        <v>7.3578315539153108E-4</v>
      </c>
      <c r="AB621" s="180">
        <v>8.5234066580948517E-4</v>
      </c>
      <c r="AC621" s="180">
        <v>4.7474349038820928E-4</v>
      </c>
      <c r="AD621" s="180">
        <v>6.4915062582396636E-4</v>
      </c>
      <c r="AE621" s="180">
        <v>1.2386809813748902E-3</v>
      </c>
      <c r="AF621" s="180">
        <v>1.1189073531181803E-4</v>
      </c>
      <c r="AG621" s="180">
        <v>1.2055891827737501E-3</v>
      </c>
      <c r="AH621" s="180">
        <v>1.9815526434870993E-4</v>
      </c>
      <c r="AI621" s="181">
        <v>5.7016164369997474E-4</v>
      </c>
    </row>
    <row r="622" spans="2:35" x14ac:dyDescent="0.25">
      <c r="B622" s="163" t="str">
        <f>'Market Data'!$B$28</f>
        <v>IBM</v>
      </c>
      <c r="C622" s="160">
        <f>Statistics!$G$30</f>
        <v>-1.0805706759468385E-4</v>
      </c>
      <c r="E622" s="168">
        <v>0</v>
      </c>
      <c r="F622" s="85" t="str">
        <v>IBM</v>
      </c>
      <c r="G622" s="179">
        <v>1.7737023799007877E-3</v>
      </c>
      <c r="H622" s="180">
        <v>1.960684724858895E-3</v>
      </c>
      <c r="I622" s="180">
        <v>1.1336433634722555E-3</v>
      </c>
      <c r="J622" s="180">
        <v>2.1554825858441308E-3</v>
      </c>
      <c r="K622" s="180">
        <v>2.2508292865696072E-3</v>
      </c>
      <c r="L622" s="180">
        <v>1.7099575851328929E-3</v>
      </c>
      <c r="M622" s="180">
        <v>2.4056181433013803E-3</v>
      </c>
      <c r="N622" s="180">
        <v>1.2533920720746924E-3</v>
      </c>
      <c r="O622" s="180">
        <v>1.4606469135339543E-3</v>
      </c>
      <c r="P622" s="180">
        <v>2.2308798805711167E-3</v>
      </c>
      <c r="Q622" s="180">
        <v>9.3173966010624539E-4</v>
      </c>
      <c r="R622" s="180">
        <v>3.3622126456479009E-3</v>
      </c>
      <c r="S622" s="180">
        <v>1.4043690490920693E-3</v>
      </c>
      <c r="T622" s="180">
        <v>5.9347717242683358E-4</v>
      </c>
      <c r="U622" s="180">
        <v>2.0888390371824788E-3</v>
      </c>
      <c r="V622" s="180">
        <v>5.7019303114958723E-4</v>
      </c>
      <c r="W622" s="180">
        <v>5.4513263389601688E-4</v>
      </c>
      <c r="X622" s="180">
        <v>1.0275296737018624E-3</v>
      </c>
      <c r="Y622" s="180">
        <v>1.0097860441379664E-3</v>
      </c>
      <c r="Z622" s="180">
        <v>1.4353906099659559E-3</v>
      </c>
      <c r="AA622" s="180">
        <v>1.3757321359017424E-4</v>
      </c>
      <c r="AB622" s="180">
        <v>7.9545047293496068E-4</v>
      </c>
      <c r="AC622" s="180">
        <v>5.5361049131124631E-4</v>
      </c>
      <c r="AD622" s="180">
        <v>8.8298395118505178E-4</v>
      </c>
      <c r="AE622" s="180">
        <v>1.5169272523521361E-3</v>
      </c>
      <c r="AF622" s="180">
        <v>2.033685246020378E-4</v>
      </c>
      <c r="AG622" s="180">
        <v>1.2306885914741903E-3</v>
      </c>
      <c r="AH622" s="180">
        <v>3.7610030291999273E-4</v>
      </c>
      <c r="AI622" s="181">
        <v>1.0970123689928199E-3</v>
      </c>
    </row>
    <row r="623" spans="2:35" x14ac:dyDescent="0.25">
      <c r="B623" s="163" t="str">
        <f>'Market Data'!$B$29</f>
        <v>INTC</v>
      </c>
      <c r="C623" s="160">
        <f>Statistics!$G$31</f>
        <v>1.4825313209679855E-2</v>
      </c>
      <c r="E623" s="168">
        <v>0</v>
      </c>
      <c r="F623" s="85" t="str">
        <v>INTC</v>
      </c>
      <c r="G623" s="179">
        <v>1.6293191413582805E-3</v>
      </c>
      <c r="H623" s="180">
        <v>2.0715314739138896E-3</v>
      </c>
      <c r="I623" s="180">
        <v>1.485647562986758E-3</v>
      </c>
      <c r="J623" s="180">
        <v>2.3005603160952529E-3</v>
      </c>
      <c r="K623" s="180">
        <v>2.2625583672846289E-3</v>
      </c>
      <c r="L623" s="180">
        <v>1.762362573764028E-3</v>
      </c>
      <c r="M623" s="180">
        <v>2.9333641814070907E-3</v>
      </c>
      <c r="N623" s="180">
        <v>1.4872846501875279E-3</v>
      </c>
      <c r="O623" s="180">
        <v>1.8413857882482649E-3</v>
      </c>
      <c r="P623" s="180">
        <v>1.7997270101458302E-3</v>
      </c>
      <c r="Q623" s="180">
        <v>9.2701062278089308E-4</v>
      </c>
      <c r="R623" s="180">
        <v>1.4043690490920693E-3</v>
      </c>
      <c r="S623" s="180">
        <v>3.8953291630483993E-3</v>
      </c>
      <c r="T623" s="180">
        <v>8.7155825849789608E-4</v>
      </c>
      <c r="U623" s="180">
        <v>1.6338310266769979E-3</v>
      </c>
      <c r="V623" s="180">
        <v>1.1107691361801554E-3</v>
      </c>
      <c r="W623" s="180">
        <v>9.1762089354393737E-4</v>
      </c>
      <c r="X623" s="180">
        <v>1.3291856750406272E-3</v>
      </c>
      <c r="Y623" s="180">
        <v>1.2481991200788169E-3</v>
      </c>
      <c r="Z623" s="180">
        <v>2.824290151917595E-3</v>
      </c>
      <c r="AA623" s="180">
        <v>5.7515792739731505E-4</v>
      </c>
      <c r="AB623" s="180">
        <v>9.9184976149502301E-4</v>
      </c>
      <c r="AC623" s="180">
        <v>7.9168442412031782E-4</v>
      </c>
      <c r="AD623" s="180">
        <v>5.6633014876153942E-4</v>
      </c>
      <c r="AE623" s="180">
        <v>1.2132957377483657E-3</v>
      </c>
      <c r="AF623" s="180">
        <v>8.2166255763751334E-4</v>
      </c>
      <c r="AG623" s="180">
        <v>1.8678530672680304E-3</v>
      </c>
      <c r="AH623" s="180">
        <v>-1.8556188989019865E-5</v>
      </c>
      <c r="AI623" s="181">
        <v>1.0791409093812321E-3</v>
      </c>
    </row>
    <row r="624" spans="2:35" x14ac:dyDescent="0.25">
      <c r="B624" s="163" t="str">
        <f>'Market Data'!$B$30</f>
        <v>JNJ</v>
      </c>
      <c r="C624" s="160">
        <f>Statistics!$G$32</f>
        <v>1.2075919577819831E-2</v>
      </c>
      <c r="E624" s="168">
        <v>5.2394475039689026E-2</v>
      </c>
      <c r="F624" s="85" t="str">
        <v>JNJ</v>
      </c>
      <c r="G624" s="179">
        <v>8.2631268301744008E-4</v>
      </c>
      <c r="H624" s="180">
        <v>7.3945969222275051E-4</v>
      </c>
      <c r="I624" s="180">
        <v>7.7470388279684329E-4</v>
      </c>
      <c r="J624" s="180">
        <v>9.0633949973445221E-4</v>
      </c>
      <c r="K624" s="180">
        <v>1.1094225673998865E-3</v>
      </c>
      <c r="L624" s="180">
        <v>1.0006982850928254E-3</v>
      </c>
      <c r="M624" s="180">
        <v>1.7073269232421356E-3</v>
      </c>
      <c r="N624" s="180">
        <v>7.6090581351824873E-4</v>
      </c>
      <c r="O624" s="180">
        <v>1.1338883047798758E-3</v>
      </c>
      <c r="P624" s="180">
        <v>7.4857834611503948E-4</v>
      </c>
      <c r="Q624" s="180">
        <v>6.2481040103688149E-4</v>
      </c>
      <c r="R624" s="180">
        <v>5.9347717242683358E-4</v>
      </c>
      <c r="S624" s="180">
        <v>8.7155825849789608E-4</v>
      </c>
      <c r="T624" s="180">
        <v>1.3437205064186324E-3</v>
      </c>
      <c r="U624" s="180">
        <v>9.2330996350035955E-4</v>
      </c>
      <c r="V624" s="180">
        <v>8.0248592661524116E-4</v>
      </c>
      <c r="W624" s="180">
        <v>7.2064842002941051E-4</v>
      </c>
      <c r="X624" s="180">
        <v>9.1647163555960687E-4</v>
      </c>
      <c r="Y624" s="180">
        <v>7.8932636294384688E-4</v>
      </c>
      <c r="Z624" s="180">
        <v>8.3950208317612799E-4</v>
      </c>
      <c r="AA624" s="180">
        <v>2.4076387457302071E-4</v>
      </c>
      <c r="AB624" s="180">
        <v>1.174922395291398E-3</v>
      </c>
      <c r="AC624" s="180">
        <v>7.8676359672877393E-4</v>
      </c>
      <c r="AD624" s="180">
        <v>4.4624886795118808E-4</v>
      </c>
      <c r="AE624" s="180">
        <v>1.0117367356107026E-3</v>
      </c>
      <c r="AF624" s="180">
        <v>7.3214708969514145E-4</v>
      </c>
      <c r="AG624" s="180">
        <v>8.2747273857601913E-4</v>
      </c>
      <c r="AH624" s="180">
        <v>7.1470891411086447E-4</v>
      </c>
      <c r="AI624" s="181">
        <v>7.4627799983375924E-4</v>
      </c>
    </row>
    <row r="625" spans="2:35" x14ac:dyDescent="0.25">
      <c r="B625" s="163" t="str">
        <f>'Market Data'!$B$31</f>
        <v>JPM</v>
      </c>
      <c r="C625" s="160">
        <f>Statistics!$G$33</f>
        <v>1.7183196749963128E-2</v>
      </c>
      <c r="E625" s="168">
        <v>0</v>
      </c>
      <c r="F625" s="85" t="str">
        <v>JPM</v>
      </c>
      <c r="G625" s="179">
        <v>1.2529926248616137E-3</v>
      </c>
      <c r="H625" s="180">
        <v>2.7840355446374721E-3</v>
      </c>
      <c r="I625" s="180">
        <v>1.8054441283061249E-3</v>
      </c>
      <c r="J625" s="180">
        <v>2.011937601179676E-3</v>
      </c>
      <c r="K625" s="180">
        <v>2.0831844183308271E-3</v>
      </c>
      <c r="L625" s="180">
        <v>2.159640132817216E-3</v>
      </c>
      <c r="M625" s="180">
        <v>2.9403656750226037E-3</v>
      </c>
      <c r="N625" s="180">
        <v>2.3150492241015347E-3</v>
      </c>
      <c r="O625" s="180">
        <v>1.9825602222543746E-3</v>
      </c>
      <c r="P625" s="180">
        <v>3.8267678235899111E-3</v>
      </c>
      <c r="Q625" s="180">
        <v>1.4284505514434026E-3</v>
      </c>
      <c r="R625" s="180">
        <v>2.0888390371824788E-3</v>
      </c>
      <c r="S625" s="180">
        <v>1.6338310266769979E-3</v>
      </c>
      <c r="T625" s="180">
        <v>9.2330996350035955E-4</v>
      </c>
      <c r="U625" s="180">
        <v>3.6504820104783621E-3</v>
      </c>
      <c r="V625" s="180">
        <v>6.292727988425526E-4</v>
      </c>
      <c r="W625" s="180">
        <v>1.135373183104091E-3</v>
      </c>
      <c r="X625" s="180">
        <v>1.3229022331511452E-3</v>
      </c>
      <c r="Y625" s="180">
        <v>9.9035410413519649E-4</v>
      </c>
      <c r="Z625" s="180">
        <v>2.1029083027690664E-3</v>
      </c>
      <c r="AA625" s="180">
        <v>6.7839144071882979E-4</v>
      </c>
      <c r="AB625" s="180">
        <v>1.3592270505613203E-3</v>
      </c>
      <c r="AC625" s="180">
        <v>7.2953612857905574E-4</v>
      </c>
      <c r="AD625" s="180">
        <v>1.2617149248905092E-3</v>
      </c>
      <c r="AE625" s="180">
        <v>1.8453743354725578E-3</v>
      </c>
      <c r="AF625" s="180">
        <v>3.9836144643633019E-4</v>
      </c>
      <c r="AG625" s="180">
        <v>1.9463933682734615E-3</v>
      </c>
      <c r="AH625" s="180">
        <v>7.503242005510376E-5</v>
      </c>
      <c r="AI625" s="181">
        <v>1.3958094738143344E-3</v>
      </c>
    </row>
    <row r="626" spans="2:35" x14ac:dyDescent="0.25">
      <c r="B626" s="163" t="str">
        <f>'Market Data'!$B$32</f>
        <v>KO</v>
      </c>
      <c r="C626" s="160">
        <f>Statistics!$G$34</f>
        <v>4.1810541872704362E-3</v>
      </c>
      <c r="E626" s="168">
        <v>0</v>
      </c>
      <c r="F626" s="85" t="str">
        <v>KO</v>
      </c>
      <c r="G626" s="179">
        <v>9.6129190129553134E-4</v>
      </c>
      <c r="H626" s="180">
        <v>5.6369017954212687E-4</v>
      </c>
      <c r="I626" s="180">
        <v>9.7196182882881919E-4</v>
      </c>
      <c r="J626" s="180">
        <v>6.586205973694774E-4</v>
      </c>
      <c r="K626" s="180">
        <v>1.0904984859812852E-3</v>
      </c>
      <c r="L626" s="180">
        <v>7.7350953916938299E-4</v>
      </c>
      <c r="M626" s="180">
        <v>1.3828838928124146E-3</v>
      </c>
      <c r="N626" s="180">
        <v>7.3157249166013263E-4</v>
      </c>
      <c r="O626" s="180">
        <v>1.0900315820250495E-3</v>
      </c>
      <c r="P626" s="180">
        <v>5.0884399749192373E-4</v>
      </c>
      <c r="Q626" s="180">
        <v>5.5799413673053339E-4</v>
      </c>
      <c r="R626" s="180">
        <v>5.7019303114958723E-4</v>
      </c>
      <c r="S626" s="180">
        <v>1.1107691361801554E-3</v>
      </c>
      <c r="T626" s="180">
        <v>8.0248592661524116E-4</v>
      </c>
      <c r="U626" s="180">
        <v>6.292727988425526E-4</v>
      </c>
      <c r="V626" s="180">
        <v>1.2210270669043683E-3</v>
      </c>
      <c r="W626" s="180">
        <v>7.9000312454904529E-4</v>
      </c>
      <c r="X626" s="180">
        <v>6.5400026561614926E-4</v>
      </c>
      <c r="Y626" s="180">
        <v>5.6925923112739025E-4</v>
      </c>
      <c r="Z626" s="180">
        <v>1.0711085481253278E-3</v>
      </c>
      <c r="AA626" s="180">
        <v>4.3589033448327737E-4</v>
      </c>
      <c r="AB626" s="180">
        <v>6.3614560547018231E-4</v>
      </c>
      <c r="AC626" s="180">
        <v>6.5740070509151668E-4</v>
      </c>
      <c r="AD626" s="180">
        <v>1.2737483924284157E-4</v>
      </c>
      <c r="AE626" s="180">
        <v>5.7087013169956707E-4</v>
      </c>
      <c r="AF626" s="180">
        <v>4.9096142938173941E-4</v>
      </c>
      <c r="AG626" s="180">
        <v>9.4999344105865064E-4</v>
      </c>
      <c r="AH626" s="180">
        <v>6.4703627119224946E-4</v>
      </c>
      <c r="AI626" s="181">
        <v>5.1805651820066112E-4</v>
      </c>
    </row>
    <row r="627" spans="2:35" x14ac:dyDescent="0.25">
      <c r="B627" s="163" t="str">
        <f>'Market Data'!$B$33</f>
        <v>MCD</v>
      </c>
      <c r="C627" s="160">
        <f>Statistics!$G$35</f>
        <v>8.998422120903465E-3</v>
      </c>
      <c r="E627" s="168">
        <v>0</v>
      </c>
      <c r="F627" s="85" t="str">
        <v>MCD</v>
      </c>
      <c r="G627" s="179">
        <v>4.3723596630614248E-4</v>
      </c>
      <c r="H627" s="180">
        <v>5.9016175595858627E-4</v>
      </c>
      <c r="I627" s="180">
        <v>1.004575731683145E-3</v>
      </c>
      <c r="J627" s="180">
        <v>1.2118483675212872E-3</v>
      </c>
      <c r="K627" s="180">
        <v>8.8656407550750189E-4</v>
      </c>
      <c r="L627" s="180">
        <v>1.2445101608031307E-3</v>
      </c>
      <c r="M627" s="180">
        <v>1.5566945864839937E-3</v>
      </c>
      <c r="N627" s="180">
        <v>1.0434476997331528E-3</v>
      </c>
      <c r="O627" s="180">
        <v>1.4080437366372094E-3</v>
      </c>
      <c r="P627" s="180">
        <v>1.1844149472533348E-3</v>
      </c>
      <c r="Q627" s="180">
        <v>7.381374461617429E-4</v>
      </c>
      <c r="R627" s="180">
        <v>5.4513263389601688E-4</v>
      </c>
      <c r="S627" s="180">
        <v>9.1762089354393737E-4</v>
      </c>
      <c r="T627" s="180">
        <v>7.2064842002941051E-4</v>
      </c>
      <c r="U627" s="180">
        <v>1.135373183104091E-3</v>
      </c>
      <c r="V627" s="180">
        <v>7.9000312454904529E-4</v>
      </c>
      <c r="W627" s="180">
        <v>1.7650690545216805E-3</v>
      </c>
      <c r="X627" s="180">
        <v>7.9590651205676567E-4</v>
      </c>
      <c r="Y627" s="180">
        <v>5.886623345512683E-4</v>
      </c>
      <c r="Z627" s="180">
        <v>1.2284698745461862E-3</v>
      </c>
      <c r="AA627" s="180">
        <v>4.3355644868225306E-4</v>
      </c>
      <c r="AB627" s="180">
        <v>9.4939047744066322E-4</v>
      </c>
      <c r="AC627" s="180">
        <v>4.0611550084338323E-4</v>
      </c>
      <c r="AD627" s="180">
        <v>3.5874031329227935E-4</v>
      </c>
      <c r="AE627" s="180">
        <v>8.7888532505727346E-4</v>
      </c>
      <c r="AF627" s="180">
        <v>6.7734327840461236E-4</v>
      </c>
      <c r="AG627" s="180">
        <v>1.0020182531469391E-3</v>
      </c>
      <c r="AH627" s="180">
        <v>4.237060092283065E-5</v>
      </c>
      <c r="AI627" s="181">
        <v>6.6389606634421081E-4</v>
      </c>
    </row>
    <row r="628" spans="2:35" x14ac:dyDescent="0.25">
      <c r="B628" s="163" t="str">
        <f>'Market Data'!$B$34</f>
        <v>MMM</v>
      </c>
      <c r="C628" s="160">
        <f>Statistics!$G$36</f>
        <v>1.5280500930100561E-2</v>
      </c>
      <c r="E628" s="168">
        <v>0</v>
      </c>
      <c r="F628" s="85" t="str">
        <v>MMM</v>
      </c>
      <c r="G628" s="179">
        <v>1.6042263123932821E-3</v>
      </c>
      <c r="H628" s="180">
        <v>1.3680882736390085E-3</v>
      </c>
      <c r="I628" s="180">
        <v>1.220072170107771E-3</v>
      </c>
      <c r="J628" s="180">
        <v>1.3778500117759705E-3</v>
      </c>
      <c r="K628" s="180">
        <v>1.6594658489014636E-3</v>
      </c>
      <c r="L628" s="180">
        <v>1.3396872809028706E-3</v>
      </c>
      <c r="M628" s="180">
        <v>2.4333011024343194E-3</v>
      </c>
      <c r="N628" s="180">
        <v>1.3935802423237448E-3</v>
      </c>
      <c r="O628" s="180">
        <v>1.6476299492810176E-3</v>
      </c>
      <c r="P628" s="180">
        <v>1.5580261625844892E-3</v>
      </c>
      <c r="Q628" s="180">
        <v>1.0633975936011025E-3</v>
      </c>
      <c r="R628" s="180">
        <v>1.0275296737018624E-3</v>
      </c>
      <c r="S628" s="180">
        <v>1.3291856750406272E-3</v>
      </c>
      <c r="T628" s="180">
        <v>9.1647163555960687E-4</v>
      </c>
      <c r="U628" s="180">
        <v>1.3229022331511452E-3</v>
      </c>
      <c r="V628" s="180">
        <v>6.5400026561614926E-4</v>
      </c>
      <c r="W628" s="180">
        <v>7.9590651205676567E-4</v>
      </c>
      <c r="X628" s="180">
        <v>1.9007159701372343E-3</v>
      </c>
      <c r="Y628" s="180">
        <v>9.3087542856500223E-4</v>
      </c>
      <c r="Z628" s="180">
        <v>9.5021437706372129E-4</v>
      </c>
      <c r="AA628" s="180">
        <v>7.5220949128439868E-4</v>
      </c>
      <c r="AB628" s="180">
        <v>1.1108584905280188E-3</v>
      </c>
      <c r="AC628" s="180">
        <v>7.8023777188204919E-4</v>
      </c>
      <c r="AD628" s="180">
        <v>9.8369986573183495E-4</v>
      </c>
      <c r="AE628" s="180">
        <v>1.8471574472775569E-3</v>
      </c>
      <c r="AF628" s="180">
        <v>5.9539589470078522E-4</v>
      </c>
      <c r="AG628" s="180">
        <v>1.59984129324471E-3</v>
      </c>
      <c r="AH628" s="180">
        <v>4.5051539698961655E-4</v>
      </c>
      <c r="AI628" s="181">
        <v>1.2697174541958882E-3</v>
      </c>
    </row>
    <row r="629" spans="2:35" x14ac:dyDescent="0.25">
      <c r="B629" s="163" t="str">
        <f>'Market Data'!$B$35</f>
        <v>MRK</v>
      </c>
      <c r="C629" s="160">
        <f>Statistics!$G$37</f>
        <v>1.1473476041634185E-2</v>
      </c>
      <c r="E629" s="168">
        <v>0</v>
      </c>
      <c r="F629" s="85" t="str">
        <v>MRK</v>
      </c>
      <c r="G629" s="179">
        <v>6.6280896407091964E-4</v>
      </c>
      <c r="H629" s="180">
        <v>9.5675499919051471E-4</v>
      </c>
      <c r="I629" s="180">
        <v>1.3506721993334096E-3</v>
      </c>
      <c r="J629" s="180">
        <v>1.6454661341138513E-3</v>
      </c>
      <c r="K629" s="180">
        <v>1.2877752599161352E-3</v>
      </c>
      <c r="L629" s="180">
        <v>1.0548817345930506E-3</v>
      </c>
      <c r="M629" s="180">
        <v>2.1034755337789339E-3</v>
      </c>
      <c r="N629" s="180">
        <v>1.1180874248259017E-3</v>
      </c>
      <c r="O629" s="180">
        <v>7.4080885300837902E-4</v>
      </c>
      <c r="P629" s="180">
        <v>9.5059394038900442E-4</v>
      </c>
      <c r="Q629" s="180">
        <v>7.161428946835201E-4</v>
      </c>
      <c r="R629" s="180">
        <v>1.0097860441379664E-3</v>
      </c>
      <c r="S629" s="180">
        <v>1.2481991200788169E-3</v>
      </c>
      <c r="T629" s="180">
        <v>7.8932636294384688E-4</v>
      </c>
      <c r="U629" s="180">
        <v>9.9035410413519649E-4</v>
      </c>
      <c r="V629" s="180">
        <v>5.6925923112739025E-4</v>
      </c>
      <c r="W629" s="180">
        <v>5.886623345512683E-4</v>
      </c>
      <c r="X629" s="180">
        <v>9.3087542856500223E-4</v>
      </c>
      <c r="Y629" s="180">
        <v>2.5431403633519077E-3</v>
      </c>
      <c r="Z629" s="180">
        <v>1.0039618395335291E-3</v>
      </c>
      <c r="AA629" s="180">
        <v>3.4083858597475385E-4</v>
      </c>
      <c r="AB629" s="180">
        <v>1.3412346285691251E-3</v>
      </c>
      <c r="AC629" s="180">
        <v>3.7529952314904947E-4</v>
      </c>
      <c r="AD629" s="180">
        <v>8.5985137540516086E-4</v>
      </c>
      <c r="AE629" s="180">
        <v>1.4646144344401168E-3</v>
      </c>
      <c r="AF629" s="180">
        <v>3.3006228708408361E-4</v>
      </c>
      <c r="AG629" s="180">
        <v>1.1984054366898813E-3</v>
      </c>
      <c r="AH629" s="180">
        <v>4.389896882024129E-4</v>
      </c>
      <c r="AI629" s="181">
        <v>5.8214330295854532E-4</v>
      </c>
    </row>
    <row r="630" spans="2:35" x14ac:dyDescent="0.25">
      <c r="B630" s="163" t="str">
        <f>'Market Data'!$B$36</f>
        <v>MSFT</v>
      </c>
      <c r="C630" s="160">
        <f>Statistics!$G$38</f>
        <v>2.1777833497491961E-2</v>
      </c>
      <c r="E630" s="168">
        <v>0.10863126043507117</v>
      </c>
      <c r="F630" s="85" t="str">
        <v>MSFT</v>
      </c>
      <c r="G630" s="179">
        <v>1.7656054736670385E-3</v>
      </c>
      <c r="H630" s="180">
        <v>1.7453927826798744E-3</v>
      </c>
      <c r="I630" s="180">
        <v>1.4618979219237266E-3</v>
      </c>
      <c r="J630" s="180">
        <v>2.2842322526096018E-3</v>
      </c>
      <c r="K630" s="180">
        <v>2.1511833371391734E-3</v>
      </c>
      <c r="L630" s="180">
        <v>1.921523261676006E-3</v>
      </c>
      <c r="M630" s="180">
        <v>3.4647817866697963E-3</v>
      </c>
      <c r="N630" s="180">
        <v>1.7514488094562146E-3</v>
      </c>
      <c r="O630" s="180">
        <v>2.1782812682115105E-3</v>
      </c>
      <c r="P630" s="180">
        <v>1.9881521509949444E-3</v>
      </c>
      <c r="Q630" s="180">
        <v>1.0017697174583111E-3</v>
      </c>
      <c r="R630" s="180">
        <v>1.4353906099659559E-3</v>
      </c>
      <c r="S630" s="180">
        <v>2.824290151917595E-3</v>
      </c>
      <c r="T630" s="180">
        <v>8.3950208317612799E-4</v>
      </c>
      <c r="U630" s="180">
        <v>2.1029083027690664E-3</v>
      </c>
      <c r="V630" s="180">
        <v>1.0711085481253278E-3</v>
      </c>
      <c r="W630" s="180">
        <v>1.2284698745461862E-3</v>
      </c>
      <c r="X630" s="180">
        <v>9.5021437706372129E-4</v>
      </c>
      <c r="Y630" s="180">
        <v>1.0039618395335291E-3</v>
      </c>
      <c r="Z630" s="180">
        <v>4.5817164894349687E-3</v>
      </c>
      <c r="AA630" s="180">
        <v>9.1111393401995618E-4</v>
      </c>
      <c r="AB630" s="180">
        <v>1.1007292150403058E-3</v>
      </c>
      <c r="AC630" s="180">
        <v>1.0300601718935634E-3</v>
      </c>
      <c r="AD630" s="180">
        <v>2.4058610256342332E-4</v>
      </c>
      <c r="AE630" s="180">
        <v>9.3007091875184366E-4</v>
      </c>
      <c r="AF630" s="180">
        <v>7.4555370224549768E-4</v>
      </c>
      <c r="AG630" s="180">
        <v>1.5294825998788863E-3</v>
      </c>
      <c r="AH630" s="180">
        <v>-3.4970831020819231E-4</v>
      </c>
      <c r="AI630" s="181">
        <v>1.2219742467918569E-3</v>
      </c>
    </row>
    <row r="631" spans="2:35" x14ac:dyDescent="0.25">
      <c r="B631" s="163" t="str">
        <f>'Market Data'!$B$37</f>
        <v>NKE</v>
      </c>
      <c r="C631" s="160">
        <f>Statistics!$G$39</f>
        <v>1.5970247269241938E-2</v>
      </c>
      <c r="E631" s="168">
        <v>0.16824578600815188</v>
      </c>
      <c r="F631" s="85" t="str">
        <v>NKE</v>
      </c>
      <c r="G631" s="179">
        <v>7.4054258425286133E-4</v>
      </c>
      <c r="H631" s="180">
        <v>9.1418204127611028E-4</v>
      </c>
      <c r="I631" s="180">
        <v>1.1825978430535619E-3</v>
      </c>
      <c r="J631" s="180">
        <v>-1.1104731462091626E-4</v>
      </c>
      <c r="K631" s="180">
        <v>7.2136303147440504E-4</v>
      </c>
      <c r="L631" s="180">
        <v>-3.0145919518466895E-4</v>
      </c>
      <c r="M631" s="180">
        <v>1.371253710214986E-3</v>
      </c>
      <c r="N631" s="180">
        <v>1.1713887062549742E-3</v>
      </c>
      <c r="O631" s="180">
        <v>6.8149888740689005E-4</v>
      </c>
      <c r="P631" s="180">
        <v>9.2810945195530823E-4</v>
      </c>
      <c r="Q631" s="180">
        <v>7.3578315539153108E-4</v>
      </c>
      <c r="R631" s="180">
        <v>1.3757321359017424E-4</v>
      </c>
      <c r="S631" s="180">
        <v>5.7515792739731505E-4</v>
      </c>
      <c r="T631" s="180">
        <v>2.4076387457302071E-4</v>
      </c>
      <c r="U631" s="180">
        <v>6.7839144071882979E-4</v>
      </c>
      <c r="V631" s="180">
        <v>4.3589033448327737E-4</v>
      </c>
      <c r="W631" s="180">
        <v>4.3355644868225306E-4</v>
      </c>
      <c r="X631" s="180">
        <v>7.5220949128439868E-4</v>
      </c>
      <c r="Y631" s="180">
        <v>3.4083858597475385E-4</v>
      </c>
      <c r="Z631" s="180">
        <v>9.1111393401995618E-4</v>
      </c>
      <c r="AA631" s="180">
        <v>2.7193308407813446E-3</v>
      </c>
      <c r="AB631" s="180">
        <v>5.6615292191577104E-4</v>
      </c>
      <c r="AC631" s="180">
        <v>3.6538493696828688E-4</v>
      </c>
      <c r="AD631" s="180">
        <v>8.9669180264711685E-5</v>
      </c>
      <c r="AE631" s="180">
        <v>4.9140530374502923E-4</v>
      </c>
      <c r="AF631" s="180">
        <v>1.0278859564771125E-5</v>
      </c>
      <c r="AG631" s="180">
        <v>1.2162400994020978E-3</v>
      </c>
      <c r="AH631" s="180">
        <v>1.3266739677968515E-5</v>
      </c>
      <c r="AI631" s="181">
        <v>-1.9722713194093662E-4</v>
      </c>
    </row>
    <row r="632" spans="2:35" x14ac:dyDescent="0.25">
      <c r="B632" s="163" t="str">
        <f>'Market Data'!$B$38</f>
        <v>PFE</v>
      </c>
      <c r="C632" s="160">
        <f>Statistics!$G$40</f>
        <v>7.6042605716081235E-3</v>
      </c>
      <c r="E632" s="168">
        <v>0</v>
      </c>
      <c r="F632" s="85" t="str">
        <v>PFE</v>
      </c>
      <c r="G632" s="179">
        <v>1.105136574328315E-3</v>
      </c>
      <c r="H632" s="180">
        <v>1.0081234358528435E-3</v>
      </c>
      <c r="I632" s="180">
        <v>1.2950969606515986E-3</v>
      </c>
      <c r="J632" s="180">
        <v>7.9610645869862182E-4</v>
      </c>
      <c r="K632" s="180">
        <v>1.5185012123350332E-3</v>
      </c>
      <c r="L632" s="180">
        <v>1.0966581694716135E-3</v>
      </c>
      <c r="M632" s="180">
        <v>2.2541080192876768E-3</v>
      </c>
      <c r="N632" s="180">
        <v>1.4909638464124207E-3</v>
      </c>
      <c r="O632" s="180">
        <v>1.1596920910434683E-3</v>
      </c>
      <c r="P632" s="180">
        <v>1.2974763649140325E-3</v>
      </c>
      <c r="Q632" s="180">
        <v>8.5234066580948517E-4</v>
      </c>
      <c r="R632" s="180">
        <v>7.9545047293496068E-4</v>
      </c>
      <c r="S632" s="180">
        <v>9.9184976149502301E-4</v>
      </c>
      <c r="T632" s="180">
        <v>1.174922395291398E-3</v>
      </c>
      <c r="U632" s="180">
        <v>1.3592270505613203E-3</v>
      </c>
      <c r="V632" s="180">
        <v>6.3614560547018231E-4</v>
      </c>
      <c r="W632" s="180">
        <v>9.4939047744066322E-4</v>
      </c>
      <c r="X632" s="180">
        <v>1.1108584905280188E-3</v>
      </c>
      <c r="Y632" s="180">
        <v>1.3412346285691251E-3</v>
      </c>
      <c r="Z632" s="180">
        <v>1.1007292150403058E-3</v>
      </c>
      <c r="AA632" s="180">
        <v>5.6615292191577104E-4</v>
      </c>
      <c r="AB632" s="180">
        <v>2.4354805215546461E-3</v>
      </c>
      <c r="AC632" s="180">
        <v>7.7698221980775051E-4</v>
      </c>
      <c r="AD632" s="180">
        <v>7.5423895885674786E-4</v>
      </c>
      <c r="AE632" s="180">
        <v>1.3524566727664237E-3</v>
      </c>
      <c r="AF632" s="180">
        <v>6.9733723903610885E-4</v>
      </c>
      <c r="AG632" s="180">
        <v>1.6142857385330945E-3</v>
      </c>
      <c r="AH632" s="180">
        <v>6.1756439897017149E-4</v>
      </c>
      <c r="AI632" s="181">
        <v>8.1835922434987771E-4</v>
      </c>
    </row>
    <row r="633" spans="2:35" x14ac:dyDescent="0.25">
      <c r="B633" s="163" t="str">
        <f>'Market Data'!$B$39</f>
        <v>PG</v>
      </c>
      <c r="C633" s="160">
        <f>Statistics!$G$41</f>
        <v>6.7668222923833359E-3</v>
      </c>
      <c r="E633" s="168">
        <v>0</v>
      </c>
      <c r="F633" s="85" t="str">
        <v>PG</v>
      </c>
      <c r="G633" s="179">
        <v>1.0336127768185608E-3</v>
      </c>
      <c r="H633" s="180">
        <v>4.150551569421239E-4</v>
      </c>
      <c r="I633" s="180">
        <v>5.997217417536032E-4</v>
      </c>
      <c r="J633" s="180">
        <v>4.9254664842985144E-4</v>
      </c>
      <c r="K633" s="180">
        <v>1.0690588122897406E-3</v>
      </c>
      <c r="L633" s="180">
        <v>8.4385070363078498E-4</v>
      </c>
      <c r="M633" s="180">
        <v>1.1783213677355128E-3</v>
      </c>
      <c r="N633" s="180">
        <v>6.6920552953337459E-4</v>
      </c>
      <c r="O633" s="180">
        <v>8.669689440805547E-4</v>
      </c>
      <c r="P633" s="180">
        <v>6.8796273406052837E-4</v>
      </c>
      <c r="Q633" s="180">
        <v>4.7474349038820928E-4</v>
      </c>
      <c r="R633" s="180">
        <v>5.5361049131124631E-4</v>
      </c>
      <c r="S633" s="180">
        <v>7.9168442412031782E-4</v>
      </c>
      <c r="T633" s="180">
        <v>7.8676359672877393E-4</v>
      </c>
      <c r="U633" s="180">
        <v>7.2953612857905574E-4</v>
      </c>
      <c r="V633" s="180">
        <v>6.5740070509151668E-4</v>
      </c>
      <c r="W633" s="180">
        <v>4.0611550084338323E-4</v>
      </c>
      <c r="X633" s="180">
        <v>7.8023777188204919E-4</v>
      </c>
      <c r="Y633" s="180">
        <v>3.7529952314904947E-4</v>
      </c>
      <c r="Z633" s="180">
        <v>1.0300601718935634E-3</v>
      </c>
      <c r="AA633" s="180">
        <v>3.6538493696828688E-4</v>
      </c>
      <c r="AB633" s="180">
        <v>7.7698221980775051E-4</v>
      </c>
      <c r="AC633" s="180">
        <v>1.4111752678343567E-3</v>
      </c>
      <c r="AD633" s="180">
        <v>1.723275330802805E-4</v>
      </c>
      <c r="AE633" s="180">
        <v>6.4008748533685535E-4</v>
      </c>
      <c r="AF633" s="180">
        <v>2.3535220881827705E-4</v>
      </c>
      <c r="AG633" s="180">
        <v>9.2172519542926422E-4</v>
      </c>
      <c r="AH633" s="180">
        <v>7.2490049760504278E-4</v>
      </c>
      <c r="AI633" s="181">
        <v>6.1092932367000222E-4</v>
      </c>
    </row>
    <row r="634" spans="2:35" x14ac:dyDescent="0.25">
      <c r="B634" s="163" t="str">
        <f>'Market Data'!$B$40</f>
        <v>UNH</v>
      </c>
      <c r="C634" s="160">
        <f>Statistics!$G$42</f>
        <v>2.4695057092687361E-2</v>
      </c>
      <c r="E634" s="168">
        <v>0.51045597124789122</v>
      </c>
      <c r="F634" s="85" t="str">
        <v>UNH</v>
      </c>
      <c r="G634" s="179">
        <v>5.5673881663560775E-4</v>
      </c>
      <c r="H634" s="180">
        <v>9.035040942327959E-4</v>
      </c>
      <c r="I634" s="180">
        <v>6.5863568330466196E-4</v>
      </c>
      <c r="J634" s="180">
        <v>7.8373416165496384E-4</v>
      </c>
      <c r="K634" s="180">
        <v>1.0321561899434074E-3</v>
      </c>
      <c r="L634" s="180">
        <v>8.9699068571536217E-4</v>
      </c>
      <c r="M634" s="180">
        <v>1.3915459916452729E-3</v>
      </c>
      <c r="N634" s="180">
        <v>9.9320622386439117E-4</v>
      </c>
      <c r="O634" s="180">
        <v>6.9406421327386882E-4</v>
      </c>
      <c r="P634" s="180">
        <v>1.248419321363809E-3</v>
      </c>
      <c r="Q634" s="180">
        <v>6.4915062582396636E-4</v>
      </c>
      <c r="R634" s="180">
        <v>8.8298395118505178E-4</v>
      </c>
      <c r="S634" s="180">
        <v>5.6633014876153942E-4</v>
      </c>
      <c r="T634" s="180">
        <v>4.4624886795118808E-4</v>
      </c>
      <c r="U634" s="180">
        <v>1.2617149248905092E-3</v>
      </c>
      <c r="V634" s="180">
        <v>1.2737483924284157E-4</v>
      </c>
      <c r="W634" s="180">
        <v>3.5874031329227935E-4</v>
      </c>
      <c r="X634" s="180">
        <v>9.8369986573183495E-4</v>
      </c>
      <c r="Y634" s="180">
        <v>8.5985137540516086E-4</v>
      </c>
      <c r="Z634" s="180">
        <v>2.4058610256342332E-4</v>
      </c>
      <c r="AA634" s="180">
        <v>8.9669180264711685E-5</v>
      </c>
      <c r="AB634" s="180">
        <v>7.5423895885674786E-4</v>
      </c>
      <c r="AC634" s="180">
        <v>1.723275330802805E-4</v>
      </c>
      <c r="AD634" s="180">
        <v>1.9588021355587989E-3</v>
      </c>
      <c r="AE634" s="180">
        <v>1.3013762269017E-3</v>
      </c>
      <c r="AF634" s="180">
        <v>4.3562344006968111E-4</v>
      </c>
      <c r="AG634" s="180">
        <v>6.7255745531353401E-4</v>
      </c>
      <c r="AH634" s="180">
        <v>2.5472583633253342E-4</v>
      </c>
      <c r="AI634" s="181">
        <v>7.6037739981613735E-4</v>
      </c>
    </row>
    <row r="635" spans="2:35" x14ac:dyDescent="0.25">
      <c r="B635" s="163" t="str">
        <f>'Market Data'!$B$41</f>
        <v>UTX</v>
      </c>
      <c r="C635" s="160">
        <f>Statistics!$G$43</f>
        <v>7.3861111519648165E-3</v>
      </c>
      <c r="E635" s="168">
        <v>0</v>
      </c>
      <c r="F635" s="85" t="str">
        <v>UTX</v>
      </c>
      <c r="G635" s="179">
        <v>1.2367738317379871E-3</v>
      </c>
      <c r="H635" s="180">
        <v>1.9679940702890687E-3</v>
      </c>
      <c r="I635" s="180">
        <v>1.846395156096473E-3</v>
      </c>
      <c r="J635" s="180">
        <v>2.1924453554447642E-3</v>
      </c>
      <c r="K635" s="180">
        <v>2.0848208418056797E-3</v>
      </c>
      <c r="L635" s="180">
        <v>1.7655731333339048E-3</v>
      </c>
      <c r="M635" s="180">
        <v>3.4844332298577191E-3</v>
      </c>
      <c r="N635" s="180">
        <v>1.6618009644053405E-3</v>
      </c>
      <c r="O635" s="180">
        <v>1.9210155408337607E-3</v>
      </c>
      <c r="P635" s="180">
        <v>2.1674424403236793E-3</v>
      </c>
      <c r="Q635" s="180">
        <v>1.2386809813748902E-3</v>
      </c>
      <c r="R635" s="180">
        <v>1.5169272523521361E-3</v>
      </c>
      <c r="S635" s="180">
        <v>1.2132957377483657E-3</v>
      </c>
      <c r="T635" s="180">
        <v>1.0117367356107026E-3</v>
      </c>
      <c r="U635" s="180">
        <v>1.8453743354725578E-3</v>
      </c>
      <c r="V635" s="180">
        <v>5.7087013169956707E-4</v>
      </c>
      <c r="W635" s="180">
        <v>8.7888532505727346E-4</v>
      </c>
      <c r="X635" s="180">
        <v>1.8471574472775569E-3</v>
      </c>
      <c r="Y635" s="180">
        <v>1.4646144344401168E-3</v>
      </c>
      <c r="Z635" s="180">
        <v>9.3007091875184366E-4</v>
      </c>
      <c r="AA635" s="180">
        <v>4.9140530374502923E-4</v>
      </c>
      <c r="AB635" s="180">
        <v>1.3524566727664237E-3</v>
      </c>
      <c r="AC635" s="180">
        <v>6.4008748533685535E-4</v>
      </c>
      <c r="AD635" s="180">
        <v>1.3013762269017E-3</v>
      </c>
      <c r="AE635" s="180">
        <v>3.1502830070701034E-3</v>
      </c>
      <c r="AF635" s="180">
        <v>3.2120511051046262E-4</v>
      </c>
      <c r="AG635" s="180">
        <v>1.6964262161404888E-3</v>
      </c>
      <c r="AH635" s="180">
        <v>2.8814451862251201E-4</v>
      </c>
      <c r="AI635" s="181">
        <v>1.3259012920786922E-3</v>
      </c>
    </row>
    <row r="636" spans="2:35" x14ac:dyDescent="0.25">
      <c r="B636" s="163" t="str">
        <f>'Market Data'!$B$42</f>
        <v>VZ</v>
      </c>
      <c r="C636" s="160">
        <f>Statistics!$G$44</f>
        <v>5.0086030759070753E-3</v>
      </c>
      <c r="E636" s="168">
        <v>0</v>
      </c>
      <c r="F636" s="85" t="str">
        <v>VZ</v>
      </c>
      <c r="G636" s="179">
        <v>1.8457278448214234E-4</v>
      </c>
      <c r="H636" s="180">
        <v>-7.7366109832012643E-5</v>
      </c>
      <c r="I636" s="180">
        <v>3.7914592931386057E-4</v>
      </c>
      <c r="J636" s="180">
        <v>6.8929109799853135E-4</v>
      </c>
      <c r="K636" s="180">
        <v>5.9888719676582812E-4</v>
      </c>
      <c r="L636" s="180">
        <v>7.5916190680994219E-4</v>
      </c>
      <c r="M636" s="180">
        <v>9.2727826439514978E-4</v>
      </c>
      <c r="N636" s="180">
        <v>5.8624704841600517E-4</v>
      </c>
      <c r="O636" s="180">
        <v>1.0256274934399997E-3</v>
      </c>
      <c r="P636" s="180">
        <v>3.7523862948950627E-4</v>
      </c>
      <c r="Q636" s="180">
        <v>1.1189073531181803E-4</v>
      </c>
      <c r="R636" s="180">
        <v>2.033685246020378E-4</v>
      </c>
      <c r="S636" s="180">
        <v>8.2166255763751334E-4</v>
      </c>
      <c r="T636" s="180">
        <v>7.3214708969514145E-4</v>
      </c>
      <c r="U636" s="180">
        <v>3.9836144643633019E-4</v>
      </c>
      <c r="V636" s="180">
        <v>4.9096142938173941E-4</v>
      </c>
      <c r="W636" s="180">
        <v>6.7734327840461236E-4</v>
      </c>
      <c r="X636" s="180">
        <v>5.9539589470078522E-4</v>
      </c>
      <c r="Y636" s="180">
        <v>3.3006228708408361E-4</v>
      </c>
      <c r="Z636" s="180">
        <v>7.4555370224549768E-4</v>
      </c>
      <c r="AA636" s="180">
        <v>1.0278859564771125E-5</v>
      </c>
      <c r="AB636" s="180">
        <v>6.9733723903610885E-4</v>
      </c>
      <c r="AC636" s="180">
        <v>2.3535220881827705E-4</v>
      </c>
      <c r="AD636" s="180">
        <v>4.3562344006968111E-4</v>
      </c>
      <c r="AE636" s="180">
        <v>3.2120511051046262E-4</v>
      </c>
      <c r="AF636" s="180">
        <v>2.0420562729853461E-3</v>
      </c>
      <c r="AG636" s="180">
        <v>3.5270826394507459E-4</v>
      </c>
      <c r="AH636" s="180">
        <v>4.5696587310639262E-4</v>
      </c>
      <c r="AI636" s="181">
        <v>6.4524949399266879E-4</v>
      </c>
    </row>
    <row r="637" spans="2:35" x14ac:dyDescent="0.25">
      <c r="B637" s="163" t="str">
        <f>'Market Data'!$B$43</f>
        <v>V</v>
      </c>
      <c r="C637" s="160">
        <f>Statistics!$G$45</f>
        <v>1.7947618128132319E-2</v>
      </c>
      <c r="E637" s="168">
        <v>0</v>
      </c>
      <c r="F637" s="85" t="str">
        <v>V</v>
      </c>
      <c r="G637" s="179">
        <v>1.5697677901095443E-3</v>
      </c>
      <c r="H637" s="180">
        <v>2.1563583115517065E-3</v>
      </c>
      <c r="I637" s="180">
        <v>2.2475777063178958E-3</v>
      </c>
      <c r="J637" s="180">
        <v>1.4624027030174886E-3</v>
      </c>
      <c r="K637" s="180">
        <v>2.8598074505702059E-3</v>
      </c>
      <c r="L637" s="180">
        <v>9.2897312946466114E-4</v>
      </c>
      <c r="M637" s="180">
        <v>3.0677861856869904E-3</v>
      </c>
      <c r="N637" s="180">
        <v>2.2204011828610088E-3</v>
      </c>
      <c r="O637" s="180">
        <v>1.7646874198991678E-3</v>
      </c>
      <c r="P637" s="180">
        <v>2.0541307067505868E-3</v>
      </c>
      <c r="Q637" s="180">
        <v>1.2055891827737501E-3</v>
      </c>
      <c r="R637" s="180">
        <v>1.2306885914741903E-3</v>
      </c>
      <c r="S637" s="180">
        <v>1.8678530672680304E-3</v>
      </c>
      <c r="T637" s="180">
        <v>8.2747273857601913E-4</v>
      </c>
      <c r="U637" s="180">
        <v>1.9463933682734615E-3</v>
      </c>
      <c r="V637" s="180">
        <v>9.4999344105865064E-4</v>
      </c>
      <c r="W637" s="180">
        <v>1.0020182531469391E-3</v>
      </c>
      <c r="X637" s="180">
        <v>1.59984129324471E-3</v>
      </c>
      <c r="Y637" s="180">
        <v>1.1984054366898813E-3</v>
      </c>
      <c r="Z637" s="180">
        <v>1.5294825998788863E-3</v>
      </c>
      <c r="AA637" s="180">
        <v>1.2162400994020978E-3</v>
      </c>
      <c r="AB637" s="180">
        <v>1.6142857385330945E-3</v>
      </c>
      <c r="AC637" s="180">
        <v>9.2172519542926422E-4</v>
      </c>
      <c r="AD637" s="180">
        <v>6.7255745531353401E-4</v>
      </c>
      <c r="AE637" s="180">
        <v>1.6964262161404888E-3</v>
      </c>
      <c r="AF637" s="180">
        <v>3.5270826394507459E-4</v>
      </c>
      <c r="AG637" s="180">
        <v>3.6944718915923875E-3</v>
      </c>
      <c r="AH637" s="180">
        <v>2.1280259291490004E-4</v>
      </c>
      <c r="AI637" s="181">
        <v>9.4116112769672574E-4</v>
      </c>
    </row>
    <row r="638" spans="2:35" x14ac:dyDescent="0.25">
      <c r="B638" s="163" t="str">
        <f>'Market Data'!$B$44</f>
        <v>WMT</v>
      </c>
      <c r="C638" s="160">
        <f>Statistics!$G$46</f>
        <v>1.8437214178450567E-3</v>
      </c>
      <c r="E638" s="168">
        <v>0</v>
      </c>
      <c r="F638" s="85" t="str">
        <v>WMT</v>
      </c>
      <c r="G638" s="179">
        <v>5.7975796375205426E-4</v>
      </c>
      <c r="H638" s="180">
        <v>2.6973274792062105E-5</v>
      </c>
      <c r="I638" s="180">
        <v>1.7979190170774528E-4</v>
      </c>
      <c r="J638" s="180">
        <v>-2.1581932882750213E-4</v>
      </c>
      <c r="K638" s="180">
        <v>3.2563207166723412E-4</v>
      </c>
      <c r="L638" s="180">
        <v>1.437380584121094E-4</v>
      </c>
      <c r="M638" s="180">
        <v>-2.3301122426120984E-5</v>
      </c>
      <c r="N638" s="180">
        <v>-1.1672694641114529E-4</v>
      </c>
      <c r="O638" s="180">
        <v>3.1986346053900631E-5</v>
      </c>
      <c r="P638" s="180">
        <v>-5.4295264980806504E-5</v>
      </c>
      <c r="Q638" s="180">
        <v>1.9815526434870993E-4</v>
      </c>
      <c r="R638" s="180">
        <v>3.7610030291999273E-4</v>
      </c>
      <c r="S638" s="180">
        <v>-1.8556188989019865E-5</v>
      </c>
      <c r="T638" s="180">
        <v>7.1470891411086447E-4</v>
      </c>
      <c r="U638" s="180">
        <v>7.503242005510376E-5</v>
      </c>
      <c r="V638" s="180">
        <v>6.4703627119224946E-4</v>
      </c>
      <c r="W638" s="180">
        <v>4.237060092283065E-5</v>
      </c>
      <c r="X638" s="180">
        <v>4.5051539698961655E-4</v>
      </c>
      <c r="Y638" s="180">
        <v>4.389896882024129E-4</v>
      </c>
      <c r="Z638" s="180">
        <v>-3.4970831020819231E-4</v>
      </c>
      <c r="AA638" s="180">
        <v>1.3266739677968515E-5</v>
      </c>
      <c r="AB638" s="180">
        <v>6.1756439897017149E-4</v>
      </c>
      <c r="AC638" s="180">
        <v>7.2490049760504278E-4</v>
      </c>
      <c r="AD638" s="180">
        <v>2.5472583633253342E-4</v>
      </c>
      <c r="AE638" s="180">
        <v>2.8814451862251201E-4</v>
      </c>
      <c r="AF638" s="180">
        <v>4.5696587310639262E-4</v>
      </c>
      <c r="AG638" s="180">
        <v>2.1280259291490004E-4</v>
      </c>
      <c r="AH638" s="180">
        <v>1.9253008332035728E-3</v>
      </c>
      <c r="AI638" s="181">
        <v>9.9417778748729687E-5</v>
      </c>
    </row>
    <row r="639" spans="2:35" x14ac:dyDescent="0.25">
      <c r="B639" s="164" t="str">
        <f>'Market Data'!$B$45</f>
        <v>XOM</v>
      </c>
      <c r="C639" s="165">
        <f>Statistics!$G$47</f>
        <v>1.7101166353118678E-3</v>
      </c>
      <c r="E639" s="169">
        <v>0</v>
      </c>
      <c r="F639" s="86" t="str">
        <v>XOM</v>
      </c>
      <c r="G639" s="179">
        <v>8.3126780280069973E-4</v>
      </c>
      <c r="H639" s="180">
        <v>9.0240454872836753E-4</v>
      </c>
      <c r="I639" s="180">
        <v>5.5785917505375118E-4</v>
      </c>
      <c r="J639" s="180">
        <v>1.368945659107327E-3</v>
      </c>
      <c r="K639" s="180">
        <v>1.3701802479257339E-3</v>
      </c>
      <c r="L639" s="180">
        <v>1.9286286807754067E-3</v>
      </c>
      <c r="M639" s="180">
        <v>2.1182301102402332E-3</v>
      </c>
      <c r="N639" s="180">
        <v>1.3292278052638991E-3</v>
      </c>
      <c r="O639" s="180">
        <v>1.6264073394302158E-3</v>
      </c>
      <c r="P639" s="180">
        <v>1.4387650786059658E-3</v>
      </c>
      <c r="Q639" s="180">
        <v>5.7016164369997474E-4</v>
      </c>
      <c r="R639" s="180">
        <v>1.0970123689928199E-3</v>
      </c>
      <c r="S639" s="180">
        <v>1.0791409093812321E-3</v>
      </c>
      <c r="T639" s="180">
        <v>7.4627799983375924E-4</v>
      </c>
      <c r="U639" s="180">
        <v>1.3958094738143344E-3</v>
      </c>
      <c r="V639" s="180">
        <v>5.1805651820066112E-4</v>
      </c>
      <c r="W639" s="180">
        <v>6.6389606634421081E-4</v>
      </c>
      <c r="X639" s="180">
        <v>1.2697174541958882E-3</v>
      </c>
      <c r="Y639" s="180">
        <v>5.8214330295854532E-4</v>
      </c>
      <c r="Z639" s="180">
        <v>1.2219742467918569E-3</v>
      </c>
      <c r="AA639" s="180">
        <v>-1.9722713194093662E-4</v>
      </c>
      <c r="AB639" s="180">
        <v>8.1835922434987771E-4</v>
      </c>
      <c r="AC639" s="180">
        <v>6.1092932367000222E-4</v>
      </c>
      <c r="AD639" s="180">
        <v>7.6037739981613735E-4</v>
      </c>
      <c r="AE639" s="180">
        <v>1.3259012920786922E-3</v>
      </c>
      <c r="AF639" s="180">
        <v>6.4524949399266879E-4</v>
      </c>
      <c r="AG639" s="180">
        <v>9.4116112769672574E-4</v>
      </c>
      <c r="AH639" s="180">
        <v>9.9417778748729687E-5</v>
      </c>
      <c r="AI639" s="181">
        <v>1.845802781732033E-3</v>
      </c>
    </row>
    <row r="640" spans="2:35" x14ac:dyDescent="0.25">
      <c r="B640" s="3"/>
      <c r="C640" s="3"/>
      <c r="D640" s="3"/>
      <c r="E640" s="182">
        <f>SUM(TR13_PORTFOLIO_WEIGHTS)</f>
        <v>1</v>
      </c>
      <c r="F640" s="3"/>
      <c r="G640" s="184">
        <f>_xll.SumProduct2(TR13_PORTFOLIO_WEIGHTS, G611:G639) * G609</f>
        <v>5.3598029119000509E-5</v>
      </c>
      <c r="H640" s="185">
        <f>_xll.SumProduct2(TR13_PORTFOLIO_WEIGHTS, H611:H639) * H609</f>
        <v>0</v>
      </c>
      <c r="I640" s="185">
        <f>_xll.SumProduct2(TR13_PORTFOLIO_WEIGHTS, I611:I639) * I609</f>
        <v>0</v>
      </c>
      <c r="J640" s="185">
        <f>_xll.SumProduct2(TR13_PORTFOLIO_WEIGHTS, J611:J639) * J609</f>
        <v>0</v>
      </c>
      <c r="K640" s="185">
        <f>_xll.SumProduct2(TR13_PORTFOLIO_WEIGHTS, K611:K639) * K609</f>
        <v>0</v>
      </c>
      <c r="L640" s="185">
        <f>_xll.SumProduct2(TR13_PORTFOLIO_WEIGHTS, L611:L639) * L609</f>
        <v>0</v>
      </c>
      <c r="M640" s="185">
        <f>_xll.SumProduct2(TR13_PORTFOLIO_WEIGHTS, M611:M639) * M609</f>
        <v>0</v>
      </c>
      <c r="N640" s="185">
        <f>_xll.SumProduct2(TR13_PORTFOLIO_WEIGHTS, N611:N639) * N609</f>
        <v>0</v>
      </c>
      <c r="O640" s="185">
        <f>_xll.SumProduct2(TR13_PORTFOLIO_WEIGHTS, O611:O639) * O609</f>
        <v>0</v>
      </c>
      <c r="P640" s="185">
        <f>_xll.SumProduct2(TR13_PORTFOLIO_WEIGHTS, P611:P639) * P609</f>
        <v>0</v>
      </c>
      <c r="Q640" s="185">
        <f>_xll.SumProduct2(TR13_PORTFOLIO_WEIGHTS, Q611:Q639) * Q609</f>
        <v>9.0399321478728322E-5</v>
      </c>
      <c r="R640" s="185">
        <f>_xll.SumProduct2(TR13_PORTFOLIO_WEIGHTS, R611:R639) * R609</f>
        <v>0</v>
      </c>
      <c r="S640" s="185">
        <f>_xll.SumProduct2(TR13_PORTFOLIO_WEIGHTS, S611:S639) * S609</f>
        <v>0</v>
      </c>
      <c r="T640" s="185">
        <f>_xll.SumProduct2(TR13_PORTFOLIO_WEIGHTS, T611:T639) * T609</f>
        <v>2.834113550273888E-5</v>
      </c>
      <c r="U640" s="186">
        <f>_xll.SumProduct2(TR13_PORTFOLIO_WEIGHTS, U611:U639) * U609</f>
        <v>0</v>
      </c>
      <c r="V640" s="186">
        <f>_xll.SumProduct2(TR13_PORTFOLIO_WEIGHTS, V611:V639) * V609</f>
        <v>0</v>
      </c>
      <c r="W640" s="186">
        <f>_xll.SumProduct2(TR13_PORTFOLIO_WEIGHTS, W611:W639) * W609</f>
        <v>0</v>
      </c>
      <c r="X640" s="186">
        <f>_xll.SumProduct2(TR13_PORTFOLIO_WEIGHTS, X611:X639) * X609</f>
        <v>0</v>
      </c>
      <c r="Y640" s="186">
        <f>_xll.SumProduct2(TR13_PORTFOLIO_WEIGHTS, Y611:Y639) * Y609</f>
        <v>0</v>
      </c>
      <c r="Z640" s="186">
        <f>_xll.SumProduct2(TR13_PORTFOLIO_WEIGHTS, Z611:Z639) * Z609</f>
        <v>1.1076096382398916E-4</v>
      </c>
      <c r="AA640" s="186">
        <f>_xll.SumProduct2(TR13_PORTFOLIO_WEIGHTS, AA611:AA639) * AA609</f>
        <v>1.2333443914480058E-4</v>
      </c>
      <c r="AB640" s="186">
        <f>_xll.SumProduct2(TR13_PORTFOLIO_WEIGHTS, AB611:AB639) * AB609</f>
        <v>0</v>
      </c>
      <c r="AC640" s="186">
        <f>_xll.SumProduct2(TR13_PORTFOLIO_WEIGHTS, AC611:AC639) * AC609</f>
        <v>0</v>
      </c>
      <c r="AD640" s="186">
        <f>_xll.SumProduct2(TR13_PORTFOLIO_WEIGHTS, AD611:AD639) * AD609</f>
        <v>5.9393376399984542E-4</v>
      </c>
      <c r="AE640" s="186">
        <f>_xll.SumProduct2(TR13_PORTFOLIO_WEIGHTS, AE611:AE639) * AE609</f>
        <v>0</v>
      </c>
      <c r="AF640" s="186">
        <f>_xll.SumProduct2(TR13_PORTFOLIO_WEIGHTS, AF611:AF639) * AF609</f>
        <v>0</v>
      </c>
      <c r="AG640" s="186">
        <f>_xll.SumProduct2(TR13_PORTFOLIO_WEIGHTS, AG611:AG639) * AG609</f>
        <v>0</v>
      </c>
      <c r="AH640" s="186">
        <f>_xll.SumProduct2(TR13_PORTFOLIO_WEIGHTS, AH611:AH639) * AH609</f>
        <v>0</v>
      </c>
      <c r="AI640" s="187">
        <f>_xll.SumProduct2(TR13_PORTFOLIO_WEIGHTS, AI611:AI639) * AI609</f>
        <v>0</v>
      </c>
    </row>
    <row r="641" spans="2:35" x14ac:dyDescent="0.25">
      <c r="C641" s="5"/>
      <c r="E641" s="5"/>
      <c r="Q641" s="6"/>
      <c r="R641" s="6"/>
      <c r="S641" s="6"/>
      <c r="T641" s="6"/>
      <c r="V641" s="6"/>
      <c r="W641" s="6"/>
      <c r="X641" s="6"/>
      <c r="Y641" s="6"/>
      <c r="Z641" s="6"/>
      <c r="AA641" s="6"/>
      <c r="AB641" s="6"/>
      <c r="AC641" s="6"/>
      <c r="AD641" s="6"/>
      <c r="AE641" s="6"/>
      <c r="AF641" s="6"/>
      <c r="AG641" s="6"/>
      <c r="AH641" s="6"/>
      <c r="AI641" s="6"/>
    </row>
    <row r="642" spans="2:35" ht="20.25" thickBot="1" x14ac:dyDescent="0.35">
      <c r="B642" s="153" t="str">
        <f>ROUND(TR14_PORTFOLIO_TARGET_RETURN*100, LABEL_ROUNDING) &amp; "% Target Return Portfolio (TR14)"</f>
        <v>2.301% Target Return Portfolio (TR14)</v>
      </c>
      <c r="C642" s="153"/>
      <c r="D642" s="153"/>
      <c r="E642" s="154"/>
      <c r="F642" s="153"/>
      <c r="G642" s="155"/>
      <c r="H642" s="155"/>
      <c r="I642" s="155"/>
      <c r="J642" s="155"/>
      <c r="K642" s="155"/>
      <c r="L642" s="155"/>
      <c r="M642" s="155"/>
      <c r="N642" s="155"/>
      <c r="O642" s="155"/>
      <c r="P642" s="155"/>
      <c r="Q642" s="155"/>
      <c r="R642" s="155"/>
      <c r="S642" s="155"/>
      <c r="T642" s="155"/>
      <c r="U642" s="155"/>
      <c r="V642" s="155"/>
      <c r="W642" s="155"/>
      <c r="X642" s="155"/>
      <c r="Y642" s="155"/>
      <c r="Z642" s="155"/>
      <c r="AA642" s="155"/>
      <c r="AB642" s="155"/>
      <c r="AC642" s="155"/>
      <c r="AD642" s="155"/>
      <c r="AE642" s="155"/>
      <c r="AF642" s="155"/>
      <c r="AG642" s="155"/>
      <c r="AH642" s="155"/>
      <c r="AI642" s="155"/>
    </row>
    <row r="643" spans="2:35" ht="15.75" thickTop="1" x14ac:dyDescent="0.25">
      <c r="B643" s="156" t="s">
        <v>70</v>
      </c>
      <c r="C643" s="159">
        <f>TR14_PORTFOLIO_TARGET_RETURN</f>
        <v>2.3006800555661618E-2</v>
      </c>
    </row>
    <row r="644" spans="2:35" x14ac:dyDescent="0.25">
      <c r="B644" s="157" t="s">
        <v>60</v>
      </c>
      <c r="C644" s="160">
        <f>_xll.SumProduct2(TR14_PORTFOLIO_EXPECTED_RETURNS, TR14_PORTFOLIO_WEIGHTS) - RISK_FREE_RATE</f>
        <v>2.300680066777705E-2</v>
      </c>
    </row>
    <row r="645" spans="2:35" x14ac:dyDescent="0.25">
      <c r="B645" s="157" t="s">
        <v>62</v>
      </c>
      <c r="C645" s="160">
        <f>SQRT(SUM(G678:AI678))</f>
        <v>3.5013523017094816E-2</v>
      </c>
    </row>
    <row r="646" spans="2:35" x14ac:dyDescent="0.25">
      <c r="B646" s="158" t="s">
        <v>103</v>
      </c>
      <c r="C646" s="161" t="str">
        <f>_xll.TimeSeries.CovarianceMatrixCalculator.apply(COVARIANCE_MATRIX_CALCULATOR,'Efficient Frontier'!B649:B677,Statistics!$F$19:$F$47)</f>
        <v>»LabelledMatrix-16705291694770987817</v>
      </c>
      <c r="D646" t="s">
        <v>77</v>
      </c>
    </row>
    <row r="647" spans="2:35" x14ac:dyDescent="0.25">
      <c r="F647" s="111" t="s">
        <v>69</v>
      </c>
      <c r="G647" s="170">
        <f t="array" ref="G647:AI647">TRANSPOSE(TR14_PORTFOLIO_WEIGHTS)</f>
        <v>6.9581773541058434E-2</v>
      </c>
      <c r="H647" s="171">
        <v>0</v>
      </c>
      <c r="I647" s="171">
        <v>0</v>
      </c>
      <c r="J647" s="171">
        <v>0</v>
      </c>
      <c r="K647" s="171">
        <v>0</v>
      </c>
      <c r="L647" s="171">
        <v>0</v>
      </c>
      <c r="M647" s="171">
        <v>0</v>
      </c>
      <c r="N647" s="171">
        <v>0</v>
      </c>
      <c r="O647" s="171">
        <v>0</v>
      </c>
      <c r="P647" s="171">
        <v>0</v>
      </c>
      <c r="Q647" s="171">
        <v>2.0818526243989069E-2</v>
      </c>
      <c r="R647" s="171">
        <v>0</v>
      </c>
      <c r="S647" s="171">
        <v>0</v>
      </c>
      <c r="T647" s="171">
        <v>0</v>
      </c>
      <c r="U647" s="171">
        <v>0</v>
      </c>
      <c r="V647" s="171">
        <v>0</v>
      </c>
      <c r="W647" s="171">
        <v>0</v>
      </c>
      <c r="X647" s="171">
        <v>0</v>
      </c>
      <c r="Y647" s="171">
        <v>0</v>
      </c>
      <c r="Z647" s="171">
        <v>0.15540551084711587</v>
      </c>
      <c r="AA647" s="171">
        <v>9.4794463496476841E-2</v>
      </c>
      <c r="AB647" s="171">
        <v>0</v>
      </c>
      <c r="AC647" s="171">
        <v>0</v>
      </c>
      <c r="AD647" s="171">
        <v>0.65939972587135975</v>
      </c>
      <c r="AE647" s="171">
        <v>0</v>
      </c>
      <c r="AF647" s="171">
        <v>0</v>
      </c>
      <c r="AG647" s="171">
        <v>0</v>
      </c>
      <c r="AH647" s="171">
        <v>0</v>
      </c>
      <c r="AI647" s="172">
        <v>0</v>
      </c>
    </row>
    <row r="648" spans="2:35" x14ac:dyDescent="0.25">
      <c r="C648" s="111" t="s">
        <v>63</v>
      </c>
      <c r="E648" s="89" t="s">
        <v>69</v>
      </c>
      <c r="F648" s="166" t="str">
        <f t="array" ref="F648:AI677">_xll.Matrix.ExpandAsArray(C646)</f>
        <v/>
      </c>
      <c r="G648" s="173" t="str">
        <v>AAPL</v>
      </c>
      <c r="H648" s="174" t="str">
        <v>AXP</v>
      </c>
      <c r="I648" s="174" t="str">
        <v>BA</v>
      </c>
      <c r="J648" s="174" t="str">
        <v>CAT</v>
      </c>
      <c r="K648" s="174" t="str">
        <v>CSCO</v>
      </c>
      <c r="L648" s="174" t="str">
        <v>CVX</v>
      </c>
      <c r="M648" s="174" t="str">
        <v>DD</v>
      </c>
      <c r="N648" s="174" t="str">
        <v>DIS</v>
      </c>
      <c r="O648" s="174" t="str">
        <v>GE</v>
      </c>
      <c r="P648" s="174" t="str">
        <v>GS</v>
      </c>
      <c r="Q648" s="174" t="str">
        <v>HD</v>
      </c>
      <c r="R648" s="174" t="str">
        <v>IBM</v>
      </c>
      <c r="S648" s="174" t="str">
        <v>INTC</v>
      </c>
      <c r="T648" s="174" t="str">
        <v>JNJ</v>
      </c>
      <c r="U648" s="174" t="str">
        <v>JPM</v>
      </c>
      <c r="V648" s="174" t="str">
        <v>KO</v>
      </c>
      <c r="W648" s="174" t="str">
        <v>MCD</v>
      </c>
      <c r="X648" s="174" t="str">
        <v>MMM</v>
      </c>
      <c r="Y648" s="174" t="str">
        <v>MRK</v>
      </c>
      <c r="Z648" s="174" t="str">
        <v>MSFT</v>
      </c>
      <c r="AA648" s="174" t="str">
        <v>NKE</v>
      </c>
      <c r="AB648" s="174" t="str">
        <v>PFE</v>
      </c>
      <c r="AC648" s="174" t="str">
        <v>PG</v>
      </c>
      <c r="AD648" s="174" t="str">
        <v>UNH</v>
      </c>
      <c r="AE648" s="174" t="str">
        <v>UTX</v>
      </c>
      <c r="AF648" s="174" t="str">
        <v>VZ</v>
      </c>
      <c r="AG648" s="174" t="str">
        <v>V</v>
      </c>
      <c r="AH648" s="174" t="str">
        <v>WMT</v>
      </c>
      <c r="AI648" s="175" t="str">
        <v>XOM</v>
      </c>
    </row>
    <row r="649" spans="2:35" x14ac:dyDescent="0.25">
      <c r="B649" s="162" t="str">
        <f>'Market Data'!$B$17</f>
        <v>AAPL</v>
      </c>
      <c r="C649" s="159">
        <f>Statistics!$G$19</f>
        <v>2.1230184800142136E-2</v>
      </c>
      <c r="E649" s="167">
        <v>6.9581773541058434E-2</v>
      </c>
      <c r="F649" s="84" t="str">
        <v>AAPL</v>
      </c>
      <c r="G649" s="176">
        <v>4.5162973293162668E-3</v>
      </c>
      <c r="H649" s="177">
        <v>1.6284380645241216E-3</v>
      </c>
      <c r="I649" s="177">
        <v>1.6201491796022521E-3</v>
      </c>
      <c r="J649" s="177">
        <v>1.5690359790962263E-3</v>
      </c>
      <c r="K649" s="177">
        <v>2.3505409053430782E-3</v>
      </c>
      <c r="L649" s="177">
        <v>1.1773098260505132E-3</v>
      </c>
      <c r="M649" s="177">
        <v>2.5889638042653502E-3</v>
      </c>
      <c r="N649" s="177">
        <v>1.366655807124157E-3</v>
      </c>
      <c r="O649" s="177">
        <v>1.5698375611055285E-3</v>
      </c>
      <c r="P649" s="177">
        <v>1.8109156333145874E-3</v>
      </c>
      <c r="Q649" s="177">
        <v>9.8639311096076088E-4</v>
      </c>
      <c r="R649" s="177">
        <v>1.7737023799007877E-3</v>
      </c>
      <c r="S649" s="177">
        <v>1.6293191413582805E-3</v>
      </c>
      <c r="T649" s="177">
        <v>8.2631268301744008E-4</v>
      </c>
      <c r="U649" s="177">
        <v>1.2529926248616137E-3</v>
      </c>
      <c r="V649" s="177">
        <v>9.6129190129553134E-4</v>
      </c>
      <c r="W649" s="177">
        <v>4.3723596630614248E-4</v>
      </c>
      <c r="X649" s="177">
        <v>1.6042263123932821E-3</v>
      </c>
      <c r="Y649" s="177">
        <v>6.6280896407091964E-4</v>
      </c>
      <c r="Z649" s="177">
        <v>1.7656054736670385E-3</v>
      </c>
      <c r="AA649" s="177">
        <v>7.4054258425286133E-4</v>
      </c>
      <c r="AB649" s="177">
        <v>1.105136574328315E-3</v>
      </c>
      <c r="AC649" s="177">
        <v>1.0336127768185608E-3</v>
      </c>
      <c r="AD649" s="177">
        <v>5.5673881663560775E-4</v>
      </c>
      <c r="AE649" s="177">
        <v>1.2367738317379871E-3</v>
      </c>
      <c r="AF649" s="177">
        <v>1.8457278448214234E-4</v>
      </c>
      <c r="AG649" s="177">
        <v>1.5697677901095443E-3</v>
      </c>
      <c r="AH649" s="177">
        <v>5.7975796375205426E-4</v>
      </c>
      <c r="AI649" s="178">
        <v>8.3126780280069973E-4</v>
      </c>
    </row>
    <row r="650" spans="2:35" x14ac:dyDescent="0.25">
      <c r="B650" s="163" t="str">
        <f>'Market Data'!$B$18</f>
        <v>AXP</v>
      </c>
      <c r="C650" s="160">
        <f>Statistics!$G$20</f>
        <v>6.4918343965214677E-3</v>
      </c>
      <c r="E650" s="168">
        <v>0</v>
      </c>
      <c r="F650" s="85" t="str">
        <v>AXP</v>
      </c>
      <c r="G650" s="179">
        <v>1.6284380645241216E-3</v>
      </c>
      <c r="H650" s="180">
        <v>4.0660324753009668E-3</v>
      </c>
      <c r="I650" s="180">
        <v>2.3214948032735548E-3</v>
      </c>
      <c r="J650" s="180">
        <v>2.4672804057197504E-3</v>
      </c>
      <c r="K650" s="180">
        <v>2.2861035048804129E-3</v>
      </c>
      <c r="L650" s="180">
        <v>1.4106472819975181E-3</v>
      </c>
      <c r="M650" s="180">
        <v>3.0070268955997704E-3</v>
      </c>
      <c r="N650" s="180">
        <v>1.9718583562846406E-3</v>
      </c>
      <c r="O650" s="180">
        <v>1.6460552176854309E-3</v>
      </c>
      <c r="P650" s="180">
        <v>3.1197862990926528E-3</v>
      </c>
      <c r="Q650" s="180">
        <v>1.285962047454306E-3</v>
      </c>
      <c r="R650" s="180">
        <v>1.960684724858895E-3</v>
      </c>
      <c r="S650" s="180">
        <v>2.0715314739138896E-3</v>
      </c>
      <c r="T650" s="180">
        <v>7.3945969222275051E-4</v>
      </c>
      <c r="U650" s="180">
        <v>2.7840355446374721E-3</v>
      </c>
      <c r="V650" s="180">
        <v>5.6369017954212687E-4</v>
      </c>
      <c r="W650" s="180">
        <v>5.9016175595858627E-4</v>
      </c>
      <c r="X650" s="180">
        <v>1.3680882736390085E-3</v>
      </c>
      <c r="Y650" s="180">
        <v>9.5675499919051471E-4</v>
      </c>
      <c r="Z650" s="180">
        <v>1.7453927826798744E-3</v>
      </c>
      <c r="AA650" s="180">
        <v>9.1418204127611028E-4</v>
      </c>
      <c r="AB650" s="180">
        <v>1.0081234358528435E-3</v>
      </c>
      <c r="AC650" s="180">
        <v>4.150551569421239E-4</v>
      </c>
      <c r="AD650" s="180">
        <v>9.035040942327959E-4</v>
      </c>
      <c r="AE650" s="180">
        <v>1.9679940702890687E-3</v>
      </c>
      <c r="AF650" s="180">
        <v>-7.7366109832012643E-5</v>
      </c>
      <c r="AG650" s="180">
        <v>2.1563583115517065E-3</v>
      </c>
      <c r="AH650" s="180">
        <v>2.6973274792062105E-5</v>
      </c>
      <c r="AI650" s="181">
        <v>9.0240454872836753E-4</v>
      </c>
    </row>
    <row r="651" spans="2:35" x14ac:dyDescent="0.25">
      <c r="B651" s="163" t="str">
        <f>'Market Data'!$B$19</f>
        <v>BA</v>
      </c>
      <c r="C651" s="160">
        <f>Statistics!$G$21</f>
        <v>1.9250861766613322E-2</v>
      </c>
      <c r="E651" s="168">
        <v>0</v>
      </c>
      <c r="F651" s="85" t="str">
        <v>BA</v>
      </c>
      <c r="G651" s="179">
        <v>1.6201491796022521E-3</v>
      </c>
      <c r="H651" s="180">
        <v>2.3214948032735548E-3</v>
      </c>
      <c r="I651" s="180">
        <v>3.7402935775721971E-3</v>
      </c>
      <c r="J651" s="180">
        <v>1.6046317611050844E-3</v>
      </c>
      <c r="K651" s="180">
        <v>2.1240240973260023E-3</v>
      </c>
      <c r="L651" s="180">
        <v>1.3419066335272889E-3</v>
      </c>
      <c r="M651" s="180">
        <v>3.1629198402818382E-3</v>
      </c>
      <c r="N651" s="180">
        <v>2.193611301570318E-3</v>
      </c>
      <c r="O651" s="180">
        <v>1.7334051959416068E-3</v>
      </c>
      <c r="P651" s="180">
        <v>2.2391121271409182E-3</v>
      </c>
      <c r="Q651" s="180">
        <v>1.2911501083222776E-3</v>
      </c>
      <c r="R651" s="180">
        <v>1.1336433634722555E-3</v>
      </c>
      <c r="S651" s="180">
        <v>1.485647562986758E-3</v>
      </c>
      <c r="T651" s="180">
        <v>7.7470388279684329E-4</v>
      </c>
      <c r="U651" s="180">
        <v>1.8054441283061249E-3</v>
      </c>
      <c r="V651" s="180">
        <v>9.7196182882881919E-4</v>
      </c>
      <c r="W651" s="180">
        <v>1.004575731683145E-3</v>
      </c>
      <c r="X651" s="180">
        <v>1.220072170107771E-3</v>
      </c>
      <c r="Y651" s="180">
        <v>1.3506721993334096E-3</v>
      </c>
      <c r="Z651" s="180">
        <v>1.4618979219237266E-3</v>
      </c>
      <c r="AA651" s="180">
        <v>1.1825978430535619E-3</v>
      </c>
      <c r="AB651" s="180">
        <v>1.2950969606515986E-3</v>
      </c>
      <c r="AC651" s="180">
        <v>5.997217417536032E-4</v>
      </c>
      <c r="AD651" s="180">
        <v>6.5863568330466196E-4</v>
      </c>
      <c r="AE651" s="180">
        <v>1.846395156096473E-3</v>
      </c>
      <c r="AF651" s="180">
        <v>3.7914592931386057E-4</v>
      </c>
      <c r="AG651" s="180">
        <v>2.2475777063178958E-3</v>
      </c>
      <c r="AH651" s="180">
        <v>1.7979190170774528E-4</v>
      </c>
      <c r="AI651" s="181">
        <v>5.5785917505375118E-4</v>
      </c>
    </row>
    <row r="652" spans="2:35" x14ac:dyDescent="0.25">
      <c r="B652" s="163" t="str">
        <f>'Market Data'!$B$20</f>
        <v>CAT</v>
      </c>
      <c r="C652" s="160">
        <f>Statistics!$G$22</f>
        <v>6.3545919720494892E-3</v>
      </c>
      <c r="E652" s="168">
        <v>0</v>
      </c>
      <c r="F652" s="85" t="str">
        <v>CAT</v>
      </c>
      <c r="G652" s="179">
        <v>1.5690359790962263E-3</v>
      </c>
      <c r="H652" s="180">
        <v>2.4672804057197504E-3</v>
      </c>
      <c r="I652" s="180">
        <v>1.6046317611050844E-3</v>
      </c>
      <c r="J652" s="180">
        <v>4.5013491323716076E-3</v>
      </c>
      <c r="K652" s="180">
        <v>1.8532157140411887E-3</v>
      </c>
      <c r="L652" s="180">
        <v>2.2352946064681648E-3</v>
      </c>
      <c r="M652" s="180">
        <v>3.0429489894058951E-3</v>
      </c>
      <c r="N652" s="180">
        <v>1.6981712196612736E-3</v>
      </c>
      <c r="O652" s="180">
        <v>2.2046623152336968E-3</v>
      </c>
      <c r="P652" s="180">
        <v>2.3825247137119567E-3</v>
      </c>
      <c r="Q652" s="180">
        <v>1.0587514228509517E-3</v>
      </c>
      <c r="R652" s="180">
        <v>2.1554825858441308E-3</v>
      </c>
      <c r="S652" s="180">
        <v>2.3005603160952529E-3</v>
      </c>
      <c r="T652" s="180">
        <v>9.0633949973445221E-4</v>
      </c>
      <c r="U652" s="180">
        <v>2.011937601179676E-3</v>
      </c>
      <c r="V652" s="180">
        <v>6.586205973694774E-4</v>
      </c>
      <c r="W652" s="180">
        <v>1.2118483675212872E-3</v>
      </c>
      <c r="X652" s="180">
        <v>1.3778500117759705E-3</v>
      </c>
      <c r="Y652" s="180">
        <v>1.6454661341138513E-3</v>
      </c>
      <c r="Z652" s="180">
        <v>2.2842322526096018E-3</v>
      </c>
      <c r="AA652" s="180">
        <v>-1.1104731462091626E-4</v>
      </c>
      <c r="AB652" s="180">
        <v>7.9610645869862182E-4</v>
      </c>
      <c r="AC652" s="180">
        <v>4.9254664842985144E-4</v>
      </c>
      <c r="AD652" s="180">
        <v>7.8373416165496384E-4</v>
      </c>
      <c r="AE652" s="180">
        <v>2.1924453554447642E-3</v>
      </c>
      <c r="AF652" s="180">
        <v>6.8929109799853135E-4</v>
      </c>
      <c r="AG652" s="180">
        <v>1.4624027030174886E-3</v>
      </c>
      <c r="AH652" s="180">
        <v>-2.1581932882750213E-4</v>
      </c>
      <c r="AI652" s="181">
        <v>1.368945659107327E-3</v>
      </c>
    </row>
    <row r="653" spans="2:35" x14ac:dyDescent="0.25">
      <c r="B653" s="163" t="str">
        <f>'Market Data'!$B$21</f>
        <v>CSCO</v>
      </c>
      <c r="C653" s="160">
        <f>Statistics!$G$23</f>
        <v>1.4928779568119917E-2</v>
      </c>
      <c r="E653" s="168">
        <v>0</v>
      </c>
      <c r="F653" s="85" t="str">
        <v>CSCO</v>
      </c>
      <c r="G653" s="179">
        <v>2.3505409053430782E-3</v>
      </c>
      <c r="H653" s="180">
        <v>2.2861035048804129E-3</v>
      </c>
      <c r="I653" s="180">
        <v>2.1240240973260023E-3</v>
      </c>
      <c r="J653" s="180">
        <v>1.8532157140411887E-3</v>
      </c>
      <c r="K653" s="180">
        <v>4.2943797540477393E-3</v>
      </c>
      <c r="L653" s="180">
        <v>1.6495950515362169E-3</v>
      </c>
      <c r="M653" s="180">
        <v>3.7036865533827041E-3</v>
      </c>
      <c r="N653" s="180">
        <v>1.9090150380186609E-3</v>
      </c>
      <c r="O653" s="180">
        <v>2.0168425927536027E-3</v>
      </c>
      <c r="P653" s="180">
        <v>2.2177683830845976E-3</v>
      </c>
      <c r="Q653" s="180">
        <v>9.8504335267051509E-4</v>
      </c>
      <c r="R653" s="180">
        <v>2.2508292865696072E-3</v>
      </c>
      <c r="S653" s="180">
        <v>2.2625583672846289E-3</v>
      </c>
      <c r="T653" s="180">
        <v>1.1094225673998865E-3</v>
      </c>
      <c r="U653" s="180">
        <v>2.0831844183308271E-3</v>
      </c>
      <c r="V653" s="180">
        <v>1.0904984859812852E-3</v>
      </c>
      <c r="W653" s="180">
        <v>8.8656407550750189E-4</v>
      </c>
      <c r="X653" s="180">
        <v>1.6594658489014636E-3</v>
      </c>
      <c r="Y653" s="180">
        <v>1.2877752599161352E-3</v>
      </c>
      <c r="Z653" s="180">
        <v>2.1511833371391734E-3</v>
      </c>
      <c r="AA653" s="180">
        <v>7.2136303147440504E-4</v>
      </c>
      <c r="AB653" s="180">
        <v>1.5185012123350332E-3</v>
      </c>
      <c r="AC653" s="180">
        <v>1.0690588122897406E-3</v>
      </c>
      <c r="AD653" s="180">
        <v>1.0321561899434074E-3</v>
      </c>
      <c r="AE653" s="180">
        <v>2.0848208418056797E-3</v>
      </c>
      <c r="AF653" s="180">
        <v>5.9888719676582812E-4</v>
      </c>
      <c r="AG653" s="180">
        <v>2.8598074505702059E-3</v>
      </c>
      <c r="AH653" s="180">
        <v>3.2563207166723412E-4</v>
      </c>
      <c r="AI653" s="181">
        <v>1.3701802479257339E-3</v>
      </c>
    </row>
    <row r="654" spans="2:35" x14ac:dyDescent="0.25">
      <c r="B654" s="163" t="str">
        <f>'Market Data'!$B$22</f>
        <v>CVX</v>
      </c>
      <c r="C654" s="160">
        <f>Statistics!$G$24</f>
        <v>2.6845541907593424E-3</v>
      </c>
      <c r="E654" s="168">
        <v>0</v>
      </c>
      <c r="F654" s="85" t="str">
        <v>CVX</v>
      </c>
      <c r="G654" s="179">
        <v>1.1773098260505132E-3</v>
      </c>
      <c r="H654" s="180">
        <v>1.4106472819975181E-3</v>
      </c>
      <c r="I654" s="180">
        <v>1.3419066335272889E-3</v>
      </c>
      <c r="J654" s="180">
        <v>2.2352946064681648E-3</v>
      </c>
      <c r="K654" s="180">
        <v>1.6495950515362169E-3</v>
      </c>
      <c r="L654" s="180">
        <v>3.2764948408559465E-3</v>
      </c>
      <c r="M654" s="180">
        <v>2.8277959806832817E-3</v>
      </c>
      <c r="N654" s="180">
        <v>1.8200348202442435E-3</v>
      </c>
      <c r="O654" s="180">
        <v>2.0997855192430963E-3</v>
      </c>
      <c r="P654" s="180">
        <v>2.495859527554455E-3</v>
      </c>
      <c r="Q654" s="180">
        <v>7.9860489883547216E-4</v>
      </c>
      <c r="R654" s="180">
        <v>1.7099575851328929E-3</v>
      </c>
      <c r="S654" s="180">
        <v>1.762362573764028E-3</v>
      </c>
      <c r="T654" s="180">
        <v>1.0006982850928254E-3</v>
      </c>
      <c r="U654" s="180">
        <v>2.159640132817216E-3</v>
      </c>
      <c r="V654" s="180">
        <v>7.7350953916938299E-4</v>
      </c>
      <c r="W654" s="180">
        <v>1.2445101608031307E-3</v>
      </c>
      <c r="X654" s="180">
        <v>1.3396872809028706E-3</v>
      </c>
      <c r="Y654" s="180">
        <v>1.0548817345930506E-3</v>
      </c>
      <c r="Z654" s="180">
        <v>1.921523261676006E-3</v>
      </c>
      <c r="AA654" s="180">
        <v>-3.0145919518466895E-4</v>
      </c>
      <c r="AB654" s="180">
        <v>1.0966581694716135E-3</v>
      </c>
      <c r="AC654" s="180">
        <v>8.4385070363078498E-4</v>
      </c>
      <c r="AD654" s="180">
        <v>8.9699068571536217E-4</v>
      </c>
      <c r="AE654" s="180">
        <v>1.7655731333339048E-3</v>
      </c>
      <c r="AF654" s="180">
        <v>7.5916190680994219E-4</v>
      </c>
      <c r="AG654" s="180">
        <v>9.2897312946466114E-4</v>
      </c>
      <c r="AH654" s="180">
        <v>1.437380584121094E-4</v>
      </c>
      <c r="AI654" s="181">
        <v>1.9286286807754067E-3</v>
      </c>
    </row>
    <row r="655" spans="2:35" x14ac:dyDescent="0.25">
      <c r="B655" s="163" t="str">
        <f>'Market Data'!$B$23</f>
        <v>DD</v>
      </c>
      <c r="C655" s="160">
        <f>Statistics!$G$25</f>
        <v>1.7349865519574785E-2</v>
      </c>
      <c r="E655" s="168">
        <v>0</v>
      </c>
      <c r="F655" s="85" t="str">
        <v>DD</v>
      </c>
      <c r="G655" s="179">
        <v>2.5889638042653502E-3</v>
      </c>
      <c r="H655" s="180">
        <v>3.0070268955997704E-3</v>
      </c>
      <c r="I655" s="180">
        <v>3.1629198402818382E-3</v>
      </c>
      <c r="J655" s="180">
        <v>3.0429489894058951E-3</v>
      </c>
      <c r="K655" s="180">
        <v>3.7036865533827041E-3</v>
      </c>
      <c r="L655" s="180">
        <v>2.8277959806832817E-3</v>
      </c>
      <c r="M655" s="180">
        <v>7.2090294001774871E-3</v>
      </c>
      <c r="N655" s="180">
        <v>3.2246456006375726E-3</v>
      </c>
      <c r="O655" s="180">
        <v>3.2408092269649337E-3</v>
      </c>
      <c r="P655" s="180">
        <v>3.1194558916632768E-3</v>
      </c>
      <c r="Q655" s="180">
        <v>2.0138415935295195E-3</v>
      </c>
      <c r="R655" s="180">
        <v>2.4056181433013803E-3</v>
      </c>
      <c r="S655" s="180">
        <v>2.9333641814070907E-3</v>
      </c>
      <c r="T655" s="180">
        <v>1.7073269232421356E-3</v>
      </c>
      <c r="U655" s="180">
        <v>2.9403656750226037E-3</v>
      </c>
      <c r="V655" s="180">
        <v>1.3828838928124146E-3</v>
      </c>
      <c r="W655" s="180">
        <v>1.5566945864839937E-3</v>
      </c>
      <c r="X655" s="180">
        <v>2.4333011024343194E-3</v>
      </c>
      <c r="Y655" s="180">
        <v>2.1034755337789339E-3</v>
      </c>
      <c r="Z655" s="180">
        <v>3.4647817866697963E-3</v>
      </c>
      <c r="AA655" s="180">
        <v>1.371253710214986E-3</v>
      </c>
      <c r="AB655" s="180">
        <v>2.2541080192876768E-3</v>
      </c>
      <c r="AC655" s="180">
        <v>1.1783213677355128E-3</v>
      </c>
      <c r="AD655" s="180">
        <v>1.3915459916452729E-3</v>
      </c>
      <c r="AE655" s="180">
        <v>3.4844332298577191E-3</v>
      </c>
      <c r="AF655" s="180">
        <v>9.2727826439514978E-4</v>
      </c>
      <c r="AG655" s="180">
        <v>3.0677861856869904E-3</v>
      </c>
      <c r="AH655" s="180">
        <v>-2.3301122426120984E-5</v>
      </c>
      <c r="AI655" s="181">
        <v>2.1182301102402332E-3</v>
      </c>
    </row>
    <row r="656" spans="2:35" x14ac:dyDescent="0.25">
      <c r="B656" s="163" t="str">
        <f>'Market Data'!$B$24</f>
        <v>DIS</v>
      </c>
      <c r="C656" s="160">
        <f>Statistics!$G$26</f>
        <v>1.7109009470709015E-2</v>
      </c>
      <c r="E656" s="168">
        <v>0</v>
      </c>
      <c r="F656" s="85" t="str">
        <v>DIS</v>
      </c>
      <c r="G656" s="179">
        <v>1.366655807124157E-3</v>
      </c>
      <c r="H656" s="180">
        <v>1.9718583562846406E-3</v>
      </c>
      <c r="I656" s="180">
        <v>2.193611301570318E-3</v>
      </c>
      <c r="J656" s="180">
        <v>1.6981712196612736E-3</v>
      </c>
      <c r="K656" s="180">
        <v>1.9090150380186609E-3</v>
      </c>
      <c r="L656" s="180">
        <v>1.8200348202442435E-3</v>
      </c>
      <c r="M656" s="180">
        <v>3.2246456006375726E-3</v>
      </c>
      <c r="N656" s="180">
        <v>3.2225637954133132E-3</v>
      </c>
      <c r="O656" s="180">
        <v>1.7980110839806059E-3</v>
      </c>
      <c r="P656" s="180">
        <v>2.5910429203650125E-3</v>
      </c>
      <c r="Q656" s="180">
        <v>1.4438567521116873E-3</v>
      </c>
      <c r="R656" s="180">
        <v>1.2533920720746924E-3</v>
      </c>
      <c r="S656" s="180">
        <v>1.4872846501875279E-3</v>
      </c>
      <c r="T656" s="180">
        <v>7.6090581351824873E-4</v>
      </c>
      <c r="U656" s="180">
        <v>2.3150492241015347E-3</v>
      </c>
      <c r="V656" s="180">
        <v>7.3157249166013263E-4</v>
      </c>
      <c r="W656" s="180">
        <v>1.0434476997331528E-3</v>
      </c>
      <c r="X656" s="180">
        <v>1.3935802423237448E-3</v>
      </c>
      <c r="Y656" s="180">
        <v>1.1180874248259017E-3</v>
      </c>
      <c r="Z656" s="180">
        <v>1.7514488094562146E-3</v>
      </c>
      <c r="AA656" s="180">
        <v>1.1713887062549742E-3</v>
      </c>
      <c r="AB656" s="180">
        <v>1.4909638464124207E-3</v>
      </c>
      <c r="AC656" s="180">
        <v>6.6920552953337459E-4</v>
      </c>
      <c r="AD656" s="180">
        <v>9.9320622386439117E-4</v>
      </c>
      <c r="AE656" s="180">
        <v>1.6618009644053405E-3</v>
      </c>
      <c r="AF656" s="180">
        <v>5.8624704841600517E-4</v>
      </c>
      <c r="AG656" s="180">
        <v>2.2204011828610088E-3</v>
      </c>
      <c r="AH656" s="180">
        <v>-1.1672694641114529E-4</v>
      </c>
      <c r="AI656" s="181">
        <v>1.3292278052638991E-3</v>
      </c>
    </row>
    <row r="657" spans="2:35" x14ac:dyDescent="0.25">
      <c r="B657" s="163" t="str">
        <f>'Market Data'!$B$25</f>
        <v>GE</v>
      </c>
      <c r="C657" s="160">
        <f>Statistics!$G$27</f>
        <v>9.2719197536449416E-3</v>
      </c>
      <c r="E657" s="168">
        <v>0</v>
      </c>
      <c r="F657" s="85" t="str">
        <v>GE</v>
      </c>
      <c r="G657" s="179">
        <v>1.5698375611055285E-3</v>
      </c>
      <c r="H657" s="180">
        <v>1.6460552176854309E-3</v>
      </c>
      <c r="I657" s="180">
        <v>1.7334051959416068E-3</v>
      </c>
      <c r="J657" s="180">
        <v>2.2046623152336968E-3</v>
      </c>
      <c r="K657" s="180">
        <v>2.0168425927536027E-3</v>
      </c>
      <c r="L657" s="180">
        <v>2.0997855192430963E-3</v>
      </c>
      <c r="M657" s="180">
        <v>3.2408092269649337E-3</v>
      </c>
      <c r="N657" s="180">
        <v>1.7980110839806059E-3</v>
      </c>
      <c r="O657" s="180">
        <v>2.8739818723832944E-3</v>
      </c>
      <c r="P657" s="180">
        <v>2.2255962061739098E-3</v>
      </c>
      <c r="Q657" s="180">
        <v>1.1779071347684854E-3</v>
      </c>
      <c r="R657" s="180">
        <v>1.4606469135339543E-3</v>
      </c>
      <c r="S657" s="180">
        <v>1.8413857882482649E-3</v>
      </c>
      <c r="T657" s="180">
        <v>1.1338883047798758E-3</v>
      </c>
      <c r="U657" s="180">
        <v>1.9825602222543746E-3</v>
      </c>
      <c r="V657" s="180">
        <v>1.0900315820250495E-3</v>
      </c>
      <c r="W657" s="180">
        <v>1.4080437366372094E-3</v>
      </c>
      <c r="X657" s="180">
        <v>1.6476299492810176E-3</v>
      </c>
      <c r="Y657" s="180">
        <v>7.4080885300837902E-4</v>
      </c>
      <c r="Z657" s="180">
        <v>2.1782812682115105E-3</v>
      </c>
      <c r="AA657" s="180">
        <v>6.8149888740689005E-4</v>
      </c>
      <c r="AB657" s="180">
        <v>1.1596920910434683E-3</v>
      </c>
      <c r="AC657" s="180">
        <v>8.669689440805547E-4</v>
      </c>
      <c r="AD657" s="180">
        <v>6.9406421327386882E-4</v>
      </c>
      <c r="AE657" s="180">
        <v>1.9210155408337607E-3</v>
      </c>
      <c r="AF657" s="180">
        <v>1.0256274934399997E-3</v>
      </c>
      <c r="AG657" s="180">
        <v>1.7646874198991678E-3</v>
      </c>
      <c r="AH657" s="180">
        <v>3.1986346053900631E-5</v>
      </c>
      <c r="AI657" s="181">
        <v>1.6264073394302158E-3</v>
      </c>
    </row>
    <row r="658" spans="2:35" x14ac:dyDescent="0.25">
      <c r="B658" s="163" t="str">
        <f>'Market Data'!$B$26</f>
        <v>GS</v>
      </c>
      <c r="C658" s="160">
        <f>Statistics!$G$28</f>
        <v>1.2775975133106521E-2</v>
      </c>
      <c r="E658" s="168">
        <v>0</v>
      </c>
      <c r="F658" s="85" t="str">
        <v>GS</v>
      </c>
      <c r="G658" s="179">
        <v>1.8109156333145874E-3</v>
      </c>
      <c r="H658" s="180">
        <v>3.1197862990926528E-3</v>
      </c>
      <c r="I658" s="180">
        <v>2.2391121271409182E-3</v>
      </c>
      <c r="J658" s="180">
        <v>2.3825247137119567E-3</v>
      </c>
      <c r="K658" s="180">
        <v>2.2177683830845976E-3</v>
      </c>
      <c r="L658" s="180">
        <v>2.495859527554455E-3</v>
      </c>
      <c r="M658" s="180">
        <v>3.1194558916632768E-3</v>
      </c>
      <c r="N658" s="180">
        <v>2.5910429203650125E-3</v>
      </c>
      <c r="O658" s="180">
        <v>2.2255962061739098E-3</v>
      </c>
      <c r="P658" s="180">
        <v>4.8815099105356504E-3</v>
      </c>
      <c r="Q658" s="180">
        <v>1.5442152510598698E-3</v>
      </c>
      <c r="R658" s="180">
        <v>2.2308798805711167E-3</v>
      </c>
      <c r="S658" s="180">
        <v>1.7997270101458302E-3</v>
      </c>
      <c r="T658" s="180">
        <v>7.4857834611503948E-4</v>
      </c>
      <c r="U658" s="180">
        <v>3.8267678235899111E-3</v>
      </c>
      <c r="V658" s="180">
        <v>5.0884399749192373E-4</v>
      </c>
      <c r="W658" s="180">
        <v>1.1844149472533348E-3</v>
      </c>
      <c r="X658" s="180">
        <v>1.5580261625844892E-3</v>
      </c>
      <c r="Y658" s="180">
        <v>9.5059394038900442E-4</v>
      </c>
      <c r="Z658" s="180">
        <v>1.9881521509949444E-3</v>
      </c>
      <c r="AA658" s="180">
        <v>9.2810945195530823E-4</v>
      </c>
      <c r="AB658" s="180">
        <v>1.2974763649140325E-3</v>
      </c>
      <c r="AC658" s="180">
        <v>6.8796273406052837E-4</v>
      </c>
      <c r="AD658" s="180">
        <v>1.248419321363809E-3</v>
      </c>
      <c r="AE658" s="180">
        <v>2.1674424403236793E-3</v>
      </c>
      <c r="AF658" s="180">
        <v>3.7523862948950627E-4</v>
      </c>
      <c r="AG658" s="180">
        <v>2.0541307067505868E-3</v>
      </c>
      <c r="AH658" s="180">
        <v>-5.4295264980806504E-5</v>
      </c>
      <c r="AI658" s="181">
        <v>1.4387650786059658E-3</v>
      </c>
    </row>
    <row r="659" spans="2:35" x14ac:dyDescent="0.25">
      <c r="B659" s="163" t="str">
        <f>'Market Data'!$B$27</f>
        <v>HD</v>
      </c>
      <c r="C659" s="160">
        <f>Statistics!$G$29</f>
        <v>1.8352985528230569E-2</v>
      </c>
      <c r="E659" s="168">
        <v>2.0818526243989069E-2</v>
      </c>
      <c r="F659" s="85" t="str">
        <v>HD</v>
      </c>
      <c r="G659" s="179">
        <v>9.8639311096076088E-4</v>
      </c>
      <c r="H659" s="180">
        <v>1.285962047454306E-3</v>
      </c>
      <c r="I659" s="180">
        <v>1.2911501083222776E-3</v>
      </c>
      <c r="J659" s="180">
        <v>1.0587514228509517E-3</v>
      </c>
      <c r="K659" s="180">
        <v>9.8504335267051509E-4</v>
      </c>
      <c r="L659" s="180">
        <v>7.9860489883547216E-4</v>
      </c>
      <c r="M659" s="180">
        <v>2.0138415935295195E-3</v>
      </c>
      <c r="N659" s="180">
        <v>1.4438567521116873E-3</v>
      </c>
      <c r="O659" s="180">
        <v>1.1779071347684854E-3</v>
      </c>
      <c r="P659" s="180">
        <v>1.5442152510598698E-3</v>
      </c>
      <c r="Q659" s="180">
        <v>1.8880219117441428E-3</v>
      </c>
      <c r="R659" s="180">
        <v>9.3173966010624539E-4</v>
      </c>
      <c r="S659" s="180">
        <v>9.2701062278089308E-4</v>
      </c>
      <c r="T659" s="180">
        <v>6.2481040103688149E-4</v>
      </c>
      <c r="U659" s="180">
        <v>1.4284505514434026E-3</v>
      </c>
      <c r="V659" s="180">
        <v>5.5799413673053339E-4</v>
      </c>
      <c r="W659" s="180">
        <v>7.381374461617429E-4</v>
      </c>
      <c r="X659" s="180">
        <v>1.0633975936011025E-3</v>
      </c>
      <c r="Y659" s="180">
        <v>7.161428946835201E-4</v>
      </c>
      <c r="Z659" s="180">
        <v>1.0017697174583111E-3</v>
      </c>
      <c r="AA659" s="180">
        <v>7.3578315539153108E-4</v>
      </c>
      <c r="AB659" s="180">
        <v>8.5234066580948517E-4</v>
      </c>
      <c r="AC659" s="180">
        <v>4.7474349038820928E-4</v>
      </c>
      <c r="AD659" s="180">
        <v>6.4915062582396636E-4</v>
      </c>
      <c r="AE659" s="180">
        <v>1.2386809813748902E-3</v>
      </c>
      <c r="AF659" s="180">
        <v>1.1189073531181803E-4</v>
      </c>
      <c r="AG659" s="180">
        <v>1.2055891827737501E-3</v>
      </c>
      <c r="AH659" s="180">
        <v>1.9815526434870993E-4</v>
      </c>
      <c r="AI659" s="181">
        <v>5.7016164369997474E-4</v>
      </c>
    </row>
    <row r="660" spans="2:35" x14ac:dyDescent="0.25">
      <c r="B660" s="163" t="str">
        <f>'Market Data'!$B$28</f>
        <v>IBM</v>
      </c>
      <c r="C660" s="160">
        <f>Statistics!$G$30</f>
        <v>-1.0805706759468385E-4</v>
      </c>
      <c r="E660" s="168">
        <v>0</v>
      </c>
      <c r="F660" s="85" t="str">
        <v>IBM</v>
      </c>
      <c r="G660" s="179">
        <v>1.7737023799007877E-3</v>
      </c>
      <c r="H660" s="180">
        <v>1.960684724858895E-3</v>
      </c>
      <c r="I660" s="180">
        <v>1.1336433634722555E-3</v>
      </c>
      <c r="J660" s="180">
        <v>2.1554825858441308E-3</v>
      </c>
      <c r="K660" s="180">
        <v>2.2508292865696072E-3</v>
      </c>
      <c r="L660" s="180">
        <v>1.7099575851328929E-3</v>
      </c>
      <c r="M660" s="180">
        <v>2.4056181433013803E-3</v>
      </c>
      <c r="N660" s="180">
        <v>1.2533920720746924E-3</v>
      </c>
      <c r="O660" s="180">
        <v>1.4606469135339543E-3</v>
      </c>
      <c r="P660" s="180">
        <v>2.2308798805711167E-3</v>
      </c>
      <c r="Q660" s="180">
        <v>9.3173966010624539E-4</v>
      </c>
      <c r="R660" s="180">
        <v>3.3622126456479009E-3</v>
      </c>
      <c r="S660" s="180">
        <v>1.4043690490920693E-3</v>
      </c>
      <c r="T660" s="180">
        <v>5.9347717242683358E-4</v>
      </c>
      <c r="U660" s="180">
        <v>2.0888390371824788E-3</v>
      </c>
      <c r="V660" s="180">
        <v>5.7019303114958723E-4</v>
      </c>
      <c r="W660" s="180">
        <v>5.4513263389601688E-4</v>
      </c>
      <c r="X660" s="180">
        <v>1.0275296737018624E-3</v>
      </c>
      <c r="Y660" s="180">
        <v>1.0097860441379664E-3</v>
      </c>
      <c r="Z660" s="180">
        <v>1.4353906099659559E-3</v>
      </c>
      <c r="AA660" s="180">
        <v>1.3757321359017424E-4</v>
      </c>
      <c r="AB660" s="180">
        <v>7.9545047293496068E-4</v>
      </c>
      <c r="AC660" s="180">
        <v>5.5361049131124631E-4</v>
      </c>
      <c r="AD660" s="180">
        <v>8.8298395118505178E-4</v>
      </c>
      <c r="AE660" s="180">
        <v>1.5169272523521361E-3</v>
      </c>
      <c r="AF660" s="180">
        <v>2.033685246020378E-4</v>
      </c>
      <c r="AG660" s="180">
        <v>1.2306885914741903E-3</v>
      </c>
      <c r="AH660" s="180">
        <v>3.7610030291999273E-4</v>
      </c>
      <c r="AI660" s="181">
        <v>1.0970123689928199E-3</v>
      </c>
    </row>
    <row r="661" spans="2:35" x14ac:dyDescent="0.25">
      <c r="B661" s="163" t="str">
        <f>'Market Data'!$B$29</f>
        <v>INTC</v>
      </c>
      <c r="C661" s="160">
        <f>Statistics!$G$31</f>
        <v>1.4825313209679855E-2</v>
      </c>
      <c r="E661" s="168">
        <v>0</v>
      </c>
      <c r="F661" s="85" t="str">
        <v>INTC</v>
      </c>
      <c r="G661" s="179">
        <v>1.6293191413582805E-3</v>
      </c>
      <c r="H661" s="180">
        <v>2.0715314739138896E-3</v>
      </c>
      <c r="I661" s="180">
        <v>1.485647562986758E-3</v>
      </c>
      <c r="J661" s="180">
        <v>2.3005603160952529E-3</v>
      </c>
      <c r="K661" s="180">
        <v>2.2625583672846289E-3</v>
      </c>
      <c r="L661" s="180">
        <v>1.762362573764028E-3</v>
      </c>
      <c r="M661" s="180">
        <v>2.9333641814070907E-3</v>
      </c>
      <c r="N661" s="180">
        <v>1.4872846501875279E-3</v>
      </c>
      <c r="O661" s="180">
        <v>1.8413857882482649E-3</v>
      </c>
      <c r="P661" s="180">
        <v>1.7997270101458302E-3</v>
      </c>
      <c r="Q661" s="180">
        <v>9.2701062278089308E-4</v>
      </c>
      <c r="R661" s="180">
        <v>1.4043690490920693E-3</v>
      </c>
      <c r="S661" s="180">
        <v>3.8953291630483993E-3</v>
      </c>
      <c r="T661" s="180">
        <v>8.7155825849789608E-4</v>
      </c>
      <c r="U661" s="180">
        <v>1.6338310266769979E-3</v>
      </c>
      <c r="V661" s="180">
        <v>1.1107691361801554E-3</v>
      </c>
      <c r="W661" s="180">
        <v>9.1762089354393737E-4</v>
      </c>
      <c r="X661" s="180">
        <v>1.3291856750406272E-3</v>
      </c>
      <c r="Y661" s="180">
        <v>1.2481991200788169E-3</v>
      </c>
      <c r="Z661" s="180">
        <v>2.824290151917595E-3</v>
      </c>
      <c r="AA661" s="180">
        <v>5.7515792739731505E-4</v>
      </c>
      <c r="AB661" s="180">
        <v>9.9184976149502301E-4</v>
      </c>
      <c r="AC661" s="180">
        <v>7.9168442412031782E-4</v>
      </c>
      <c r="AD661" s="180">
        <v>5.6633014876153942E-4</v>
      </c>
      <c r="AE661" s="180">
        <v>1.2132957377483657E-3</v>
      </c>
      <c r="AF661" s="180">
        <v>8.2166255763751334E-4</v>
      </c>
      <c r="AG661" s="180">
        <v>1.8678530672680304E-3</v>
      </c>
      <c r="AH661" s="180">
        <v>-1.8556188989019865E-5</v>
      </c>
      <c r="AI661" s="181">
        <v>1.0791409093812321E-3</v>
      </c>
    </row>
    <row r="662" spans="2:35" x14ac:dyDescent="0.25">
      <c r="B662" s="163" t="str">
        <f>'Market Data'!$B$30</f>
        <v>JNJ</v>
      </c>
      <c r="C662" s="160">
        <f>Statistics!$G$32</f>
        <v>1.2075919577819831E-2</v>
      </c>
      <c r="E662" s="168">
        <v>0</v>
      </c>
      <c r="F662" s="85" t="str">
        <v>JNJ</v>
      </c>
      <c r="G662" s="179">
        <v>8.2631268301744008E-4</v>
      </c>
      <c r="H662" s="180">
        <v>7.3945969222275051E-4</v>
      </c>
      <c r="I662" s="180">
        <v>7.7470388279684329E-4</v>
      </c>
      <c r="J662" s="180">
        <v>9.0633949973445221E-4</v>
      </c>
      <c r="K662" s="180">
        <v>1.1094225673998865E-3</v>
      </c>
      <c r="L662" s="180">
        <v>1.0006982850928254E-3</v>
      </c>
      <c r="M662" s="180">
        <v>1.7073269232421356E-3</v>
      </c>
      <c r="N662" s="180">
        <v>7.6090581351824873E-4</v>
      </c>
      <c r="O662" s="180">
        <v>1.1338883047798758E-3</v>
      </c>
      <c r="P662" s="180">
        <v>7.4857834611503948E-4</v>
      </c>
      <c r="Q662" s="180">
        <v>6.2481040103688149E-4</v>
      </c>
      <c r="R662" s="180">
        <v>5.9347717242683358E-4</v>
      </c>
      <c r="S662" s="180">
        <v>8.7155825849789608E-4</v>
      </c>
      <c r="T662" s="180">
        <v>1.3437205064186324E-3</v>
      </c>
      <c r="U662" s="180">
        <v>9.2330996350035955E-4</v>
      </c>
      <c r="V662" s="180">
        <v>8.0248592661524116E-4</v>
      </c>
      <c r="W662" s="180">
        <v>7.2064842002941051E-4</v>
      </c>
      <c r="X662" s="180">
        <v>9.1647163555960687E-4</v>
      </c>
      <c r="Y662" s="180">
        <v>7.8932636294384688E-4</v>
      </c>
      <c r="Z662" s="180">
        <v>8.3950208317612799E-4</v>
      </c>
      <c r="AA662" s="180">
        <v>2.4076387457302071E-4</v>
      </c>
      <c r="AB662" s="180">
        <v>1.174922395291398E-3</v>
      </c>
      <c r="AC662" s="180">
        <v>7.8676359672877393E-4</v>
      </c>
      <c r="AD662" s="180">
        <v>4.4624886795118808E-4</v>
      </c>
      <c r="AE662" s="180">
        <v>1.0117367356107026E-3</v>
      </c>
      <c r="AF662" s="180">
        <v>7.3214708969514145E-4</v>
      </c>
      <c r="AG662" s="180">
        <v>8.2747273857601913E-4</v>
      </c>
      <c r="AH662" s="180">
        <v>7.1470891411086447E-4</v>
      </c>
      <c r="AI662" s="181">
        <v>7.4627799983375924E-4</v>
      </c>
    </row>
    <row r="663" spans="2:35" x14ac:dyDescent="0.25">
      <c r="B663" s="163" t="str">
        <f>'Market Data'!$B$31</f>
        <v>JPM</v>
      </c>
      <c r="C663" s="160">
        <f>Statistics!$G$33</f>
        <v>1.7183196749963128E-2</v>
      </c>
      <c r="E663" s="168">
        <v>0</v>
      </c>
      <c r="F663" s="85" t="str">
        <v>JPM</v>
      </c>
      <c r="G663" s="179">
        <v>1.2529926248616137E-3</v>
      </c>
      <c r="H663" s="180">
        <v>2.7840355446374721E-3</v>
      </c>
      <c r="I663" s="180">
        <v>1.8054441283061249E-3</v>
      </c>
      <c r="J663" s="180">
        <v>2.011937601179676E-3</v>
      </c>
      <c r="K663" s="180">
        <v>2.0831844183308271E-3</v>
      </c>
      <c r="L663" s="180">
        <v>2.159640132817216E-3</v>
      </c>
      <c r="M663" s="180">
        <v>2.9403656750226037E-3</v>
      </c>
      <c r="N663" s="180">
        <v>2.3150492241015347E-3</v>
      </c>
      <c r="O663" s="180">
        <v>1.9825602222543746E-3</v>
      </c>
      <c r="P663" s="180">
        <v>3.8267678235899111E-3</v>
      </c>
      <c r="Q663" s="180">
        <v>1.4284505514434026E-3</v>
      </c>
      <c r="R663" s="180">
        <v>2.0888390371824788E-3</v>
      </c>
      <c r="S663" s="180">
        <v>1.6338310266769979E-3</v>
      </c>
      <c r="T663" s="180">
        <v>9.2330996350035955E-4</v>
      </c>
      <c r="U663" s="180">
        <v>3.6504820104783621E-3</v>
      </c>
      <c r="V663" s="180">
        <v>6.292727988425526E-4</v>
      </c>
      <c r="W663" s="180">
        <v>1.135373183104091E-3</v>
      </c>
      <c r="X663" s="180">
        <v>1.3229022331511452E-3</v>
      </c>
      <c r="Y663" s="180">
        <v>9.9035410413519649E-4</v>
      </c>
      <c r="Z663" s="180">
        <v>2.1029083027690664E-3</v>
      </c>
      <c r="AA663" s="180">
        <v>6.7839144071882979E-4</v>
      </c>
      <c r="AB663" s="180">
        <v>1.3592270505613203E-3</v>
      </c>
      <c r="AC663" s="180">
        <v>7.2953612857905574E-4</v>
      </c>
      <c r="AD663" s="180">
        <v>1.2617149248905092E-3</v>
      </c>
      <c r="AE663" s="180">
        <v>1.8453743354725578E-3</v>
      </c>
      <c r="AF663" s="180">
        <v>3.9836144643633019E-4</v>
      </c>
      <c r="AG663" s="180">
        <v>1.9463933682734615E-3</v>
      </c>
      <c r="AH663" s="180">
        <v>7.503242005510376E-5</v>
      </c>
      <c r="AI663" s="181">
        <v>1.3958094738143344E-3</v>
      </c>
    </row>
    <row r="664" spans="2:35" x14ac:dyDescent="0.25">
      <c r="B664" s="163" t="str">
        <f>'Market Data'!$B$32</f>
        <v>KO</v>
      </c>
      <c r="C664" s="160">
        <f>Statistics!$G$34</f>
        <v>4.1810541872704362E-3</v>
      </c>
      <c r="E664" s="168">
        <v>0</v>
      </c>
      <c r="F664" s="85" t="str">
        <v>KO</v>
      </c>
      <c r="G664" s="179">
        <v>9.6129190129553134E-4</v>
      </c>
      <c r="H664" s="180">
        <v>5.6369017954212687E-4</v>
      </c>
      <c r="I664" s="180">
        <v>9.7196182882881919E-4</v>
      </c>
      <c r="J664" s="180">
        <v>6.586205973694774E-4</v>
      </c>
      <c r="K664" s="180">
        <v>1.0904984859812852E-3</v>
      </c>
      <c r="L664" s="180">
        <v>7.7350953916938299E-4</v>
      </c>
      <c r="M664" s="180">
        <v>1.3828838928124146E-3</v>
      </c>
      <c r="N664" s="180">
        <v>7.3157249166013263E-4</v>
      </c>
      <c r="O664" s="180">
        <v>1.0900315820250495E-3</v>
      </c>
      <c r="P664" s="180">
        <v>5.0884399749192373E-4</v>
      </c>
      <c r="Q664" s="180">
        <v>5.5799413673053339E-4</v>
      </c>
      <c r="R664" s="180">
        <v>5.7019303114958723E-4</v>
      </c>
      <c r="S664" s="180">
        <v>1.1107691361801554E-3</v>
      </c>
      <c r="T664" s="180">
        <v>8.0248592661524116E-4</v>
      </c>
      <c r="U664" s="180">
        <v>6.292727988425526E-4</v>
      </c>
      <c r="V664" s="180">
        <v>1.2210270669043683E-3</v>
      </c>
      <c r="W664" s="180">
        <v>7.9000312454904529E-4</v>
      </c>
      <c r="X664" s="180">
        <v>6.5400026561614926E-4</v>
      </c>
      <c r="Y664" s="180">
        <v>5.6925923112739025E-4</v>
      </c>
      <c r="Z664" s="180">
        <v>1.0711085481253278E-3</v>
      </c>
      <c r="AA664" s="180">
        <v>4.3589033448327737E-4</v>
      </c>
      <c r="AB664" s="180">
        <v>6.3614560547018231E-4</v>
      </c>
      <c r="AC664" s="180">
        <v>6.5740070509151668E-4</v>
      </c>
      <c r="AD664" s="180">
        <v>1.2737483924284157E-4</v>
      </c>
      <c r="AE664" s="180">
        <v>5.7087013169956707E-4</v>
      </c>
      <c r="AF664" s="180">
        <v>4.9096142938173941E-4</v>
      </c>
      <c r="AG664" s="180">
        <v>9.4999344105865064E-4</v>
      </c>
      <c r="AH664" s="180">
        <v>6.4703627119224946E-4</v>
      </c>
      <c r="AI664" s="181">
        <v>5.1805651820066112E-4</v>
      </c>
    </row>
    <row r="665" spans="2:35" x14ac:dyDescent="0.25">
      <c r="B665" s="163" t="str">
        <f>'Market Data'!$B$33</f>
        <v>MCD</v>
      </c>
      <c r="C665" s="160">
        <f>Statistics!$G$35</f>
        <v>8.998422120903465E-3</v>
      </c>
      <c r="E665" s="168">
        <v>0</v>
      </c>
      <c r="F665" s="85" t="str">
        <v>MCD</v>
      </c>
      <c r="G665" s="179">
        <v>4.3723596630614248E-4</v>
      </c>
      <c r="H665" s="180">
        <v>5.9016175595858627E-4</v>
      </c>
      <c r="I665" s="180">
        <v>1.004575731683145E-3</v>
      </c>
      <c r="J665" s="180">
        <v>1.2118483675212872E-3</v>
      </c>
      <c r="K665" s="180">
        <v>8.8656407550750189E-4</v>
      </c>
      <c r="L665" s="180">
        <v>1.2445101608031307E-3</v>
      </c>
      <c r="M665" s="180">
        <v>1.5566945864839937E-3</v>
      </c>
      <c r="N665" s="180">
        <v>1.0434476997331528E-3</v>
      </c>
      <c r="O665" s="180">
        <v>1.4080437366372094E-3</v>
      </c>
      <c r="P665" s="180">
        <v>1.1844149472533348E-3</v>
      </c>
      <c r="Q665" s="180">
        <v>7.381374461617429E-4</v>
      </c>
      <c r="R665" s="180">
        <v>5.4513263389601688E-4</v>
      </c>
      <c r="S665" s="180">
        <v>9.1762089354393737E-4</v>
      </c>
      <c r="T665" s="180">
        <v>7.2064842002941051E-4</v>
      </c>
      <c r="U665" s="180">
        <v>1.135373183104091E-3</v>
      </c>
      <c r="V665" s="180">
        <v>7.9000312454904529E-4</v>
      </c>
      <c r="W665" s="180">
        <v>1.7650690545216805E-3</v>
      </c>
      <c r="X665" s="180">
        <v>7.9590651205676567E-4</v>
      </c>
      <c r="Y665" s="180">
        <v>5.886623345512683E-4</v>
      </c>
      <c r="Z665" s="180">
        <v>1.2284698745461862E-3</v>
      </c>
      <c r="AA665" s="180">
        <v>4.3355644868225306E-4</v>
      </c>
      <c r="AB665" s="180">
        <v>9.4939047744066322E-4</v>
      </c>
      <c r="AC665" s="180">
        <v>4.0611550084338323E-4</v>
      </c>
      <c r="AD665" s="180">
        <v>3.5874031329227935E-4</v>
      </c>
      <c r="AE665" s="180">
        <v>8.7888532505727346E-4</v>
      </c>
      <c r="AF665" s="180">
        <v>6.7734327840461236E-4</v>
      </c>
      <c r="AG665" s="180">
        <v>1.0020182531469391E-3</v>
      </c>
      <c r="AH665" s="180">
        <v>4.237060092283065E-5</v>
      </c>
      <c r="AI665" s="181">
        <v>6.6389606634421081E-4</v>
      </c>
    </row>
    <row r="666" spans="2:35" x14ac:dyDescent="0.25">
      <c r="B666" s="163" t="str">
        <f>'Market Data'!$B$34</f>
        <v>MMM</v>
      </c>
      <c r="C666" s="160">
        <f>Statistics!$G$36</f>
        <v>1.5280500930100561E-2</v>
      </c>
      <c r="E666" s="168">
        <v>0</v>
      </c>
      <c r="F666" s="85" t="str">
        <v>MMM</v>
      </c>
      <c r="G666" s="179">
        <v>1.6042263123932821E-3</v>
      </c>
      <c r="H666" s="180">
        <v>1.3680882736390085E-3</v>
      </c>
      <c r="I666" s="180">
        <v>1.220072170107771E-3</v>
      </c>
      <c r="J666" s="180">
        <v>1.3778500117759705E-3</v>
      </c>
      <c r="K666" s="180">
        <v>1.6594658489014636E-3</v>
      </c>
      <c r="L666" s="180">
        <v>1.3396872809028706E-3</v>
      </c>
      <c r="M666" s="180">
        <v>2.4333011024343194E-3</v>
      </c>
      <c r="N666" s="180">
        <v>1.3935802423237448E-3</v>
      </c>
      <c r="O666" s="180">
        <v>1.6476299492810176E-3</v>
      </c>
      <c r="P666" s="180">
        <v>1.5580261625844892E-3</v>
      </c>
      <c r="Q666" s="180">
        <v>1.0633975936011025E-3</v>
      </c>
      <c r="R666" s="180">
        <v>1.0275296737018624E-3</v>
      </c>
      <c r="S666" s="180">
        <v>1.3291856750406272E-3</v>
      </c>
      <c r="T666" s="180">
        <v>9.1647163555960687E-4</v>
      </c>
      <c r="U666" s="180">
        <v>1.3229022331511452E-3</v>
      </c>
      <c r="V666" s="180">
        <v>6.5400026561614926E-4</v>
      </c>
      <c r="W666" s="180">
        <v>7.9590651205676567E-4</v>
      </c>
      <c r="X666" s="180">
        <v>1.9007159701372343E-3</v>
      </c>
      <c r="Y666" s="180">
        <v>9.3087542856500223E-4</v>
      </c>
      <c r="Z666" s="180">
        <v>9.5021437706372129E-4</v>
      </c>
      <c r="AA666" s="180">
        <v>7.5220949128439868E-4</v>
      </c>
      <c r="AB666" s="180">
        <v>1.1108584905280188E-3</v>
      </c>
      <c r="AC666" s="180">
        <v>7.8023777188204919E-4</v>
      </c>
      <c r="AD666" s="180">
        <v>9.8369986573183495E-4</v>
      </c>
      <c r="AE666" s="180">
        <v>1.8471574472775569E-3</v>
      </c>
      <c r="AF666" s="180">
        <v>5.9539589470078522E-4</v>
      </c>
      <c r="AG666" s="180">
        <v>1.59984129324471E-3</v>
      </c>
      <c r="AH666" s="180">
        <v>4.5051539698961655E-4</v>
      </c>
      <c r="AI666" s="181">
        <v>1.2697174541958882E-3</v>
      </c>
    </row>
    <row r="667" spans="2:35" x14ac:dyDescent="0.25">
      <c r="B667" s="163" t="str">
        <f>'Market Data'!$B$35</f>
        <v>MRK</v>
      </c>
      <c r="C667" s="160">
        <f>Statistics!$G$37</f>
        <v>1.1473476041634185E-2</v>
      </c>
      <c r="E667" s="168">
        <v>0</v>
      </c>
      <c r="F667" s="85" t="str">
        <v>MRK</v>
      </c>
      <c r="G667" s="179">
        <v>6.6280896407091964E-4</v>
      </c>
      <c r="H667" s="180">
        <v>9.5675499919051471E-4</v>
      </c>
      <c r="I667" s="180">
        <v>1.3506721993334096E-3</v>
      </c>
      <c r="J667" s="180">
        <v>1.6454661341138513E-3</v>
      </c>
      <c r="K667" s="180">
        <v>1.2877752599161352E-3</v>
      </c>
      <c r="L667" s="180">
        <v>1.0548817345930506E-3</v>
      </c>
      <c r="M667" s="180">
        <v>2.1034755337789339E-3</v>
      </c>
      <c r="N667" s="180">
        <v>1.1180874248259017E-3</v>
      </c>
      <c r="O667" s="180">
        <v>7.4080885300837902E-4</v>
      </c>
      <c r="P667" s="180">
        <v>9.5059394038900442E-4</v>
      </c>
      <c r="Q667" s="180">
        <v>7.161428946835201E-4</v>
      </c>
      <c r="R667" s="180">
        <v>1.0097860441379664E-3</v>
      </c>
      <c r="S667" s="180">
        <v>1.2481991200788169E-3</v>
      </c>
      <c r="T667" s="180">
        <v>7.8932636294384688E-4</v>
      </c>
      <c r="U667" s="180">
        <v>9.9035410413519649E-4</v>
      </c>
      <c r="V667" s="180">
        <v>5.6925923112739025E-4</v>
      </c>
      <c r="W667" s="180">
        <v>5.886623345512683E-4</v>
      </c>
      <c r="X667" s="180">
        <v>9.3087542856500223E-4</v>
      </c>
      <c r="Y667" s="180">
        <v>2.5431403633519077E-3</v>
      </c>
      <c r="Z667" s="180">
        <v>1.0039618395335291E-3</v>
      </c>
      <c r="AA667" s="180">
        <v>3.4083858597475385E-4</v>
      </c>
      <c r="AB667" s="180">
        <v>1.3412346285691251E-3</v>
      </c>
      <c r="AC667" s="180">
        <v>3.7529952314904947E-4</v>
      </c>
      <c r="AD667" s="180">
        <v>8.5985137540516086E-4</v>
      </c>
      <c r="AE667" s="180">
        <v>1.4646144344401168E-3</v>
      </c>
      <c r="AF667" s="180">
        <v>3.3006228708408361E-4</v>
      </c>
      <c r="AG667" s="180">
        <v>1.1984054366898813E-3</v>
      </c>
      <c r="AH667" s="180">
        <v>4.389896882024129E-4</v>
      </c>
      <c r="AI667" s="181">
        <v>5.8214330295854532E-4</v>
      </c>
    </row>
    <row r="668" spans="2:35" x14ac:dyDescent="0.25">
      <c r="B668" s="163" t="str">
        <f>'Market Data'!$B$36</f>
        <v>MSFT</v>
      </c>
      <c r="C668" s="160">
        <f>Statistics!$G$38</f>
        <v>2.1777833497491961E-2</v>
      </c>
      <c r="E668" s="168">
        <v>0.15540551084711587</v>
      </c>
      <c r="F668" s="85" t="str">
        <v>MSFT</v>
      </c>
      <c r="G668" s="179">
        <v>1.7656054736670385E-3</v>
      </c>
      <c r="H668" s="180">
        <v>1.7453927826798744E-3</v>
      </c>
      <c r="I668" s="180">
        <v>1.4618979219237266E-3</v>
      </c>
      <c r="J668" s="180">
        <v>2.2842322526096018E-3</v>
      </c>
      <c r="K668" s="180">
        <v>2.1511833371391734E-3</v>
      </c>
      <c r="L668" s="180">
        <v>1.921523261676006E-3</v>
      </c>
      <c r="M668" s="180">
        <v>3.4647817866697963E-3</v>
      </c>
      <c r="N668" s="180">
        <v>1.7514488094562146E-3</v>
      </c>
      <c r="O668" s="180">
        <v>2.1782812682115105E-3</v>
      </c>
      <c r="P668" s="180">
        <v>1.9881521509949444E-3</v>
      </c>
      <c r="Q668" s="180">
        <v>1.0017697174583111E-3</v>
      </c>
      <c r="R668" s="180">
        <v>1.4353906099659559E-3</v>
      </c>
      <c r="S668" s="180">
        <v>2.824290151917595E-3</v>
      </c>
      <c r="T668" s="180">
        <v>8.3950208317612799E-4</v>
      </c>
      <c r="U668" s="180">
        <v>2.1029083027690664E-3</v>
      </c>
      <c r="V668" s="180">
        <v>1.0711085481253278E-3</v>
      </c>
      <c r="W668" s="180">
        <v>1.2284698745461862E-3</v>
      </c>
      <c r="X668" s="180">
        <v>9.5021437706372129E-4</v>
      </c>
      <c r="Y668" s="180">
        <v>1.0039618395335291E-3</v>
      </c>
      <c r="Z668" s="180">
        <v>4.5817164894349687E-3</v>
      </c>
      <c r="AA668" s="180">
        <v>9.1111393401995618E-4</v>
      </c>
      <c r="AB668" s="180">
        <v>1.1007292150403058E-3</v>
      </c>
      <c r="AC668" s="180">
        <v>1.0300601718935634E-3</v>
      </c>
      <c r="AD668" s="180">
        <v>2.4058610256342332E-4</v>
      </c>
      <c r="AE668" s="180">
        <v>9.3007091875184366E-4</v>
      </c>
      <c r="AF668" s="180">
        <v>7.4555370224549768E-4</v>
      </c>
      <c r="AG668" s="180">
        <v>1.5294825998788863E-3</v>
      </c>
      <c r="AH668" s="180">
        <v>-3.4970831020819231E-4</v>
      </c>
      <c r="AI668" s="181">
        <v>1.2219742467918569E-3</v>
      </c>
    </row>
    <row r="669" spans="2:35" x14ac:dyDescent="0.25">
      <c r="B669" s="163" t="str">
        <f>'Market Data'!$B$37</f>
        <v>NKE</v>
      </c>
      <c r="C669" s="160">
        <f>Statistics!$G$39</f>
        <v>1.5970247269241938E-2</v>
      </c>
      <c r="E669" s="168">
        <v>9.4794463496476841E-2</v>
      </c>
      <c r="F669" s="85" t="str">
        <v>NKE</v>
      </c>
      <c r="G669" s="179">
        <v>7.4054258425286133E-4</v>
      </c>
      <c r="H669" s="180">
        <v>9.1418204127611028E-4</v>
      </c>
      <c r="I669" s="180">
        <v>1.1825978430535619E-3</v>
      </c>
      <c r="J669" s="180">
        <v>-1.1104731462091626E-4</v>
      </c>
      <c r="K669" s="180">
        <v>7.2136303147440504E-4</v>
      </c>
      <c r="L669" s="180">
        <v>-3.0145919518466895E-4</v>
      </c>
      <c r="M669" s="180">
        <v>1.371253710214986E-3</v>
      </c>
      <c r="N669" s="180">
        <v>1.1713887062549742E-3</v>
      </c>
      <c r="O669" s="180">
        <v>6.8149888740689005E-4</v>
      </c>
      <c r="P669" s="180">
        <v>9.2810945195530823E-4</v>
      </c>
      <c r="Q669" s="180">
        <v>7.3578315539153108E-4</v>
      </c>
      <c r="R669" s="180">
        <v>1.3757321359017424E-4</v>
      </c>
      <c r="S669" s="180">
        <v>5.7515792739731505E-4</v>
      </c>
      <c r="T669" s="180">
        <v>2.4076387457302071E-4</v>
      </c>
      <c r="U669" s="180">
        <v>6.7839144071882979E-4</v>
      </c>
      <c r="V669" s="180">
        <v>4.3589033448327737E-4</v>
      </c>
      <c r="W669" s="180">
        <v>4.3355644868225306E-4</v>
      </c>
      <c r="X669" s="180">
        <v>7.5220949128439868E-4</v>
      </c>
      <c r="Y669" s="180">
        <v>3.4083858597475385E-4</v>
      </c>
      <c r="Z669" s="180">
        <v>9.1111393401995618E-4</v>
      </c>
      <c r="AA669" s="180">
        <v>2.7193308407813446E-3</v>
      </c>
      <c r="AB669" s="180">
        <v>5.6615292191577104E-4</v>
      </c>
      <c r="AC669" s="180">
        <v>3.6538493696828688E-4</v>
      </c>
      <c r="AD669" s="180">
        <v>8.9669180264711685E-5</v>
      </c>
      <c r="AE669" s="180">
        <v>4.9140530374502923E-4</v>
      </c>
      <c r="AF669" s="180">
        <v>1.0278859564771125E-5</v>
      </c>
      <c r="AG669" s="180">
        <v>1.2162400994020978E-3</v>
      </c>
      <c r="AH669" s="180">
        <v>1.3266739677968515E-5</v>
      </c>
      <c r="AI669" s="181">
        <v>-1.9722713194093662E-4</v>
      </c>
    </row>
    <row r="670" spans="2:35" x14ac:dyDescent="0.25">
      <c r="B670" s="163" t="str">
        <f>'Market Data'!$B$38</f>
        <v>PFE</v>
      </c>
      <c r="C670" s="160">
        <f>Statistics!$G$40</f>
        <v>7.6042605716081235E-3</v>
      </c>
      <c r="E670" s="168">
        <v>0</v>
      </c>
      <c r="F670" s="85" t="str">
        <v>PFE</v>
      </c>
      <c r="G670" s="179">
        <v>1.105136574328315E-3</v>
      </c>
      <c r="H670" s="180">
        <v>1.0081234358528435E-3</v>
      </c>
      <c r="I670" s="180">
        <v>1.2950969606515986E-3</v>
      </c>
      <c r="J670" s="180">
        <v>7.9610645869862182E-4</v>
      </c>
      <c r="K670" s="180">
        <v>1.5185012123350332E-3</v>
      </c>
      <c r="L670" s="180">
        <v>1.0966581694716135E-3</v>
      </c>
      <c r="M670" s="180">
        <v>2.2541080192876768E-3</v>
      </c>
      <c r="N670" s="180">
        <v>1.4909638464124207E-3</v>
      </c>
      <c r="O670" s="180">
        <v>1.1596920910434683E-3</v>
      </c>
      <c r="P670" s="180">
        <v>1.2974763649140325E-3</v>
      </c>
      <c r="Q670" s="180">
        <v>8.5234066580948517E-4</v>
      </c>
      <c r="R670" s="180">
        <v>7.9545047293496068E-4</v>
      </c>
      <c r="S670" s="180">
        <v>9.9184976149502301E-4</v>
      </c>
      <c r="T670" s="180">
        <v>1.174922395291398E-3</v>
      </c>
      <c r="U670" s="180">
        <v>1.3592270505613203E-3</v>
      </c>
      <c r="V670" s="180">
        <v>6.3614560547018231E-4</v>
      </c>
      <c r="W670" s="180">
        <v>9.4939047744066322E-4</v>
      </c>
      <c r="X670" s="180">
        <v>1.1108584905280188E-3</v>
      </c>
      <c r="Y670" s="180">
        <v>1.3412346285691251E-3</v>
      </c>
      <c r="Z670" s="180">
        <v>1.1007292150403058E-3</v>
      </c>
      <c r="AA670" s="180">
        <v>5.6615292191577104E-4</v>
      </c>
      <c r="AB670" s="180">
        <v>2.4354805215546461E-3</v>
      </c>
      <c r="AC670" s="180">
        <v>7.7698221980775051E-4</v>
      </c>
      <c r="AD670" s="180">
        <v>7.5423895885674786E-4</v>
      </c>
      <c r="AE670" s="180">
        <v>1.3524566727664237E-3</v>
      </c>
      <c r="AF670" s="180">
        <v>6.9733723903610885E-4</v>
      </c>
      <c r="AG670" s="180">
        <v>1.6142857385330945E-3</v>
      </c>
      <c r="AH670" s="180">
        <v>6.1756439897017149E-4</v>
      </c>
      <c r="AI670" s="181">
        <v>8.1835922434987771E-4</v>
      </c>
    </row>
    <row r="671" spans="2:35" x14ac:dyDescent="0.25">
      <c r="B671" s="163" t="str">
        <f>'Market Data'!$B$39</f>
        <v>PG</v>
      </c>
      <c r="C671" s="160">
        <f>Statistics!$G$41</f>
        <v>6.7668222923833359E-3</v>
      </c>
      <c r="E671" s="168">
        <v>0</v>
      </c>
      <c r="F671" s="85" t="str">
        <v>PG</v>
      </c>
      <c r="G671" s="179">
        <v>1.0336127768185608E-3</v>
      </c>
      <c r="H671" s="180">
        <v>4.150551569421239E-4</v>
      </c>
      <c r="I671" s="180">
        <v>5.997217417536032E-4</v>
      </c>
      <c r="J671" s="180">
        <v>4.9254664842985144E-4</v>
      </c>
      <c r="K671" s="180">
        <v>1.0690588122897406E-3</v>
      </c>
      <c r="L671" s="180">
        <v>8.4385070363078498E-4</v>
      </c>
      <c r="M671" s="180">
        <v>1.1783213677355128E-3</v>
      </c>
      <c r="N671" s="180">
        <v>6.6920552953337459E-4</v>
      </c>
      <c r="O671" s="180">
        <v>8.669689440805547E-4</v>
      </c>
      <c r="P671" s="180">
        <v>6.8796273406052837E-4</v>
      </c>
      <c r="Q671" s="180">
        <v>4.7474349038820928E-4</v>
      </c>
      <c r="R671" s="180">
        <v>5.5361049131124631E-4</v>
      </c>
      <c r="S671" s="180">
        <v>7.9168442412031782E-4</v>
      </c>
      <c r="T671" s="180">
        <v>7.8676359672877393E-4</v>
      </c>
      <c r="U671" s="180">
        <v>7.2953612857905574E-4</v>
      </c>
      <c r="V671" s="180">
        <v>6.5740070509151668E-4</v>
      </c>
      <c r="W671" s="180">
        <v>4.0611550084338323E-4</v>
      </c>
      <c r="X671" s="180">
        <v>7.8023777188204919E-4</v>
      </c>
      <c r="Y671" s="180">
        <v>3.7529952314904947E-4</v>
      </c>
      <c r="Z671" s="180">
        <v>1.0300601718935634E-3</v>
      </c>
      <c r="AA671" s="180">
        <v>3.6538493696828688E-4</v>
      </c>
      <c r="AB671" s="180">
        <v>7.7698221980775051E-4</v>
      </c>
      <c r="AC671" s="180">
        <v>1.4111752678343567E-3</v>
      </c>
      <c r="AD671" s="180">
        <v>1.723275330802805E-4</v>
      </c>
      <c r="AE671" s="180">
        <v>6.4008748533685535E-4</v>
      </c>
      <c r="AF671" s="180">
        <v>2.3535220881827705E-4</v>
      </c>
      <c r="AG671" s="180">
        <v>9.2172519542926422E-4</v>
      </c>
      <c r="AH671" s="180">
        <v>7.2490049760504278E-4</v>
      </c>
      <c r="AI671" s="181">
        <v>6.1092932367000222E-4</v>
      </c>
    </row>
    <row r="672" spans="2:35" x14ac:dyDescent="0.25">
      <c r="B672" s="163" t="str">
        <f>'Market Data'!$B$40</f>
        <v>UNH</v>
      </c>
      <c r="C672" s="160">
        <f>Statistics!$G$42</f>
        <v>2.4695057092687361E-2</v>
      </c>
      <c r="E672" s="168">
        <v>0.65939972587135975</v>
      </c>
      <c r="F672" s="85" t="str">
        <v>UNH</v>
      </c>
      <c r="G672" s="179">
        <v>5.5673881663560775E-4</v>
      </c>
      <c r="H672" s="180">
        <v>9.035040942327959E-4</v>
      </c>
      <c r="I672" s="180">
        <v>6.5863568330466196E-4</v>
      </c>
      <c r="J672" s="180">
        <v>7.8373416165496384E-4</v>
      </c>
      <c r="K672" s="180">
        <v>1.0321561899434074E-3</v>
      </c>
      <c r="L672" s="180">
        <v>8.9699068571536217E-4</v>
      </c>
      <c r="M672" s="180">
        <v>1.3915459916452729E-3</v>
      </c>
      <c r="N672" s="180">
        <v>9.9320622386439117E-4</v>
      </c>
      <c r="O672" s="180">
        <v>6.9406421327386882E-4</v>
      </c>
      <c r="P672" s="180">
        <v>1.248419321363809E-3</v>
      </c>
      <c r="Q672" s="180">
        <v>6.4915062582396636E-4</v>
      </c>
      <c r="R672" s="180">
        <v>8.8298395118505178E-4</v>
      </c>
      <c r="S672" s="180">
        <v>5.6633014876153942E-4</v>
      </c>
      <c r="T672" s="180">
        <v>4.4624886795118808E-4</v>
      </c>
      <c r="U672" s="180">
        <v>1.2617149248905092E-3</v>
      </c>
      <c r="V672" s="180">
        <v>1.2737483924284157E-4</v>
      </c>
      <c r="W672" s="180">
        <v>3.5874031329227935E-4</v>
      </c>
      <c r="X672" s="180">
        <v>9.8369986573183495E-4</v>
      </c>
      <c r="Y672" s="180">
        <v>8.5985137540516086E-4</v>
      </c>
      <c r="Z672" s="180">
        <v>2.4058610256342332E-4</v>
      </c>
      <c r="AA672" s="180">
        <v>8.9669180264711685E-5</v>
      </c>
      <c r="AB672" s="180">
        <v>7.5423895885674786E-4</v>
      </c>
      <c r="AC672" s="180">
        <v>1.723275330802805E-4</v>
      </c>
      <c r="AD672" s="180">
        <v>1.9588021355587989E-3</v>
      </c>
      <c r="AE672" s="180">
        <v>1.3013762269017E-3</v>
      </c>
      <c r="AF672" s="180">
        <v>4.3562344006968111E-4</v>
      </c>
      <c r="AG672" s="180">
        <v>6.7255745531353401E-4</v>
      </c>
      <c r="AH672" s="180">
        <v>2.5472583633253342E-4</v>
      </c>
      <c r="AI672" s="181">
        <v>7.6037739981613735E-4</v>
      </c>
    </row>
    <row r="673" spans="2:35" x14ac:dyDescent="0.25">
      <c r="B673" s="163" t="str">
        <f>'Market Data'!$B$41</f>
        <v>UTX</v>
      </c>
      <c r="C673" s="160">
        <f>Statistics!$G$43</f>
        <v>7.3861111519648165E-3</v>
      </c>
      <c r="E673" s="168">
        <v>0</v>
      </c>
      <c r="F673" s="85" t="str">
        <v>UTX</v>
      </c>
      <c r="G673" s="179">
        <v>1.2367738317379871E-3</v>
      </c>
      <c r="H673" s="180">
        <v>1.9679940702890687E-3</v>
      </c>
      <c r="I673" s="180">
        <v>1.846395156096473E-3</v>
      </c>
      <c r="J673" s="180">
        <v>2.1924453554447642E-3</v>
      </c>
      <c r="K673" s="180">
        <v>2.0848208418056797E-3</v>
      </c>
      <c r="L673" s="180">
        <v>1.7655731333339048E-3</v>
      </c>
      <c r="M673" s="180">
        <v>3.4844332298577191E-3</v>
      </c>
      <c r="N673" s="180">
        <v>1.6618009644053405E-3</v>
      </c>
      <c r="O673" s="180">
        <v>1.9210155408337607E-3</v>
      </c>
      <c r="P673" s="180">
        <v>2.1674424403236793E-3</v>
      </c>
      <c r="Q673" s="180">
        <v>1.2386809813748902E-3</v>
      </c>
      <c r="R673" s="180">
        <v>1.5169272523521361E-3</v>
      </c>
      <c r="S673" s="180">
        <v>1.2132957377483657E-3</v>
      </c>
      <c r="T673" s="180">
        <v>1.0117367356107026E-3</v>
      </c>
      <c r="U673" s="180">
        <v>1.8453743354725578E-3</v>
      </c>
      <c r="V673" s="180">
        <v>5.7087013169956707E-4</v>
      </c>
      <c r="W673" s="180">
        <v>8.7888532505727346E-4</v>
      </c>
      <c r="X673" s="180">
        <v>1.8471574472775569E-3</v>
      </c>
      <c r="Y673" s="180">
        <v>1.4646144344401168E-3</v>
      </c>
      <c r="Z673" s="180">
        <v>9.3007091875184366E-4</v>
      </c>
      <c r="AA673" s="180">
        <v>4.9140530374502923E-4</v>
      </c>
      <c r="AB673" s="180">
        <v>1.3524566727664237E-3</v>
      </c>
      <c r="AC673" s="180">
        <v>6.4008748533685535E-4</v>
      </c>
      <c r="AD673" s="180">
        <v>1.3013762269017E-3</v>
      </c>
      <c r="AE673" s="180">
        <v>3.1502830070701034E-3</v>
      </c>
      <c r="AF673" s="180">
        <v>3.2120511051046262E-4</v>
      </c>
      <c r="AG673" s="180">
        <v>1.6964262161404888E-3</v>
      </c>
      <c r="AH673" s="180">
        <v>2.8814451862251201E-4</v>
      </c>
      <c r="AI673" s="181">
        <v>1.3259012920786922E-3</v>
      </c>
    </row>
    <row r="674" spans="2:35" x14ac:dyDescent="0.25">
      <c r="B674" s="163" t="str">
        <f>'Market Data'!$B$42</f>
        <v>VZ</v>
      </c>
      <c r="C674" s="160">
        <f>Statistics!$G$44</f>
        <v>5.0086030759070753E-3</v>
      </c>
      <c r="E674" s="168">
        <v>0</v>
      </c>
      <c r="F674" s="85" t="str">
        <v>VZ</v>
      </c>
      <c r="G674" s="179">
        <v>1.8457278448214234E-4</v>
      </c>
      <c r="H674" s="180">
        <v>-7.7366109832012643E-5</v>
      </c>
      <c r="I674" s="180">
        <v>3.7914592931386057E-4</v>
      </c>
      <c r="J674" s="180">
        <v>6.8929109799853135E-4</v>
      </c>
      <c r="K674" s="180">
        <v>5.9888719676582812E-4</v>
      </c>
      <c r="L674" s="180">
        <v>7.5916190680994219E-4</v>
      </c>
      <c r="M674" s="180">
        <v>9.2727826439514978E-4</v>
      </c>
      <c r="N674" s="180">
        <v>5.8624704841600517E-4</v>
      </c>
      <c r="O674" s="180">
        <v>1.0256274934399997E-3</v>
      </c>
      <c r="P674" s="180">
        <v>3.7523862948950627E-4</v>
      </c>
      <c r="Q674" s="180">
        <v>1.1189073531181803E-4</v>
      </c>
      <c r="R674" s="180">
        <v>2.033685246020378E-4</v>
      </c>
      <c r="S674" s="180">
        <v>8.2166255763751334E-4</v>
      </c>
      <c r="T674" s="180">
        <v>7.3214708969514145E-4</v>
      </c>
      <c r="U674" s="180">
        <v>3.9836144643633019E-4</v>
      </c>
      <c r="V674" s="180">
        <v>4.9096142938173941E-4</v>
      </c>
      <c r="W674" s="180">
        <v>6.7734327840461236E-4</v>
      </c>
      <c r="X674" s="180">
        <v>5.9539589470078522E-4</v>
      </c>
      <c r="Y674" s="180">
        <v>3.3006228708408361E-4</v>
      </c>
      <c r="Z674" s="180">
        <v>7.4555370224549768E-4</v>
      </c>
      <c r="AA674" s="180">
        <v>1.0278859564771125E-5</v>
      </c>
      <c r="AB674" s="180">
        <v>6.9733723903610885E-4</v>
      </c>
      <c r="AC674" s="180">
        <v>2.3535220881827705E-4</v>
      </c>
      <c r="AD674" s="180">
        <v>4.3562344006968111E-4</v>
      </c>
      <c r="AE674" s="180">
        <v>3.2120511051046262E-4</v>
      </c>
      <c r="AF674" s="180">
        <v>2.0420562729853461E-3</v>
      </c>
      <c r="AG674" s="180">
        <v>3.5270826394507459E-4</v>
      </c>
      <c r="AH674" s="180">
        <v>4.5696587310639262E-4</v>
      </c>
      <c r="AI674" s="181">
        <v>6.4524949399266879E-4</v>
      </c>
    </row>
    <row r="675" spans="2:35" x14ac:dyDescent="0.25">
      <c r="B675" s="163" t="str">
        <f>'Market Data'!$B$43</f>
        <v>V</v>
      </c>
      <c r="C675" s="160">
        <f>Statistics!$G$45</f>
        <v>1.7947618128132319E-2</v>
      </c>
      <c r="E675" s="168">
        <v>0</v>
      </c>
      <c r="F675" s="85" t="str">
        <v>V</v>
      </c>
      <c r="G675" s="179">
        <v>1.5697677901095443E-3</v>
      </c>
      <c r="H675" s="180">
        <v>2.1563583115517065E-3</v>
      </c>
      <c r="I675" s="180">
        <v>2.2475777063178958E-3</v>
      </c>
      <c r="J675" s="180">
        <v>1.4624027030174886E-3</v>
      </c>
      <c r="K675" s="180">
        <v>2.8598074505702059E-3</v>
      </c>
      <c r="L675" s="180">
        <v>9.2897312946466114E-4</v>
      </c>
      <c r="M675" s="180">
        <v>3.0677861856869904E-3</v>
      </c>
      <c r="N675" s="180">
        <v>2.2204011828610088E-3</v>
      </c>
      <c r="O675" s="180">
        <v>1.7646874198991678E-3</v>
      </c>
      <c r="P675" s="180">
        <v>2.0541307067505868E-3</v>
      </c>
      <c r="Q675" s="180">
        <v>1.2055891827737501E-3</v>
      </c>
      <c r="R675" s="180">
        <v>1.2306885914741903E-3</v>
      </c>
      <c r="S675" s="180">
        <v>1.8678530672680304E-3</v>
      </c>
      <c r="T675" s="180">
        <v>8.2747273857601913E-4</v>
      </c>
      <c r="U675" s="180">
        <v>1.9463933682734615E-3</v>
      </c>
      <c r="V675" s="180">
        <v>9.4999344105865064E-4</v>
      </c>
      <c r="W675" s="180">
        <v>1.0020182531469391E-3</v>
      </c>
      <c r="X675" s="180">
        <v>1.59984129324471E-3</v>
      </c>
      <c r="Y675" s="180">
        <v>1.1984054366898813E-3</v>
      </c>
      <c r="Z675" s="180">
        <v>1.5294825998788863E-3</v>
      </c>
      <c r="AA675" s="180">
        <v>1.2162400994020978E-3</v>
      </c>
      <c r="AB675" s="180">
        <v>1.6142857385330945E-3</v>
      </c>
      <c r="AC675" s="180">
        <v>9.2172519542926422E-4</v>
      </c>
      <c r="AD675" s="180">
        <v>6.7255745531353401E-4</v>
      </c>
      <c r="AE675" s="180">
        <v>1.6964262161404888E-3</v>
      </c>
      <c r="AF675" s="180">
        <v>3.5270826394507459E-4</v>
      </c>
      <c r="AG675" s="180">
        <v>3.6944718915923875E-3</v>
      </c>
      <c r="AH675" s="180">
        <v>2.1280259291490004E-4</v>
      </c>
      <c r="AI675" s="181">
        <v>9.4116112769672574E-4</v>
      </c>
    </row>
    <row r="676" spans="2:35" x14ac:dyDescent="0.25">
      <c r="B676" s="163" t="str">
        <f>'Market Data'!$B$44</f>
        <v>WMT</v>
      </c>
      <c r="C676" s="160">
        <f>Statistics!$G$46</f>
        <v>1.8437214178450567E-3</v>
      </c>
      <c r="E676" s="168">
        <v>0</v>
      </c>
      <c r="F676" s="85" t="str">
        <v>WMT</v>
      </c>
      <c r="G676" s="179">
        <v>5.7975796375205426E-4</v>
      </c>
      <c r="H676" s="180">
        <v>2.6973274792062105E-5</v>
      </c>
      <c r="I676" s="180">
        <v>1.7979190170774528E-4</v>
      </c>
      <c r="J676" s="180">
        <v>-2.1581932882750213E-4</v>
      </c>
      <c r="K676" s="180">
        <v>3.2563207166723412E-4</v>
      </c>
      <c r="L676" s="180">
        <v>1.437380584121094E-4</v>
      </c>
      <c r="M676" s="180">
        <v>-2.3301122426120984E-5</v>
      </c>
      <c r="N676" s="180">
        <v>-1.1672694641114529E-4</v>
      </c>
      <c r="O676" s="180">
        <v>3.1986346053900631E-5</v>
      </c>
      <c r="P676" s="180">
        <v>-5.4295264980806504E-5</v>
      </c>
      <c r="Q676" s="180">
        <v>1.9815526434870993E-4</v>
      </c>
      <c r="R676" s="180">
        <v>3.7610030291999273E-4</v>
      </c>
      <c r="S676" s="180">
        <v>-1.8556188989019865E-5</v>
      </c>
      <c r="T676" s="180">
        <v>7.1470891411086447E-4</v>
      </c>
      <c r="U676" s="180">
        <v>7.503242005510376E-5</v>
      </c>
      <c r="V676" s="180">
        <v>6.4703627119224946E-4</v>
      </c>
      <c r="W676" s="180">
        <v>4.237060092283065E-5</v>
      </c>
      <c r="X676" s="180">
        <v>4.5051539698961655E-4</v>
      </c>
      <c r="Y676" s="180">
        <v>4.389896882024129E-4</v>
      </c>
      <c r="Z676" s="180">
        <v>-3.4970831020819231E-4</v>
      </c>
      <c r="AA676" s="180">
        <v>1.3266739677968515E-5</v>
      </c>
      <c r="AB676" s="180">
        <v>6.1756439897017149E-4</v>
      </c>
      <c r="AC676" s="180">
        <v>7.2490049760504278E-4</v>
      </c>
      <c r="AD676" s="180">
        <v>2.5472583633253342E-4</v>
      </c>
      <c r="AE676" s="180">
        <v>2.8814451862251201E-4</v>
      </c>
      <c r="AF676" s="180">
        <v>4.5696587310639262E-4</v>
      </c>
      <c r="AG676" s="180">
        <v>2.1280259291490004E-4</v>
      </c>
      <c r="AH676" s="180">
        <v>1.9253008332035728E-3</v>
      </c>
      <c r="AI676" s="181">
        <v>9.9417778748729687E-5</v>
      </c>
    </row>
    <row r="677" spans="2:35" x14ac:dyDescent="0.25">
      <c r="B677" s="164" t="str">
        <f>'Market Data'!$B$45</f>
        <v>XOM</v>
      </c>
      <c r="C677" s="165">
        <f>Statistics!$G$47</f>
        <v>1.7101166353118678E-3</v>
      </c>
      <c r="E677" s="169">
        <v>0</v>
      </c>
      <c r="F677" s="86" t="str">
        <v>XOM</v>
      </c>
      <c r="G677" s="179">
        <v>8.3126780280069973E-4</v>
      </c>
      <c r="H677" s="180">
        <v>9.0240454872836753E-4</v>
      </c>
      <c r="I677" s="180">
        <v>5.5785917505375118E-4</v>
      </c>
      <c r="J677" s="180">
        <v>1.368945659107327E-3</v>
      </c>
      <c r="K677" s="180">
        <v>1.3701802479257339E-3</v>
      </c>
      <c r="L677" s="180">
        <v>1.9286286807754067E-3</v>
      </c>
      <c r="M677" s="180">
        <v>2.1182301102402332E-3</v>
      </c>
      <c r="N677" s="180">
        <v>1.3292278052638991E-3</v>
      </c>
      <c r="O677" s="180">
        <v>1.6264073394302158E-3</v>
      </c>
      <c r="P677" s="180">
        <v>1.4387650786059658E-3</v>
      </c>
      <c r="Q677" s="180">
        <v>5.7016164369997474E-4</v>
      </c>
      <c r="R677" s="180">
        <v>1.0970123689928199E-3</v>
      </c>
      <c r="S677" s="180">
        <v>1.0791409093812321E-3</v>
      </c>
      <c r="T677" s="180">
        <v>7.4627799983375924E-4</v>
      </c>
      <c r="U677" s="180">
        <v>1.3958094738143344E-3</v>
      </c>
      <c r="V677" s="180">
        <v>5.1805651820066112E-4</v>
      </c>
      <c r="W677" s="180">
        <v>6.6389606634421081E-4</v>
      </c>
      <c r="X677" s="180">
        <v>1.2697174541958882E-3</v>
      </c>
      <c r="Y677" s="180">
        <v>5.8214330295854532E-4</v>
      </c>
      <c r="Z677" s="180">
        <v>1.2219742467918569E-3</v>
      </c>
      <c r="AA677" s="180">
        <v>-1.9722713194093662E-4</v>
      </c>
      <c r="AB677" s="180">
        <v>8.1835922434987771E-4</v>
      </c>
      <c r="AC677" s="180">
        <v>6.1092932367000222E-4</v>
      </c>
      <c r="AD677" s="180">
        <v>7.6037739981613735E-4</v>
      </c>
      <c r="AE677" s="180">
        <v>1.3259012920786922E-3</v>
      </c>
      <c r="AF677" s="180">
        <v>6.4524949399266879E-4</v>
      </c>
      <c r="AG677" s="180">
        <v>9.4116112769672574E-4</v>
      </c>
      <c r="AH677" s="180">
        <v>9.9417778748729687E-5</v>
      </c>
      <c r="AI677" s="181">
        <v>1.845802781732033E-3</v>
      </c>
    </row>
    <row r="678" spans="2:35" x14ac:dyDescent="0.25">
      <c r="B678" s="3"/>
      <c r="C678" s="3"/>
      <c r="D678" s="3"/>
      <c r="E678" s="182">
        <f>SUM(TR14_PORTFOLIO_WEIGHTS)</f>
        <v>1</v>
      </c>
      <c r="F678" s="3"/>
      <c r="G678" s="184">
        <f>_xll.SumProduct2(TR14_PORTFOLIO_WEIGHTS, G649:G677) * G647</f>
        <v>7.2816269029600615E-5</v>
      </c>
      <c r="H678" s="185">
        <f>_xll.SumProduct2(TR14_PORTFOLIO_WEIGHTS, H649:H677) * H647</f>
        <v>0</v>
      </c>
      <c r="I678" s="185">
        <f>_xll.SumProduct2(TR14_PORTFOLIO_WEIGHTS, I649:I677) * I647</f>
        <v>0</v>
      </c>
      <c r="J678" s="185">
        <f>_xll.SumProduct2(TR14_PORTFOLIO_WEIGHTS, J649:J677) * J647</f>
        <v>0</v>
      </c>
      <c r="K678" s="185">
        <f>_xll.SumProduct2(TR14_PORTFOLIO_WEIGHTS, K649:K677) * K647</f>
        <v>0</v>
      </c>
      <c r="L678" s="185">
        <f>_xll.SumProduct2(TR14_PORTFOLIO_WEIGHTS, L649:L677) * L647</f>
        <v>0</v>
      </c>
      <c r="M678" s="185">
        <f>_xll.SumProduct2(TR14_PORTFOLIO_WEIGHTS, M649:M677) * M647</f>
        <v>0</v>
      </c>
      <c r="N678" s="185">
        <f>_xll.SumProduct2(TR14_PORTFOLIO_WEIGHTS, N649:N677) * N647</f>
        <v>0</v>
      </c>
      <c r="O678" s="185">
        <f>_xll.SumProduct2(TR14_PORTFOLIO_WEIGHTS, O649:O677) * O647</f>
        <v>0</v>
      </c>
      <c r="P678" s="185">
        <f>_xll.SumProduct2(TR14_PORTFOLIO_WEIGHTS, P649:P677) * P647</f>
        <v>0</v>
      </c>
      <c r="Q678" s="185">
        <f>_xll.SumProduct2(TR14_PORTFOLIO_WEIGHTS, Q649:Q677) * Q647</f>
        <v>1.5851626944078295E-5</v>
      </c>
      <c r="R678" s="185">
        <f>_xll.SumProduct2(TR14_PORTFOLIO_WEIGHTS, R649:R677) * R647</f>
        <v>0</v>
      </c>
      <c r="S678" s="185">
        <f>_xll.SumProduct2(TR14_PORTFOLIO_WEIGHTS, S649:S677) * S647</f>
        <v>0</v>
      </c>
      <c r="T678" s="185">
        <f>_xll.SumProduct2(TR14_PORTFOLIO_WEIGHTS, T649:T677) * T647</f>
        <v>0</v>
      </c>
      <c r="U678" s="186">
        <f>_xll.SumProduct2(TR14_PORTFOLIO_WEIGHTS, U649:U677) * U647</f>
        <v>0</v>
      </c>
      <c r="V678" s="186">
        <f>_xll.SumProduct2(TR14_PORTFOLIO_WEIGHTS, V649:V677) * V647</f>
        <v>0</v>
      </c>
      <c r="W678" s="186">
        <f>_xll.SumProduct2(TR14_PORTFOLIO_WEIGHTS, W649:W677) * W647</f>
        <v>0</v>
      </c>
      <c r="X678" s="186">
        <f>_xll.SumProduct2(TR14_PORTFOLIO_WEIGHTS, X649:X677) * X647</f>
        <v>0</v>
      </c>
      <c r="Y678" s="186">
        <f>_xll.SumProduct2(TR14_PORTFOLIO_WEIGHTS, Y649:Y677) * Y647</f>
        <v>0</v>
      </c>
      <c r="Z678" s="186">
        <f>_xll.SumProduct2(TR14_PORTFOLIO_WEIGHTS, Z649:Z677) * Z647</f>
        <v>1.710617283297169E-4</v>
      </c>
      <c r="AA678" s="186">
        <f>_xll.SumProduct2(TR14_PORTFOLIO_WEIGHTS, AA649:AA677) * AA647</f>
        <v>4.9799669897488449E-5</v>
      </c>
      <c r="AB678" s="186">
        <f>_xll.SumProduct2(TR14_PORTFOLIO_WEIGHTS, AB649:AB677) * AB647</f>
        <v>0</v>
      </c>
      <c r="AC678" s="186">
        <f>_xll.SumProduct2(TR14_PORTFOLIO_WEIGHTS, AC649:AC677) * AC647</f>
        <v>0</v>
      </c>
      <c r="AD678" s="186">
        <f>_xll.SumProduct2(TR14_PORTFOLIO_WEIGHTS, AD649:AD677) * AD647</f>
        <v>9.1641749986774408E-4</v>
      </c>
      <c r="AE678" s="186">
        <f>_xll.SumProduct2(TR14_PORTFOLIO_WEIGHTS, AE649:AE677) * AE647</f>
        <v>0</v>
      </c>
      <c r="AF678" s="186">
        <f>_xll.SumProduct2(TR14_PORTFOLIO_WEIGHTS, AF649:AF677) * AF647</f>
        <v>0</v>
      </c>
      <c r="AG678" s="186">
        <f>_xll.SumProduct2(TR14_PORTFOLIO_WEIGHTS, AG649:AG677) * AG647</f>
        <v>0</v>
      </c>
      <c r="AH678" s="186">
        <f>_xll.SumProduct2(TR14_PORTFOLIO_WEIGHTS, AH649:AH677) * AH647</f>
        <v>0</v>
      </c>
      <c r="AI678" s="187">
        <f>_xll.SumProduct2(TR14_PORTFOLIO_WEIGHTS, AI649:AI677) * AI647</f>
        <v>0</v>
      </c>
    </row>
    <row r="679" spans="2:35" x14ac:dyDescent="0.25">
      <c r="C679" s="5"/>
      <c r="E679" s="5"/>
      <c r="Q679" s="6"/>
      <c r="R679" s="6"/>
      <c r="T679" s="6"/>
      <c r="V679" s="6"/>
      <c r="W679" s="6"/>
      <c r="Y679" s="6"/>
      <c r="AA679" s="6"/>
      <c r="AB679" s="6"/>
      <c r="AC679" s="6"/>
      <c r="AD679" s="6"/>
      <c r="AF679" s="6"/>
      <c r="AG679" s="6"/>
      <c r="AH679" s="6"/>
      <c r="AI679" s="6"/>
    </row>
    <row r="680" spans="2:35" ht="20.25" thickBot="1" x14ac:dyDescent="0.35">
      <c r="B680" s="153" t="s">
        <v>107</v>
      </c>
      <c r="C680" s="153"/>
      <c r="D680" s="153"/>
      <c r="E680" s="154"/>
      <c r="F680" s="153"/>
      <c r="G680" s="155"/>
      <c r="H680" s="155"/>
      <c r="I680" s="155"/>
      <c r="J680" s="155"/>
      <c r="K680" s="155"/>
      <c r="L680" s="155"/>
      <c r="M680" s="155"/>
      <c r="N680" s="155"/>
      <c r="O680" s="155"/>
      <c r="P680" s="155"/>
      <c r="Q680" s="155"/>
      <c r="R680" s="155"/>
      <c r="S680" s="155"/>
      <c r="T680" s="155"/>
      <c r="U680" s="155"/>
      <c r="V680" s="155"/>
      <c r="W680" s="155"/>
      <c r="X680" s="155"/>
      <c r="Y680" s="155"/>
      <c r="Z680" s="155"/>
      <c r="AA680" s="155"/>
      <c r="AB680" s="155"/>
      <c r="AC680" s="155"/>
      <c r="AD680" s="155"/>
      <c r="AE680" s="155"/>
      <c r="AF680" s="155"/>
      <c r="AG680" s="155"/>
      <c r="AH680" s="155"/>
      <c r="AI680" s="155"/>
    </row>
    <row r="681" spans="2:35" ht="15.75" thickTop="1" x14ac:dyDescent="0.25">
      <c r="B681" s="156" t="s">
        <v>70</v>
      </c>
      <c r="C681" s="159">
        <f>MAX(MAX_PORTFOLIO_EXPECTED_RETURNS)-RISK_FREE_RATE</f>
        <v>2.4660341499680421E-2</v>
      </c>
    </row>
    <row r="682" spans="2:35" x14ac:dyDescent="0.25">
      <c r="B682" s="157" t="s">
        <v>60</v>
      </c>
      <c r="C682" s="160">
        <f>_xll.SumProduct2(MAX_PORTFOLIO_EXPECTED_RETURNS,MAX_PORTFOLIO_WEIGHTS)-RISK_FREE_RATE</f>
        <v>2.4660341499680414E-2</v>
      </c>
    </row>
    <row r="683" spans="2:35" x14ac:dyDescent="0.25">
      <c r="B683" s="157" t="s">
        <v>62</v>
      </c>
      <c r="C683" s="160">
        <f>SQRT(SUM(G716:AI716))</f>
        <v>4.4258356674856308E-2</v>
      </c>
    </row>
    <row r="684" spans="2:35" x14ac:dyDescent="0.25">
      <c r="B684" s="158" t="s">
        <v>103</v>
      </c>
      <c r="C684" s="161" t="str">
        <f>_xll.TimeSeries.CovarianceMatrixCalculator.apply(COVARIANCE_MATRIX_CALCULATOR,MAX_PORTFOLIO_TICKERS,ALL_RETURN_SERIES)</f>
        <v>»LabelledMatrix-16705291694770987809</v>
      </c>
      <c r="D684" t="s">
        <v>77</v>
      </c>
    </row>
    <row r="685" spans="2:35" x14ac:dyDescent="0.25">
      <c r="F685" s="111" t="s">
        <v>69</v>
      </c>
      <c r="G685" s="170">
        <f t="array" ref="G685:AI685">TRANSPOSE(E687:E715)</f>
        <v>0</v>
      </c>
      <c r="H685" s="171">
        <v>0</v>
      </c>
      <c r="I685" s="171">
        <v>0</v>
      </c>
      <c r="J685" s="171">
        <v>0</v>
      </c>
      <c r="K685" s="171">
        <v>0</v>
      </c>
      <c r="L685" s="171">
        <v>0</v>
      </c>
      <c r="M685" s="171">
        <v>0</v>
      </c>
      <c r="N685" s="171">
        <v>0</v>
      </c>
      <c r="O685" s="171">
        <v>0</v>
      </c>
      <c r="P685" s="171">
        <v>0</v>
      </c>
      <c r="Q685" s="171">
        <v>0</v>
      </c>
      <c r="R685" s="171">
        <v>0</v>
      </c>
      <c r="S685" s="171">
        <v>0</v>
      </c>
      <c r="T685" s="171">
        <v>0</v>
      </c>
      <c r="U685" s="171">
        <v>0</v>
      </c>
      <c r="V685" s="171">
        <v>0</v>
      </c>
      <c r="W685" s="171">
        <v>0</v>
      </c>
      <c r="X685" s="171">
        <v>0</v>
      </c>
      <c r="Y685" s="171">
        <v>0</v>
      </c>
      <c r="Z685" s="171">
        <v>0</v>
      </c>
      <c r="AA685" s="171">
        <v>0</v>
      </c>
      <c r="AB685" s="171">
        <v>0</v>
      </c>
      <c r="AC685" s="171">
        <v>0</v>
      </c>
      <c r="AD685" s="171">
        <v>0.99999999999999978</v>
      </c>
      <c r="AE685" s="171">
        <v>0</v>
      </c>
      <c r="AF685" s="171">
        <v>0</v>
      </c>
      <c r="AG685" s="171">
        <v>0</v>
      </c>
      <c r="AH685" s="171">
        <v>0</v>
      </c>
      <c r="AI685" s="172">
        <v>0</v>
      </c>
    </row>
    <row r="686" spans="2:35" x14ac:dyDescent="0.25">
      <c r="C686" s="111" t="s">
        <v>63</v>
      </c>
      <c r="E686" s="89" t="s">
        <v>69</v>
      </c>
      <c r="F686" s="166" t="str">
        <f t="array" ref="F686:AI715">_xll.Matrix.ExpandAsArray(C684)</f>
        <v/>
      </c>
      <c r="G686" s="173" t="str">
        <v>AAPL</v>
      </c>
      <c r="H686" s="174" t="str">
        <v>AXP</v>
      </c>
      <c r="I686" s="174" t="str">
        <v>BA</v>
      </c>
      <c r="J686" s="174" t="str">
        <v>CAT</v>
      </c>
      <c r="K686" s="174" t="str">
        <v>CSCO</v>
      </c>
      <c r="L686" s="174" t="str">
        <v>CVX</v>
      </c>
      <c r="M686" s="174" t="str">
        <v>DD</v>
      </c>
      <c r="N686" s="174" t="str">
        <v>DIS</v>
      </c>
      <c r="O686" s="174" t="str">
        <v>GE</v>
      </c>
      <c r="P686" s="174" t="str">
        <v>GS</v>
      </c>
      <c r="Q686" s="174" t="str">
        <v>HD</v>
      </c>
      <c r="R686" s="174" t="str">
        <v>IBM</v>
      </c>
      <c r="S686" s="174" t="str">
        <v>INTC</v>
      </c>
      <c r="T686" s="174" t="str">
        <v>JNJ</v>
      </c>
      <c r="U686" s="174" t="str">
        <v>JPM</v>
      </c>
      <c r="V686" s="174" t="str">
        <v>KO</v>
      </c>
      <c r="W686" s="174" t="str">
        <v>MCD</v>
      </c>
      <c r="X686" s="174" t="str">
        <v>MMM</v>
      </c>
      <c r="Y686" s="174" t="str">
        <v>MRK</v>
      </c>
      <c r="Z686" s="174" t="str">
        <v>MSFT</v>
      </c>
      <c r="AA686" s="174" t="str">
        <v>NKE</v>
      </c>
      <c r="AB686" s="174" t="str">
        <v>PFE</v>
      </c>
      <c r="AC686" s="174" t="str">
        <v>PG</v>
      </c>
      <c r="AD686" s="174" t="str">
        <v>UNH</v>
      </c>
      <c r="AE686" s="174" t="str">
        <v>UTX</v>
      </c>
      <c r="AF686" s="174" t="str">
        <v>VZ</v>
      </c>
      <c r="AG686" s="174" t="str">
        <v>V</v>
      </c>
      <c r="AH686" s="174" t="str">
        <v>WMT</v>
      </c>
      <c r="AI686" s="175" t="str">
        <v>XOM</v>
      </c>
    </row>
    <row r="687" spans="2:35" x14ac:dyDescent="0.25">
      <c r="B687" s="162" t="str">
        <f>'Market Data'!$B$17</f>
        <v>AAPL</v>
      </c>
      <c r="C687" s="159">
        <f>Statistics!$G$19</f>
        <v>2.1230184800142136E-2</v>
      </c>
      <c r="E687" s="167">
        <v>0</v>
      </c>
      <c r="F687" s="84" t="str">
        <v>AAPL</v>
      </c>
      <c r="G687" s="176">
        <v>4.5162973293162668E-3</v>
      </c>
      <c r="H687" s="177">
        <v>1.6284380645241216E-3</v>
      </c>
      <c r="I687" s="177">
        <v>1.6201491796022521E-3</v>
      </c>
      <c r="J687" s="177">
        <v>1.5690359790962263E-3</v>
      </c>
      <c r="K687" s="177">
        <v>2.3505409053430782E-3</v>
      </c>
      <c r="L687" s="177">
        <v>1.1773098260505132E-3</v>
      </c>
      <c r="M687" s="177">
        <v>2.5889638042653502E-3</v>
      </c>
      <c r="N687" s="177">
        <v>1.366655807124157E-3</v>
      </c>
      <c r="O687" s="177">
        <v>1.5698375611055285E-3</v>
      </c>
      <c r="P687" s="177">
        <v>1.8109156333145874E-3</v>
      </c>
      <c r="Q687" s="177">
        <v>9.8639311096076088E-4</v>
      </c>
      <c r="R687" s="177">
        <v>1.7737023799007877E-3</v>
      </c>
      <c r="S687" s="177">
        <v>1.6293191413582805E-3</v>
      </c>
      <c r="T687" s="177">
        <v>8.2631268301744008E-4</v>
      </c>
      <c r="U687" s="177">
        <v>1.2529926248616137E-3</v>
      </c>
      <c r="V687" s="177">
        <v>9.6129190129553134E-4</v>
      </c>
      <c r="W687" s="177">
        <v>4.3723596630614248E-4</v>
      </c>
      <c r="X687" s="177">
        <v>1.6042263123932821E-3</v>
      </c>
      <c r="Y687" s="177">
        <v>6.6280896407091964E-4</v>
      </c>
      <c r="Z687" s="177">
        <v>1.7656054736670385E-3</v>
      </c>
      <c r="AA687" s="177">
        <v>7.4054258425286133E-4</v>
      </c>
      <c r="AB687" s="177">
        <v>1.105136574328315E-3</v>
      </c>
      <c r="AC687" s="177">
        <v>1.0336127768185608E-3</v>
      </c>
      <c r="AD687" s="177">
        <v>5.5673881663560775E-4</v>
      </c>
      <c r="AE687" s="177">
        <v>1.2367738317379871E-3</v>
      </c>
      <c r="AF687" s="177">
        <v>1.8457278448214234E-4</v>
      </c>
      <c r="AG687" s="177">
        <v>1.5697677901095443E-3</v>
      </c>
      <c r="AH687" s="177">
        <v>5.7975796375205426E-4</v>
      </c>
      <c r="AI687" s="178">
        <v>8.3126780280069973E-4</v>
      </c>
    </row>
    <row r="688" spans="2:35" x14ac:dyDescent="0.25">
      <c r="B688" s="163" t="str">
        <f>'Market Data'!$B$18</f>
        <v>AXP</v>
      </c>
      <c r="C688" s="160">
        <f>Statistics!$G$20</f>
        <v>6.4918343965214677E-3</v>
      </c>
      <c r="E688" s="168">
        <v>0</v>
      </c>
      <c r="F688" s="85" t="str">
        <v>AXP</v>
      </c>
      <c r="G688" s="179">
        <v>1.6284380645241216E-3</v>
      </c>
      <c r="H688" s="180">
        <v>4.0660324753009668E-3</v>
      </c>
      <c r="I688" s="180">
        <v>2.3214948032735548E-3</v>
      </c>
      <c r="J688" s="180">
        <v>2.4672804057197504E-3</v>
      </c>
      <c r="K688" s="180">
        <v>2.2861035048804129E-3</v>
      </c>
      <c r="L688" s="180">
        <v>1.4106472819975181E-3</v>
      </c>
      <c r="M688" s="180">
        <v>3.0070268955997704E-3</v>
      </c>
      <c r="N688" s="180">
        <v>1.9718583562846406E-3</v>
      </c>
      <c r="O688" s="180">
        <v>1.6460552176854309E-3</v>
      </c>
      <c r="P688" s="180">
        <v>3.1197862990926528E-3</v>
      </c>
      <c r="Q688" s="180">
        <v>1.285962047454306E-3</v>
      </c>
      <c r="R688" s="180">
        <v>1.960684724858895E-3</v>
      </c>
      <c r="S688" s="180">
        <v>2.0715314739138896E-3</v>
      </c>
      <c r="T688" s="180">
        <v>7.3945969222275051E-4</v>
      </c>
      <c r="U688" s="180">
        <v>2.7840355446374721E-3</v>
      </c>
      <c r="V688" s="180">
        <v>5.6369017954212687E-4</v>
      </c>
      <c r="W688" s="180">
        <v>5.9016175595858627E-4</v>
      </c>
      <c r="X688" s="180">
        <v>1.3680882736390085E-3</v>
      </c>
      <c r="Y688" s="180">
        <v>9.5675499919051471E-4</v>
      </c>
      <c r="Z688" s="180">
        <v>1.7453927826798744E-3</v>
      </c>
      <c r="AA688" s="180">
        <v>9.1418204127611028E-4</v>
      </c>
      <c r="AB688" s="180">
        <v>1.0081234358528435E-3</v>
      </c>
      <c r="AC688" s="180">
        <v>4.150551569421239E-4</v>
      </c>
      <c r="AD688" s="180">
        <v>9.035040942327959E-4</v>
      </c>
      <c r="AE688" s="180">
        <v>1.9679940702890687E-3</v>
      </c>
      <c r="AF688" s="180">
        <v>-7.7366109832012643E-5</v>
      </c>
      <c r="AG688" s="180">
        <v>2.1563583115517065E-3</v>
      </c>
      <c r="AH688" s="180">
        <v>2.6973274792062105E-5</v>
      </c>
      <c r="AI688" s="181">
        <v>9.0240454872836753E-4</v>
      </c>
    </row>
    <row r="689" spans="2:35" x14ac:dyDescent="0.25">
      <c r="B689" s="163" t="str">
        <f>'Market Data'!$B$19</f>
        <v>BA</v>
      </c>
      <c r="C689" s="160">
        <f>Statistics!$G$21</f>
        <v>1.9250861766613322E-2</v>
      </c>
      <c r="E689" s="168">
        <v>0</v>
      </c>
      <c r="F689" s="85" t="str">
        <v>BA</v>
      </c>
      <c r="G689" s="179">
        <v>1.6201491796022521E-3</v>
      </c>
      <c r="H689" s="180">
        <v>2.3214948032735548E-3</v>
      </c>
      <c r="I689" s="180">
        <v>3.7402935775721971E-3</v>
      </c>
      <c r="J689" s="180">
        <v>1.6046317611050844E-3</v>
      </c>
      <c r="K689" s="180">
        <v>2.1240240973260023E-3</v>
      </c>
      <c r="L689" s="180">
        <v>1.3419066335272889E-3</v>
      </c>
      <c r="M689" s="180">
        <v>3.1629198402818382E-3</v>
      </c>
      <c r="N689" s="180">
        <v>2.193611301570318E-3</v>
      </c>
      <c r="O689" s="180">
        <v>1.7334051959416068E-3</v>
      </c>
      <c r="P689" s="180">
        <v>2.2391121271409182E-3</v>
      </c>
      <c r="Q689" s="180">
        <v>1.2911501083222776E-3</v>
      </c>
      <c r="R689" s="180">
        <v>1.1336433634722555E-3</v>
      </c>
      <c r="S689" s="180">
        <v>1.485647562986758E-3</v>
      </c>
      <c r="T689" s="180">
        <v>7.7470388279684329E-4</v>
      </c>
      <c r="U689" s="180">
        <v>1.8054441283061249E-3</v>
      </c>
      <c r="V689" s="180">
        <v>9.7196182882881919E-4</v>
      </c>
      <c r="W689" s="180">
        <v>1.004575731683145E-3</v>
      </c>
      <c r="X689" s="180">
        <v>1.220072170107771E-3</v>
      </c>
      <c r="Y689" s="180">
        <v>1.3506721993334096E-3</v>
      </c>
      <c r="Z689" s="180">
        <v>1.4618979219237266E-3</v>
      </c>
      <c r="AA689" s="180">
        <v>1.1825978430535619E-3</v>
      </c>
      <c r="AB689" s="180">
        <v>1.2950969606515986E-3</v>
      </c>
      <c r="AC689" s="180">
        <v>5.997217417536032E-4</v>
      </c>
      <c r="AD689" s="180">
        <v>6.5863568330466196E-4</v>
      </c>
      <c r="AE689" s="180">
        <v>1.846395156096473E-3</v>
      </c>
      <c r="AF689" s="180">
        <v>3.7914592931386057E-4</v>
      </c>
      <c r="AG689" s="180">
        <v>2.2475777063178958E-3</v>
      </c>
      <c r="AH689" s="180">
        <v>1.7979190170774528E-4</v>
      </c>
      <c r="AI689" s="181">
        <v>5.5785917505375118E-4</v>
      </c>
    </row>
    <row r="690" spans="2:35" x14ac:dyDescent="0.25">
      <c r="B690" s="163" t="str">
        <f>'Market Data'!$B$20</f>
        <v>CAT</v>
      </c>
      <c r="C690" s="160">
        <f>Statistics!$G$22</f>
        <v>6.3545919720494892E-3</v>
      </c>
      <c r="E690" s="168">
        <v>0</v>
      </c>
      <c r="F690" s="85" t="str">
        <v>CAT</v>
      </c>
      <c r="G690" s="179">
        <v>1.5690359790962263E-3</v>
      </c>
      <c r="H690" s="180">
        <v>2.4672804057197504E-3</v>
      </c>
      <c r="I690" s="180">
        <v>1.6046317611050844E-3</v>
      </c>
      <c r="J690" s="180">
        <v>4.5013491323716076E-3</v>
      </c>
      <c r="K690" s="180">
        <v>1.8532157140411887E-3</v>
      </c>
      <c r="L690" s="180">
        <v>2.2352946064681648E-3</v>
      </c>
      <c r="M690" s="180">
        <v>3.0429489894058951E-3</v>
      </c>
      <c r="N690" s="180">
        <v>1.6981712196612736E-3</v>
      </c>
      <c r="O690" s="180">
        <v>2.2046623152336968E-3</v>
      </c>
      <c r="P690" s="180">
        <v>2.3825247137119567E-3</v>
      </c>
      <c r="Q690" s="180">
        <v>1.0587514228509517E-3</v>
      </c>
      <c r="R690" s="180">
        <v>2.1554825858441308E-3</v>
      </c>
      <c r="S690" s="180">
        <v>2.3005603160952529E-3</v>
      </c>
      <c r="T690" s="180">
        <v>9.0633949973445221E-4</v>
      </c>
      <c r="U690" s="180">
        <v>2.011937601179676E-3</v>
      </c>
      <c r="V690" s="180">
        <v>6.586205973694774E-4</v>
      </c>
      <c r="W690" s="180">
        <v>1.2118483675212872E-3</v>
      </c>
      <c r="X690" s="180">
        <v>1.3778500117759705E-3</v>
      </c>
      <c r="Y690" s="180">
        <v>1.6454661341138513E-3</v>
      </c>
      <c r="Z690" s="180">
        <v>2.2842322526096018E-3</v>
      </c>
      <c r="AA690" s="180">
        <v>-1.1104731462091626E-4</v>
      </c>
      <c r="AB690" s="180">
        <v>7.9610645869862182E-4</v>
      </c>
      <c r="AC690" s="180">
        <v>4.9254664842985144E-4</v>
      </c>
      <c r="AD690" s="180">
        <v>7.8373416165496384E-4</v>
      </c>
      <c r="AE690" s="180">
        <v>2.1924453554447642E-3</v>
      </c>
      <c r="AF690" s="180">
        <v>6.8929109799853135E-4</v>
      </c>
      <c r="AG690" s="180">
        <v>1.4624027030174886E-3</v>
      </c>
      <c r="AH690" s="180">
        <v>-2.1581932882750213E-4</v>
      </c>
      <c r="AI690" s="181">
        <v>1.368945659107327E-3</v>
      </c>
    </row>
    <row r="691" spans="2:35" x14ac:dyDescent="0.25">
      <c r="B691" s="163" t="str">
        <f>'Market Data'!$B$21</f>
        <v>CSCO</v>
      </c>
      <c r="C691" s="160">
        <f>Statistics!$G$23</f>
        <v>1.4928779568119917E-2</v>
      </c>
      <c r="E691" s="168">
        <v>0</v>
      </c>
      <c r="F691" s="85" t="str">
        <v>CSCO</v>
      </c>
      <c r="G691" s="179">
        <v>2.3505409053430782E-3</v>
      </c>
      <c r="H691" s="180">
        <v>2.2861035048804129E-3</v>
      </c>
      <c r="I691" s="180">
        <v>2.1240240973260023E-3</v>
      </c>
      <c r="J691" s="180">
        <v>1.8532157140411887E-3</v>
      </c>
      <c r="K691" s="180">
        <v>4.2943797540477393E-3</v>
      </c>
      <c r="L691" s="180">
        <v>1.6495950515362169E-3</v>
      </c>
      <c r="M691" s="180">
        <v>3.7036865533827041E-3</v>
      </c>
      <c r="N691" s="180">
        <v>1.9090150380186609E-3</v>
      </c>
      <c r="O691" s="180">
        <v>2.0168425927536027E-3</v>
      </c>
      <c r="P691" s="180">
        <v>2.2177683830845976E-3</v>
      </c>
      <c r="Q691" s="180">
        <v>9.8504335267051509E-4</v>
      </c>
      <c r="R691" s="180">
        <v>2.2508292865696072E-3</v>
      </c>
      <c r="S691" s="180">
        <v>2.2625583672846289E-3</v>
      </c>
      <c r="T691" s="180">
        <v>1.1094225673998865E-3</v>
      </c>
      <c r="U691" s="180">
        <v>2.0831844183308271E-3</v>
      </c>
      <c r="V691" s="180">
        <v>1.0904984859812852E-3</v>
      </c>
      <c r="W691" s="180">
        <v>8.8656407550750189E-4</v>
      </c>
      <c r="X691" s="180">
        <v>1.6594658489014636E-3</v>
      </c>
      <c r="Y691" s="180">
        <v>1.2877752599161352E-3</v>
      </c>
      <c r="Z691" s="180">
        <v>2.1511833371391734E-3</v>
      </c>
      <c r="AA691" s="180">
        <v>7.2136303147440504E-4</v>
      </c>
      <c r="AB691" s="180">
        <v>1.5185012123350332E-3</v>
      </c>
      <c r="AC691" s="180">
        <v>1.0690588122897406E-3</v>
      </c>
      <c r="AD691" s="180">
        <v>1.0321561899434074E-3</v>
      </c>
      <c r="AE691" s="180">
        <v>2.0848208418056797E-3</v>
      </c>
      <c r="AF691" s="180">
        <v>5.9888719676582812E-4</v>
      </c>
      <c r="AG691" s="180">
        <v>2.8598074505702059E-3</v>
      </c>
      <c r="AH691" s="180">
        <v>3.2563207166723412E-4</v>
      </c>
      <c r="AI691" s="181">
        <v>1.3701802479257339E-3</v>
      </c>
    </row>
    <row r="692" spans="2:35" x14ac:dyDescent="0.25">
      <c r="B692" s="163" t="str">
        <f>'Market Data'!$B$22</f>
        <v>CVX</v>
      </c>
      <c r="C692" s="160">
        <f>Statistics!$G$24</f>
        <v>2.6845541907593424E-3</v>
      </c>
      <c r="E692" s="168">
        <v>0</v>
      </c>
      <c r="F692" s="85" t="str">
        <v>CVX</v>
      </c>
      <c r="G692" s="179">
        <v>1.1773098260505132E-3</v>
      </c>
      <c r="H692" s="180">
        <v>1.4106472819975181E-3</v>
      </c>
      <c r="I692" s="180">
        <v>1.3419066335272889E-3</v>
      </c>
      <c r="J692" s="180">
        <v>2.2352946064681648E-3</v>
      </c>
      <c r="K692" s="180">
        <v>1.6495950515362169E-3</v>
      </c>
      <c r="L692" s="180">
        <v>3.2764948408559465E-3</v>
      </c>
      <c r="M692" s="180">
        <v>2.8277959806832817E-3</v>
      </c>
      <c r="N692" s="180">
        <v>1.8200348202442435E-3</v>
      </c>
      <c r="O692" s="180">
        <v>2.0997855192430963E-3</v>
      </c>
      <c r="P692" s="180">
        <v>2.495859527554455E-3</v>
      </c>
      <c r="Q692" s="180">
        <v>7.9860489883547216E-4</v>
      </c>
      <c r="R692" s="180">
        <v>1.7099575851328929E-3</v>
      </c>
      <c r="S692" s="180">
        <v>1.762362573764028E-3</v>
      </c>
      <c r="T692" s="180">
        <v>1.0006982850928254E-3</v>
      </c>
      <c r="U692" s="180">
        <v>2.159640132817216E-3</v>
      </c>
      <c r="V692" s="180">
        <v>7.7350953916938299E-4</v>
      </c>
      <c r="W692" s="180">
        <v>1.2445101608031307E-3</v>
      </c>
      <c r="X692" s="180">
        <v>1.3396872809028706E-3</v>
      </c>
      <c r="Y692" s="180">
        <v>1.0548817345930506E-3</v>
      </c>
      <c r="Z692" s="180">
        <v>1.921523261676006E-3</v>
      </c>
      <c r="AA692" s="180">
        <v>-3.0145919518466895E-4</v>
      </c>
      <c r="AB692" s="180">
        <v>1.0966581694716135E-3</v>
      </c>
      <c r="AC692" s="180">
        <v>8.4385070363078498E-4</v>
      </c>
      <c r="AD692" s="180">
        <v>8.9699068571536217E-4</v>
      </c>
      <c r="AE692" s="180">
        <v>1.7655731333339048E-3</v>
      </c>
      <c r="AF692" s="180">
        <v>7.5916190680994219E-4</v>
      </c>
      <c r="AG692" s="180">
        <v>9.2897312946466114E-4</v>
      </c>
      <c r="AH692" s="180">
        <v>1.437380584121094E-4</v>
      </c>
      <c r="AI692" s="181">
        <v>1.9286286807754067E-3</v>
      </c>
    </row>
    <row r="693" spans="2:35" x14ac:dyDescent="0.25">
      <c r="B693" s="163" t="str">
        <f>'Market Data'!$B$23</f>
        <v>DD</v>
      </c>
      <c r="C693" s="160">
        <f>Statistics!$G$25</f>
        <v>1.7349865519574785E-2</v>
      </c>
      <c r="E693" s="168">
        <v>0</v>
      </c>
      <c r="F693" s="85" t="str">
        <v>DD</v>
      </c>
      <c r="G693" s="179">
        <v>2.5889638042653502E-3</v>
      </c>
      <c r="H693" s="180">
        <v>3.0070268955997704E-3</v>
      </c>
      <c r="I693" s="180">
        <v>3.1629198402818382E-3</v>
      </c>
      <c r="J693" s="180">
        <v>3.0429489894058951E-3</v>
      </c>
      <c r="K693" s="180">
        <v>3.7036865533827041E-3</v>
      </c>
      <c r="L693" s="180">
        <v>2.8277959806832817E-3</v>
      </c>
      <c r="M693" s="180">
        <v>7.2090294001774871E-3</v>
      </c>
      <c r="N693" s="180">
        <v>3.2246456006375726E-3</v>
      </c>
      <c r="O693" s="180">
        <v>3.2408092269649337E-3</v>
      </c>
      <c r="P693" s="180">
        <v>3.1194558916632768E-3</v>
      </c>
      <c r="Q693" s="180">
        <v>2.0138415935295195E-3</v>
      </c>
      <c r="R693" s="180">
        <v>2.4056181433013803E-3</v>
      </c>
      <c r="S693" s="180">
        <v>2.9333641814070907E-3</v>
      </c>
      <c r="T693" s="180">
        <v>1.7073269232421356E-3</v>
      </c>
      <c r="U693" s="180">
        <v>2.9403656750226037E-3</v>
      </c>
      <c r="V693" s="180">
        <v>1.3828838928124146E-3</v>
      </c>
      <c r="W693" s="180">
        <v>1.5566945864839937E-3</v>
      </c>
      <c r="X693" s="180">
        <v>2.4333011024343194E-3</v>
      </c>
      <c r="Y693" s="180">
        <v>2.1034755337789339E-3</v>
      </c>
      <c r="Z693" s="180">
        <v>3.4647817866697963E-3</v>
      </c>
      <c r="AA693" s="180">
        <v>1.371253710214986E-3</v>
      </c>
      <c r="AB693" s="180">
        <v>2.2541080192876768E-3</v>
      </c>
      <c r="AC693" s="180">
        <v>1.1783213677355128E-3</v>
      </c>
      <c r="AD693" s="180">
        <v>1.3915459916452729E-3</v>
      </c>
      <c r="AE693" s="180">
        <v>3.4844332298577191E-3</v>
      </c>
      <c r="AF693" s="180">
        <v>9.2727826439514978E-4</v>
      </c>
      <c r="AG693" s="180">
        <v>3.0677861856869904E-3</v>
      </c>
      <c r="AH693" s="180">
        <v>-2.3301122426120984E-5</v>
      </c>
      <c r="AI693" s="181">
        <v>2.1182301102402332E-3</v>
      </c>
    </row>
    <row r="694" spans="2:35" x14ac:dyDescent="0.25">
      <c r="B694" s="163" t="str">
        <f>'Market Data'!$B$24</f>
        <v>DIS</v>
      </c>
      <c r="C694" s="160">
        <f>Statistics!$G$26</f>
        <v>1.7109009470709015E-2</v>
      </c>
      <c r="E694" s="168">
        <v>0</v>
      </c>
      <c r="F694" s="85" t="str">
        <v>DIS</v>
      </c>
      <c r="G694" s="179">
        <v>1.366655807124157E-3</v>
      </c>
      <c r="H694" s="180">
        <v>1.9718583562846406E-3</v>
      </c>
      <c r="I694" s="180">
        <v>2.193611301570318E-3</v>
      </c>
      <c r="J694" s="180">
        <v>1.6981712196612736E-3</v>
      </c>
      <c r="K694" s="180">
        <v>1.9090150380186609E-3</v>
      </c>
      <c r="L694" s="180">
        <v>1.8200348202442435E-3</v>
      </c>
      <c r="M694" s="180">
        <v>3.2246456006375726E-3</v>
      </c>
      <c r="N694" s="180">
        <v>3.2225637954133132E-3</v>
      </c>
      <c r="O694" s="180">
        <v>1.7980110839806059E-3</v>
      </c>
      <c r="P694" s="180">
        <v>2.5910429203650125E-3</v>
      </c>
      <c r="Q694" s="180">
        <v>1.4438567521116873E-3</v>
      </c>
      <c r="R694" s="180">
        <v>1.2533920720746924E-3</v>
      </c>
      <c r="S694" s="180">
        <v>1.4872846501875279E-3</v>
      </c>
      <c r="T694" s="180">
        <v>7.6090581351824873E-4</v>
      </c>
      <c r="U694" s="180">
        <v>2.3150492241015347E-3</v>
      </c>
      <c r="V694" s="180">
        <v>7.3157249166013263E-4</v>
      </c>
      <c r="W694" s="180">
        <v>1.0434476997331528E-3</v>
      </c>
      <c r="X694" s="180">
        <v>1.3935802423237448E-3</v>
      </c>
      <c r="Y694" s="180">
        <v>1.1180874248259017E-3</v>
      </c>
      <c r="Z694" s="180">
        <v>1.7514488094562146E-3</v>
      </c>
      <c r="AA694" s="180">
        <v>1.1713887062549742E-3</v>
      </c>
      <c r="AB694" s="180">
        <v>1.4909638464124207E-3</v>
      </c>
      <c r="AC694" s="180">
        <v>6.6920552953337459E-4</v>
      </c>
      <c r="AD694" s="180">
        <v>9.9320622386439117E-4</v>
      </c>
      <c r="AE694" s="180">
        <v>1.6618009644053405E-3</v>
      </c>
      <c r="AF694" s="180">
        <v>5.8624704841600517E-4</v>
      </c>
      <c r="AG694" s="180">
        <v>2.2204011828610088E-3</v>
      </c>
      <c r="AH694" s="180">
        <v>-1.1672694641114529E-4</v>
      </c>
      <c r="AI694" s="181">
        <v>1.3292278052638991E-3</v>
      </c>
    </row>
    <row r="695" spans="2:35" x14ac:dyDescent="0.25">
      <c r="B695" s="163" t="str">
        <f>'Market Data'!$B$25</f>
        <v>GE</v>
      </c>
      <c r="C695" s="160">
        <f>Statistics!$G$27</f>
        <v>9.2719197536449416E-3</v>
      </c>
      <c r="E695" s="168">
        <v>0</v>
      </c>
      <c r="F695" s="85" t="str">
        <v>GE</v>
      </c>
      <c r="G695" s="179">
        <v>1.5698375611055285E-3</v>
      </c>
      <c r="H695" s="180">
        <v>1.6460552176854309E-3</v>
      </c>
      <c r="I695" s="180">
        <v>1.7334051959416068E-3</v>
      </c>
      <c r="J695" s="180">
        <v>2.2046623152336968E-3</v>
      </c>
      <c r="K695" s="180">
        <v>2.0168425927536027E-3</v>
      </c>
      <c r="L695" s="180">
        <v>2.0997855192430963E-3</v>
      </c>
      <c r="M695" s="180">
        <v>3.2408092269649337E-3</v>
      </c>
      <c r="N695" s="180">
        <v>1.7980110839806059E-3</v>
      </c>
      <c r="O695" s="180">
        <v>2.8739818723832944E-3</v>
      </c>
      <c r="P695" s="180">
        <v>2.2255962061739098E-3</v>
      </c>
      <c r="Q695" s="180">
        <v>1.1779071347684854E-3</v>
      </c>
      <c r="R695" s="180">
        <v>1.4606469135339543E-3</v>
      </c>
      <c r="S695" s="180">
        <v>1.8413857882482649E-3</v>
      </c>
      <c r="T695" s="180">
        <v>1.1338883047798758E-3</v>
      </c>
      <c r="U695" s="180">
        <v>1.9825602222543746E-3</v>
      </c>
      <c r="V695" s="180">
        <v>1.0900315820250495E-3</v>
      </c>
      <c r="W695" s="180">
        <v>1.4080437366372094E-3</v>
      </c>
      <c r="X695" s="180">
        <v>1.6476299492810176E-3</v>
      </c>
      <c r="Y695" s="180">
        <v>7.4080885300837902E-4</v>
      </c>
      <c r="Z695" s="180">
        <v>2.1782812682115105E-3</v>
      </c>
      <c r="AA695" s="180">
        <v>6.8149888740689005E-4</v>
      </c>
      <c r="AB695" s="180">
        <v>1.1596920910434683E-3</v>
      </c>
      <c r="AC695" s="180">
        <v>8.669689440805547E-4</v>
      </c>
      <c r="AD695" s="180">
        <v>6.9406421327386882E-4</v>
      </c>
      <c r="AE695" s="180">
        <v>1.9210155408337607E-3</v>
      </c>
      <c r="AF695" s="180">
        <v>1.0256274934399997E-3</v>
      </c>
      <c r="AG695" s="180">
        <v>1.7646874198991678E-3</v>
      </c>
      <c r="AH695" s="180">
        <v>3.1986346053900631E-5</v>
      </c>
      <c r="AI695" s="181">
        <v>1.6264073394302158E-3</v>
      </c>
    </row>
    <row r="696" spans="2:35" x14ac:dyDescent="0.25">
      <c r="B696" s="163" t="str">
        <f>'Market Data'!$B$26</f>
        <v>GS</v>
      </c>
      <c r="C696" s="160">
        <f>Statistics!$G$28</f>
        <v>1.2775975133106521E-2</v>
      </c>
      <c r="E696" s="168">
        <v>0</v>
      </c>
      <c r="F696" s="85" t="str">
        <v>GS</v>
      </c>
      <c r="G696" s="179">
        <v>1.8109156333145874E-3</v>
      </c>
      <c r="H696" s="180">
        <v>3.1197862990926528E-3</v>
      </c>
      <c r="I696" s="180">
        <v>2.2391121271409182E-3</v>
      </c>
      <c r="J696" s="180">
        <v>2.3825247137119567E-3</v>
      </c>
      <c r="K696" s="180">
        <v>2.2177683830845976E-3</v>
      </c>
      <c r="L696" s="180">
        <v>2.495859527554455E-3</v>
      </c>
      <c r="M696" s="180">
        <v>3.1194558916632768E-3</v>
      </c>
      <c r="N696" s="180">
        <v>2.5910429203650125E-3</v>
      </c>
      <c r="O696" s="180">
        <v>2.2255962061739098E-3</v>
      </c>
      <c r="P696" s="180">
        <v>4.8815099105356504E-3</v>
      </c>
      <c r="Q696" s="180">
        <v>1.5442152510598698E-3</v>
      </c>
      <c r="R696" s="180">
        <v>2.2308798805711167E-3</v>
      </c>
      <c r="S696" s="180">
        <v>1.7997270101458302E-3</v>
      </c>
      <c r="T696" s="180">
        <v>7.4857834611503948E-4</v>
      </c>
      <c r="U696" s="180">
        <v>3.8267678235899111E-3</v>
      </c>
      <c r="V696" s="180">
        <v>5.0884399749192373E-4</v>
      </c>
      <c r="W696" s="180">
        <v>1.1844149472533348E-3</v>
      </c>
      <c r="X696" s="180">
        <v>1.5580261625844892E-3</v>
      </c>
      <c r="Y696" s="180">
        <v>9.5059394038900442E-4</v>
      </c>
      <c r="Z696" s="180">
        <v>1.9881521509949444E-3</v>
      </c>
      <c r="AA696" s="180">
        <v>9.2810945195530823E-4</v>
      </c>
      <c r="AB696" s="180">
        <v>1.2974763649140325E-3</v>
      </c>
      <c r="AC696" s="180">
        <v>6.8796273406052837E-4</v>
      </c>
      <c r="AD696" s="180">
        <v>1.248419321363809E-3</v>
      </c>
      <c r="AE696" s="180">
        <v>2.1674424403236793E-3</v>
      </c>
      <c r="AF696" s="180">
        <v>3.7523862948950627E-4</v>
      </c>
      <c r="AG696" s="180">
        <v>2.0541307067505868E-3</v>
      </c>
      <c r="AH696" s="180">
        <v>-5.4295264980806504E-5</v>
      </c>
      <c r="AI696" s="181">
        <v>1.4387650786059658E-3</v>
      </c>
    </row>
    <row r="697" spans="2:35" x14ac:dyDescent="0.25">
      <c r="B697" s="163" t="str">
        <f>'Market Data'!$B$27</f>
        <v>HD</v>
      </c>
      <c r="C697" s="160">
        <f>Statistics!$G$29</f>
        <v>1.8352985528230569E-2</v>
      </c>
      <c r="E697" s="168">
        <v>0</v>
      </c>
      <c r="F697" s="85" t="str">
        <v>HD</v>
      </c>
      <c r="G697" s="179">
        <v>9.8639311096076088E-4</v>
      </c>
      <c r="H697" s="180">
        <v>1.285962047454306E-3</v>
      </c>
      <c r="I697" s="180">
        <v>1.2911501083222776E-3</v>
      </c>
      <c r="J697" s="180">
        <v>1.0587514228509517E-3</v>
      </c>
      <c r="K697" s="180">
        <v>9.8504335267051509E-4</v>
      </c>
      <c r="L697" s="180">
        <v>7.9860489883547216E-4</v>
      </c>
      <c r="M697" s="180">
        <v>2.0138415935295195E-3</v>
      </c>
      <c r="N697" s="180">
        <v>1.4438567521116873E-3</v>
      </c>
      <c r="O697" s="180">
        <v>1.1779071347684854E-3</v>
      </c>
      <c r="P697" s="180">
        <v>1.5442152510598698E-3</v>
      </c>
      <c r="Q697" s="180">
        <v>1.8880219117441428E-3</v>
      </c>
      <c r="R697" s="180">
        <v>9.3173966010624539E-4</v>
      </c>
      <c r="S697" s="180">
        <v>9.2701062278089308E-4</v>
      </c>
      <c r="T697" s="180">
        <v>6.2481040103688149E-4</v>
      </c>
      <c r="U697" s="180">
        <v>1.4284505514434026E-3</v>
      </c>
      <c r="V697" s="180">
        <v>5.5799413673053339E-4</v>
      </c>
      <c r="W697" s="180">
        <v>7.381374461617429E-4</v>
      </c>
      <c r="X697" s="180">
        <v>1.0633975936011025E-3</v>
      </c>
      <c r="Y697" s="180">
        <v>7.161428946835201E-4</v>
      </c>
      <c r="Z697" s="180">
        <v>1.0017697174583111E-3</v>
      </c>
      <c r="AA697" s="180">
        <v>7.3578315539153108E-4</v>
      </c>
      <c r="AB697" s="180">
        <v>8.5234066580948517E-4</v>
      </c>
      <c r="AC697" s="180">
        <v>4.7474349038820928E-4</v>
      </c>
      <c r="AD697" s="180">
        <v>6.4915062582396636E-4</v>
      </c>
      <c r="AE697" s="180">
        <v>1.2386809813748902E-3</v>
      </c>
      <c r="AF697" s="180">
        <v>1.1189073531181803E-4</v>
      </c>
      <c r="AG697" s="180">
        <v>1.2055891827737501E-3</v>
      </c>
      <c r="AH697" s="180">
        <v>1.9815526434870993E-4</v>
      </c>
      <c r="AI697" s="181">
        <v>5.7016164369997474E-4</v>
      </c>
    </row>
    <row r="698" spans="2:35" x14ac:dyDescent="0.25">
      <c r="B698" s="163" t="str">
        <f>'Market Data'!$B$28</f>
        <v>IBM</v>
      </c>
      <c r="C698" s="160">
        <f>Statistics!$G$30</f>
        <v>-1.0805706759468385E-4</v>
      </c>
      <c r="E698" s="168">
        <v>0</v>
      </c>
      <c r="F698" s="85" t="str">
        <v>IBM</v>
      </c>
      <c r="G698" s="179">
        <v>1.7737023799007877E-3</v>
      </c>
      <c r="H698" s="180">
        <v>1.960684724858895E-3</v>
      </c>
      <c r="I698" s="180">
        <v>1.1336433634722555E-3</v>
      </c>
      <c r="J698" s="180">
        <v>2.1554825858441308E-3</v>
      </c>
      <c r="K698" s="180">
        <v>2.2508292865696072E-3</v>
      </c>
      <c r="L698" s="180">
        <v>1.7099575851328929E-3</v>
      </c>
      <c r="M698" s="180">
        <v>2.4056181433013803E-3</v>
      </c>
      <c r="N698" s="180">
        <v>1.2533920720746924E-3</v>
      </c>
      <c r="O698" s="180">
        <v>1.4606469135339543E-3</v>
      </c>
      <c r="P698" s="180">
        <v>2.2308798805711167E-3</v>
      </c>
      <c r="Q698" s="180">
        <v>9.3173966010624539E-4</v>
      </c>
      <c r="R698" s="180">
        <v>3.3622126456479009E-3</v>
      </c>
      <c r="S698" s="180">
        <v>1.4043690490920693E-3</v>
      </c>
      <c r="T698" s="180">
        <v>5.9347717242683358E-4</v>
      </c>
      <c r="U698" s="180">
        <v>2.0888390371824788E-3</v>
      </c>
      <c r="V698" s="180">
        <v>5.7019303114958723E-4</v>
      </c>
      <c r="W698" s="180">
        <v>5.4513263389601688E-4</v>
      </c>
      <c r="X698" s="180">
        <v>1.0275296737018624E-3</v>
      </c>
      <c r="Y698" s="180">
        <v>1.0097860441379664E-3</v>
      </c>
      <c r="Z698" s="180">
        <v>1.4353906099659559E-3</v>
      </c>
      <c r="AA698" s="180">
        <v>1.3757321359017424E-4</v>
      </c>
      <c r="AB698" s="180">
        <v>7.9545047293496068E-4</v>
      </c>
      <c r="AC698" s="180">
        <v>5.5361049131124631E-4</v>
      </c>
      <c r="AD698" s="180">
        <v>8.8298395118505178E-4</v>
      </c>
      <c r="AE698" s="180">
        <v>1.5169272523521361E-3</v>
      </c>
      <c r="AF698" s="180">
        <v>2.033685246020378E-4</v>
      </c>
      <c r="AG698" s="180">
        <v>1.2306885914741903E-3</v>
      </c>
      <c r="AH698" s="180">
        <v>3.7610030291999273E-4</v>
      </c>
      <c r="AI698" s="181">
        <v>1.0970123689928199E-3</v>
      </c>
    </row>
    <row r="699" spans="2:35" x14ac:dyDescent="0.25">
      <c r="B699" s="163" t="str">
        <f>'Market Data'!$B$29</f>
        <v>INTC</v>
      </c>
      <c r="C699" s="160">
        <f>Statistics!$G$31</f>
        <v>1.4825313209679855E-2</v>
      </c>
      <c r="E699" s="168">
        <v>0</v>
      </c>
      <c r="F699" s="85" t="str">
        <v>INTC</v>
      </c>
      <c r="G699" s="179">
        <v>1.6293191413582805E-3</v>
      </c>
      <c r="H699" s="180">
        <v>2.0715314739138896E-3</v>
      </c>
      <c r="I699" s="180">
        <v>1.485647562986758E-3</v>
      </c>
      <c r="J699" s="180">
        <v>2.3005603160952529E-3</v>
      </c>
      <c r="K699" s="180">
        <v>2.2625583672846289E-3</v>
      </c>
      <c r="L699" s="180">
        <v>1.762362573764028E-3</v>
      </c>
      <c r="M699" s="180">
        <v>2.9333641814070907E-3</v>
      </c>
      <c r="N699" s="180">
        <v>1.4872846501875279E-3</v>
      </c>
      <c r="O699" s="180">
        <v>1.8413857882482649E-3</v>
      </c>
      <c r="P699" s="180">
        <v>1.7997270101458302E-3</v>
      </c>
      <c r="Q699" s="180">
        <v>9.2701062278089308E-4</v>
      </c>
      <c r="R699" s="180">
        <v>1.4043690490920693E-3</v>
      </c>
      <c r="S699" s="180">
        <v>3.8953291630483993E-3</v>
      </c>
      <c r="T699" s="180">
        <v>8.7155825849789608E-4</v>
      </c>
      <c r="U699" s="180">
        <v>1.6338310266769979E-3</v>
      </c>
      <c r="V699" s="180">
        <v>1.1107691361801554E-3</v>
      </c>
      <c r="W699" s="180">
        <v>9.1762089354393737E-4</v>
      </c>
      <c r="X699" s="180">
        <v>1.3291856750406272E-3</v>
      </c>
      <c r="Y699" s="180">
        <v>1.2481991200788169E-3</v>
      </c>
      <c r="Z699" s="180">
        <v>2.824290151917595E-3</v>
      </c>
      <c r="AA699" s="180">
        <v>5.7515792739731505E-4</v>
      </c>
      <c r="AB699" s="180">
        <v>9.9184976149502301E-4</v>
      </c>
      <c r="AC699" s="180">
        <v>7.9168442412031782E-4</v>
      </c>
      <c r="AD699" s="180">
        <v>5.6633014876153942E-4</v>
      </c>
      <c r="AE699" s="180">
        <v>1.2132957377483657E-3</v>
      </c>
      <c r="AF699" s="180">
        <v>8.2166255763751334E-4</v>
      </c>
      <c r="AG699" s="180">
        <v>1.8678530672680304E-3</v>
      </c>
      <c r="AH699" s="180">
        <v>-1.8556188989019865E-5</v>
      </c>
      <c r="AI699" s="181">
        <v>1.0791409093812321E-3</v>
      </c>
    </row>
    <row r="700" spans="2:35" x14ac:dyDescent="0.25">
      <c r="B700" s="163" t="str">
        <f>'Market Data'!$B$30</f>
        <v>JNJ</v>
      </c>
      <c r="C700" s="160">
        <f>Statistics!$G$32</f>
        <v>1.2075919577819831E-2</v>
      </c>
      <c r="E700" s="168">
        <v>0</v>
      </c>
      <c r="F700" s="85" t="str">
        <v>JNJ</v>
      </c>
      <c r="G700" s="179">
        <v>8.2631268301744008E-4</v>
      </c>
      <c r="H700" s="180">
        <v>7.3945969222275051E-4</v>
      </c>
      <c r="I700" s="180">
        <v>7.7470388279684329E-4</v>
      </c>
      <c r="J700" s="180">
        <v>9.0633949973445221E-4</v>
      </c>
      <c r="K700" s="180">
        <v>1.1094225673998865E-3</v>
      </c>
      <c r="L700" s="180">
        <v>1.0006982850928254E-3</v>
      </c>
      <c r="M700" s="180">
        <v>1.7073269232421356E-3</v>
      </c>
      <c r="N700" s="180">
        <v>7.6090581351824873E-4</v>
      </c>
      <c r="O700" s="180">
        <v>1.1338883047798758E-3</v>
      </c>
      <c r="P700" s="180">
        <v>7.4857834611503948E-4</v>
      </c>
      <c r="Q700" s="180">
        <v>6.2481040103688149E-4</v>
      </c>
      <c r="R700" s="180">
        <v>5.9347717242683358E-4</v>
      </c>
      <c r="S700" s="180">
        <v>8.7155825849789608E-4</v>
      </c>
      <c r="T700" s="180">
        <v>1.3437205064186324E-3</v>
      </c>
      <c r="U700" s="180">
        <v>9.2330996350035955E-4</v>
      </c>
      <c r="V700" s="180">
        <v>8.0248592661524116E-4</v>
      </c>
      <c r="W700" s="180">
        <v>7.2064842002941051E-4</v>
      </c>
      <c r="X700" s="180">
        <v>9.1647163555960687E-4</v>
      </c>
      <c r="Y700" s="180">
        <v>7.8932636294384688E-4</v>
      </c>
      <c r="Z700" s="180">
        <v>8.3950208317612799E-4</v>
      </c>
      <c r="AA700" s="180">
        <v>2.4076387457302071E-4</v>
      </c>
      <c r="AB700" s="180">
        <v>1.174922395291398E-3</v>
      </c>
      <c r="AC700" s="180">
        <v>7.8676359672877393E-4</v>
      </c>
      <c r="AD700" s="180">
        <v>4.4624886795118808E-4</v>
      </c>
      <c r="AE700" s="180">
        <v>1.0117367356107026E-3</v>
      </c>
      <c r="AF700" s="180">
        <v>7.3214708969514145E-4</v>
      </c>
      <c r="AG700" s="180">
        <v>8.2747273857601913E-4</v>
      </c>
      <c r="AH700" s="180">
        <v>7.1470891411086447E-4</v>
      </c>
      <c r="AI700" s="181">
        <v>7.4627799983375924E-4</v>
      </c>
    </row>
    <row r="701" spans="2:35" x14ac:dyDescent="0.25">
      <c r="B701" s="163" t="str">
        <f>'Market Data'!$B$31</f>
        <v>JPM</v>
      </c>
      <c r="C701" s="160">
        <f>Statistics!$G$33</f>
        <v>1.7183196749963128E-2</v>
      </c>
      <c r="E701" s="168">
        <v>0</v>
      </c>
      <c r="F701" s="85" t="str">
        <v>JPM</v>
      </c>
      <c r="G701" s="179">
        <v>1.2529926248616137E-3</v>
      </c>
      <c r="H701" s="180">
        <v>2.7840355446374721E-3</v>
      </c>
      <c r="I701" s="180">
        <v>1.8054441283061249E-3</v>
      </c>
      <c r="J701" s="180">
        <v>2.011937601179676E-3</v>
      </c>
      <c r="K701" s="180">
        <v>2.0831844183308271E-3</v>
      </c>
      <c r="L701" s="180">
        <v>2.159640132817216E-3</v>
      </c>
      <c r="M701" s="180">
        <v>2.9403656750226037E-3</v>
      </c>
      <c r="N701" s="180">
        <v>2.3150492241015347E-3</v>
      </c>
      <c r="O701" s="180">
        <v>1.9825602222543746E-3</v>
      </c>
      <c r="P701" s="180">
        <v>3.8267678235899111E-3</v>
      </c>
      <c r="Q701" s="180">
        <v>1.4284505514434026E-3</v>
      </c>
      <c r="R701" s="180">
        <v>2.0888390371824788E-3</v>
      </c>
      <c r="S701" s="180">
        <v>1.6338310266769979E-3</v>
      </c>
      <c r="T701" s="180">
        <v>9.2330996350035955E-4</v>
      </c>
      <c r="U701" s="180">
        <v>3.6504820104783621E-3</v>
      </c>
      <c r="V701" s="180">
        <v>6.292727988425526E-4</v>
      </c>
      <c r="W701" s="180">
        <v>1.135373183104091E-3</v>
      </c>
      <c r="X701" s="180">
        <v>1.3229022331511452E-3</v>
      </c>
      <c r="Y701" s="180">
        <v>9.9035410413519649E-4</v>
      </c>
      <c r="Z701" s="180">
        <v>2.1029083027690664E-3</v>
      </c>
      <c r="AA701" s="180">
        <v>6.7839144071882979E-4</v>
      </c>
      <c r="AB701" s="180">
        <v>1.3592270505613203E-3</v>
      </c>
      <c r="AC701" s="180">
        <v>7.2953612857905574E-4</v>
      </c>
      <c r="AD701" s="180">
        <v>1.2617149248905092E-3</v>
      </c>
      <c r="AE701" s="180">
        <v>1.8453743354725578E-3</v>
      </c>
      <c r="AF701" s="180">
        <v>3.9836144643633019E-4</v>
      </c>
      <c r="AG701" s="180">
        <v>1.9463933682734615E-3</v>
      </c>
      <c r="AH701" s="180">
        <v>7.503242005510376E-5</v>
      </c>
      <c r="AI701" s="181">
        <v>1.3958094738143344E-3</v>
      </c>
    </row>
    <row r="702" spans="2:35" x14ac:dyDescent="0.25">
      <c r="B702" s="163" t="str">
        <f>'Market Data'!$B$32</f>
        <v>KO</v>
      </c>
      <c r="C702" s="160">
        <f>Statistics!$G$34</f>
        <v>4.1810541872704362E-3</v>
      </c>
      <c r="E702" s="168">
        <v>0</v>
      </c>
      <c r="F702" s="85" t="str">
        <v>KO</v>
      </c>
      <c r="G702" s="179">
        <v>9.6129190129553134E-4</v>
      </c>
      <c r="H702" s="180">
        <v>5.6369017954212687E-4</v>
      </c>
      <c r="I702" s="180">
        <v>9.7196182882881919E-4</v>
      </c>
      <c r="J702" s="180">
        <v>6.586205973694774E-4</v>
      </c>
      <c r="K702" s="180">
        <v>1.0904984859812852E-3</v>
      </c>
      <c r="L702" s="180">
        <v>7.7350953916938299E-4</v>
      </c>
      <c r="M702" s="180">
        <v>1.3828838928124146E-3</v>
      </c>
      <c r="N702" s="180">
        <v>7.3157249166013263E-4</v>
      </c>
      <c r="O702" s="180">
        <v>1.0900315820250495E-3</v>
      </c>
      <c r="P702" s="180">
        <v>5.0884399749192373E-4</v>
      </c>
      <c r="Q702" s="180">
        <v>5.5799413673053339E-4</v>
      </c>
      <c r="R702" s="180">
        <v>5.7019303114958723E-4</v>
      </c>
      <c r="S702" s="180">
        <v>1.1107691361801554E-3</v>
      </c>
      <c r="T702" s="180">
        <v>8.0248592661524116E-4</v>
      </c>
      <c r="U702" s="180">
        <v>6.292727988425526E-4</v>
      </c>
      <c r="V702" s="180">
        <v>1.2210270669043683E-3</v>
      </c>
      <c r="W702" s="180">
        <v>7.9000312454904529E-4</v>
      </c>
      <c r="X702" s="180">
        <v>6.5400026561614926E-4</v>
      </c>
      <c r="Y702" s="180">
        <v>5.6925923112739025E-4</v>
      </c>
      <c r="Z702" s="180">
        <v>1.0711085481253278E-3</v>
      </c>
      <c r="AA702" s="180">
        <v>4.3589033448327737E-4</v>
      </c>
      <c r="AB702" s="180">
        <v>6.3614560547018231E-4</v>
      </c>
      <c r="AC702" s="180">
        <v>6.5740070509151668E-4</v>
      </c>
      <c r="AD702" s="180">
        <v>1.2737483924284157E-4</v>
      </c>
      <c r="AE702" s="180">
        <v>5.7087013169956707E-4</v>
      </c>
      <c r="AF702" s="180">
        <v>4.9096142938173941E-4</v>
      </c>
      <c r="AG702" s="180">
        <v>9.4999344105865064E-4</v>
      </c>
      <c r="AH702" s="180">
        <v>6.4703627119224946E-4</v>
      </c>
      <c r="AI702" s="181">
        <v>5.1805651820066112E-4</v>
      </c>
    </row>
    <row r="703" spans="2:35" x14ac:dyDescent="0.25">
      <c r="B703" s="163" t="str">
        <f>'Market Data'!$B$33</f>
        <v>MCD</v>
      </c>
      <c r="C703" s="160">
        <f>Statistics!$G$35</f>
        <v>8.998422120903465E-3</v>
      </c>
      <c r="E703" s="168">
        <v>0</v>
      </c>
      <c r="F703" s="85" t="str">
        <v>MCD</v>
      </c>
      <c r="G703" s="179">
        <v>4.3723596630614248E-4</v>
      </c>
      <c r="H703" s="180">
        <v>5.9016175595858627E-4</v>
      </c>
      <c r="I703" s="180">
        <v>1.004575731683145E-3</v>
      </c>
      <c r="J703" s="180">
        <v>1.2118483675212872E-3</v>
      </c>
      <c r="K703" s="180">
        <v>8.8656407550750189E-4</v>
      </c>
      <c r="L703" s="180">
        <v>1.2445101608031307E-3</v>
      </c>
      <c r="M703" s="180">
        <v>1.5566945864839937E-3</v>
      </c>
      <c r="N703" s="180">
        <v>1.0434476997331528E-3</v>
      </c>
      <c r="O703" s="180">
        <v>1.4080437366372094E-3</v>
      </c>
      <c r="P703" s="180">
        <v>1.1844149472533348E-3</v>
      </c>
      <c r="Q703" s="180">
        <v>7.381374461617429E-4</v>
      </c>
      <c r="R703" s="180">
        <v>5.4513263389601688E-4</v>
      </c>
      <c r="S703" s="180">
        <v>9.1762089354393737E-4</v>
      </c>
      <c r="T703" s="180">
        <v>7.2064842002941051E-4</v>
      </c>
      <c r="U703" s="180">
        <v>1.135373183104091E-3</v>
      </c>
      <c r="V703" s="180">
        <v>7.9000312454904529E-4</v>
      </c>
      <c r="W703" s="180">
        <v>1.7650690545216805E-3</v>
      </c>
      <c r="X703" s="180">
        <v>7.9590651205676567E-4</v>
      </c>
      <c r="Y703" s="180">
        <v>5.886623345512683E-4</v>
      </c>
      <c r="Z703" s="180">
        <v>1.2284698745461862E-3</v>
      </c>
      <c r="AA703" s="180">
        <v>4.3355644868225306E-4</v>
      </c>
      <c r="AB703" s="180">
        <v>9.4939047744066322E-4</v>
      </c>
      <c r="AC703" s="180">
        <v>4.0611550084338323E-4</v>
      </c>
      <c r="AD703" s="180">
        <v>3.5874031329227935E-4</v>
      </c>
      <c r="AE703" s="180">
        <v>8.7888532505727346E-4</v>
      </c>
      <c r="AF703" s="180">
        <v>6.7734327840461236E-4</v>
      </c>
      <c r="AG703" s="180">
        <v>1.0020182531469391E-3</v>
      </c>
      <c r="AH703" s="180">
        <v>4.237060092283065E-5</v>
      </c>
      <c r="AI703" s="181">
        <v>6.6389606634421081E-4</v>
      </c>
    </row>
    <row r="704" spans="2:35" x14ac:dyDescent="0.25">
      <c r="B704" s="163" t="str">
        <f>'Market Data'!$B$34</f>
        <v>MMM</v>
      </c>
      <c r="C704" s="160">
        <f>Statistics!$G$36</f>
        <v>1.5280500930100561E-2</v>
      </c>
      <c r="E704" s="168">
        <v>0</v>
      </c>
      <c r="F704" s="85" t="str">
        <v>MMM</v>
      </c>
      <c r="G704" s="179">
        <v>1.6042263123932821E-3</v>
      </c>
      <c r="H704" s="180">
        <v>1.3680882736390085E-3</v>
      </c>
      <c r="I704" s="180">
        <v>1.220072170107771E-3</v>
      </c>
      <c r="J704" s="180">
        <v>1.3778500117759705E-3</v>
      </c>
      <c r="K704" s="180">
        <v>1.6594658489014636E-3</v>
      </c>
      <c r="L704" s="180">
        <v>1.3396872809028706E-3</v>
      </c>
      <c r="M704" s="180">
        <v>2.4333011024343194E-3</v>
      </c>
      <c r="N704" s="180">
        <v>1.3935802423237448E-3</v>
      </c>
      <c r="O704" s="180">
        <v>1.6476299492810176E-3</v>
      </c>
      <c r="P704" s="180">
        <v>1.5580261625844892E-3</v>
      </c>
      <c r="Q704" s="180">
        <v>1.0633975936011025E-3</v>
      </c>
      <c r="R704" s="180">
        <v>1.0275296737018624E-3</v>
      </c>
      <c r="S704" s="180">
        <v>1.3291856750406272E-3</v>
      </c>
      <c r="T704" s="180">
        <v>9.1647163555960687E-4</v>
      </c>
      <c r="U704" s="180">
        <v>1.3229022331511452E-3</v>
      </c>
      <c r="V704" s="180">
        <v>6.5400026561614926E-4</v>
      </c>
      <c r="W704" s="180">
        <v>7.9590651205676567E-4</v>
      </c>
      <c r="X704" s="180">
        <v>1.9007159701372343E-3</v>
      </c>
      <c r="Y704" s="180">
        <v>9.3087542856500223E-4</v>
      </c>
      <c r="Z704" s="180">
        <v>9.5021437706372129E-4</v>
      </c>
      <c r="AA704" s="180">
        <v>7.5220949128439868E-4</v>
      </c>
      <c r="AB704" s="180">
        <v>1.1108584905280188E-3</v>
      </c>
      <c r="AC704" s="180">
        <v>7.8023777188204919E-4</v>
      </c>
      <c r="AD704" s="180">
        <v>9.8369986573183495E-4</v>
      </c>
      <c r="AE704" s="180">
        <v>1.8471574472775569E-3</v>
      </c>
      <c r="AF704" s="180">
        <v>5.9539589470078522E-4</v>
      </c>
      <c r="AG704" s="180">
        <v>1.59984129324471E-3</v>
      </c>
      <c r="AH704" s="180">
        <v>4.5051539698961655E-4</v>
      </c>
      <c r="AI704" s="181">
        <v>1.2697174541958882E-3</v>
      </c>
    </row>
    <row r="705" spans="2:35" x14ac:dyDescent="0.25">
      <c r="B705" s="163" t="str">
        <f>'Market Data'!$B$35</f>
        <v>MRK</v>
      </c>
      <c r="C705" s="160">
        <f>Statistics!$G$37</f>
        <v>1.1473476041634185E-2</v>
      </c>
      <c r="E705" s="168">
        <v>0</v>
      </c>
      <c r="F705" s="85" t="str">
        <v>MRK</v>
      </c>
      <c r="G705" s="179">
        <v>6.6280896407091964E-4</v>
      </c>
      <c r="H705" s="180">
        <v>9.5675499919051471E-4</v>
      </c>
      <c r="I705" s="180">
        <v>1.3506721993334096E-3</v>
      </c>
      <c r="J705" s="180">
        <v>1.6454661341138513E-3</v>
      </c>
      <c r="K705" s="180">
        <v>1.2877752599161352E-3</v>
      </c>
      <c r="L705" s="180">
        <v>1.0548817345930506E-3</v>
      </c>
      <c r="M705" s="180">
        <v>2.1034755337789339E-3</v>
      </c>
      <c r="N705" s="180">
        <v>1.1180874248259017E-3</v>
      </c>
      <c r="O705" s="180">
        <v>7.4080885300837902E-4</v>
      </c>
      <c r="P705" s="180">
        <v>9.5059394038900442E-4</v>
      </c>
      <c r="Q705" s="180">
        <v>7.161428946835201E-4</v>
      </c>
      <c r="R705" s="180">
        <v>1.0097860441379664E-3</v>
      </c>
      <c r="S705" s="180">
        <v>1.2481991200788169E-3</v>
      </c>
      <c r="T705" s="180">
        <v>7.8932636294384688E-4</v>
      </c>
      <c r="U705" s="180">
        <v>9.9035410413519649E-4</v>
      </c>
      <c r="V705" s="180">
        <v>5.6925923112739025E-4</v>
      </c>
      <c r="W705" s="180">
        <v>5.886623345512683E-4</v>
      </c>
      <c r="X705" s="180">
        <v>9.3087542856500223E-4</v>
      </c>
      <c r="Y705" s="180">
        <v>2.5431403633519077E-3</v>
      </c>
      <c r="Z705" s="180">
        <v>1.0039618395335291E-3</v>
      </c>
      <c r="AA705" s="180">
        <v>3.4083858597475385E-4</v>
      </c>
      <c r="AB705" s="180">
        <v>1.3412346285691251E-3</v>
      </c>
      <c r="AC705" s="180">
        <v>3.7529952314904947E-4</v>
      </c>
      <c r="AD705" s="180">
        <v>8.5985137540516086E-4</v>
      </c>
      <c r="AE705" s="180">
        <v>1.4646144344401168E-3</v>
      </c>
      <c r="AF705" s="180">
        <v>3.3006228708408361E-4</v>
      </c>
      <c r="AG705" s="180">
        <v>1.1984054366898813E-3</v>
      </c>
      <c r="AH705" s="180">
        <v>4.389896882024129E-4</v>
      </c>
      <c r="AI705" s="181">
        <v>5.8214330295854532E-4</v>
      </c>
    </row>
    <row r="706" spans="2:35" x14ac:dyDescent="0.25">
      <c r="B706" s="163" t="str">
        <f>'Market Data'!$B$36</f>
        <v>MSFT</v>
      </c>
      <c r="C706" s="160">
        <f>Statistics!$G$38</f>
        <v>2.1777833497491961E-2</v>
      </c>
      <c r="E706" s="168">
        <v>0</v>
      </c>
      <c r="F706" s="85" t="str">
        <v>MSFT</v>
      </c>
      <c r="G706" s="179">
        <v>1.7656054736670385E-3</v>
      </c>
      <c r="H706" s="180">
        <v>1.7453927826798744E-3</v>
      </c>
      <c r="I706" s="180">
        <v>1.4618979219237266E-3</v>
      </c>
      <c r="J706" s="180">
        <v>2.2842322526096018E-3</v>
      </c>
      <c r="K706" s="180">
        <v>2.1511833371391734E-3</v>
      </c>
      <c r="L706" s="180">
        <v>1.921523261676006E-3</v>
      </c>
      <c r="M706" s="180">
        <v>3.4647817866697963E-3</v>
      </c>
      <c r="N706" s="180">
        <v>1.7514488094562146E-3</v>
      </c>
      <c r="O706" s="180">
        <v>2.1782812682115105E-3</v>
      </c>
      <c r="P706" s="180">
        <v>1.9881521509949444E-3</v>
      </c>
      <c r="Q706" s="180">
        <v>1.0017697174583111E-3</v>
      </c>
      <c r="R706" s="180">
        <v>1.4353906099659559E-3</v>
      </c>
      <c r="S706" s="180">
        <v>2.824290151917595E-3</v>
      </c>
      <c r="T706" s="180">
        <v>8.3950208317612799E-4</v>
      </c>
      <c r="U706" s="180">
        <v>2.1029083027690664E-3</v>
      </c>
      <c r="V706" s="180">
        <v>1.0711085481253278E-3</v>
      </c>
      <c r="W706" s="180">
        <v>1.2284698745461862E-3</v>
      </c>
      <c r="X706" s="180">
        <v>9.5021437706372129E-4</v>
      </c>
      <c r="Y706" s="180">
        <v>1.0039618395335291E-3</v>
      </c>
      <c r="Z706" s="180">
        <v>4.5817164894349687E-3</v>
      </c>
      <c r="AA706" s="180">
        <v>9.1111393401995618E-4</v>
      </c>
      <c r="AB706" s="180">
        <v>1.1007292150403058E-3</v>
      </c>
      <c r="AC706" s="180">
        <v>1.0300601718935634E-3</v>
      </c>
      <c r="AD706" s="180">
        <v>2.4058610256342332E-4</v>
      </c>
      <c r="AE706" s="180">
        <v>9.3007091875184366E-4</v>
      </c>
      <c r="AF706" s="180">
        <v>7.4555370224549768E-4</v>
      </c>
      <c r="AG706" s="180">
        <v>1.5294825998788863E-3</v>
      </c>
      <c r="AH706" s="180">
        <v>-3.4970831020819231E-4</v>
      </c>
      <c r="AI706" s="181">
        <v>1.2219742467918569E-3</v>
      </c>
    </row>
    <row r="707" spans="2:35" x14ac:dyDescent="0.25">
      <c r="B707" s="163" t="str">
        <f>'Market Data'!$B$37</f>
        <v>NKE</v>
      </c>
      <c r="C707" s="160">
        <f>Statistics!$G$39</f>
        <v>1.5970247269241938E-2</v>
      </c>
      <c r="E707" s="168">
        <v>0</v>
      </c>
      <c r="F707" s="85" t="str">
        <v>NKE</v>
      </c>
      <c r="G707" s="179">
        <v>7.4054258425286133E-4</v>
      </c>
      <c r="H707" s="180">
        <v>9.1418204127611028E-4</v>
      </c>
      <c r="I707" s="180">
        <v>1.1825978430535619E-3</v>
      </c>
      <c r="J707" s="180">
        <v>-1.1104731462091626E-4</v>
      </c>
      <c r="K707" s="180">
        <v>7.2136303147440504E-4</v>
      </c>
      <c r="L707" s="180">
        <v>-3.0145919518466895E-4</v>
      </c>
      <c r="M707" s="180">
        <v>1.371253710214986E-3</v>
      </c>
      <c r="N707" s="180">
        <v>1.1713887062549742E-3</v>
      </c>
      <c r="O707" s="180">
        <v>6.8149888740689005E-4</v>
      </c>
      <c r="P707" s="180">
        <v>9.2810945195530823E-4</v>
      </c>
      <c r="Q707" s="180">
        <v>7.3578315539153108E-4</v>
      </c>
      <c r="R707" s="180">
        <v>1.3757321359017424E-4</v>
      </c>
      <c r="S707" s="180">
        <v>5.7515792739731505E-4</v>
      </c>
      <c r="T707" s="180">
        <v>2.4076387457302071E-4</v>
      </c>
      <c r="U707" s="180">
        <v>6.7839144071882979E-4</v>
      </c>
      <c r="V707" s="180">
        <v>4.3589033448327737E-4</v>
      </c>
      <c r="W707" s="180">
        <v>4.3355644868225306E-4</v>
      </c>
      <c r="X707" s="180">
        <v>7.5220949128439868E-4</v>
      </c>
      <c r="Y707" s="180">
        <v>3.4083858597475385E-4</v>
      </c>
      <c r="Z707" s="180">
        <v>9.1111393401995618E-4</v>
      </c>
      <c r="AA707" s="180">
        <v>2.7193308407813446E-3</v>
      </c>
      <c r="AB707" s="180">
        <v>5.6615292191577104E-4</v>
      </c>
      <c r="AC707" s="180">
        <v>3.6538493696828688E-4</v>
      </c>
      <c r="AD707" s="180">
        <v>8.9669180264711685E-5</v>
      </c>
      <c r="AE707" s="180">
        <v>4.9140530374502923E-4</v>
      </c>
      <c r="AF707" s="180">
        <v>1.0278859564771125E-5</v>
      </c>
      <c r="AG707" s="180">
        <v>1.2162400994020978E-3</v>
      </c>
      <c r="AH707" s="180">
        <v>1.3266739677968515E-5</v>
      </c>
      <c r="AI707" s="181">
        <v>-1.9722713194093662E-4</v>
      </c>
    </row>
    <row r="708" spans="2:35" x14ac:dyDescent="0.25">
      <c r="B708" s="163" t="str">
        <f>'Market Data'!$B$38</f>
        <v>PFE</v>
      </c>
      <c r="C708" s="160">
        <f>Statistics!$G$40</f>
        <v>7.6042605716081235E-3</v>
      </c>
      <c r="E708" s="168">
        <v>0</v>
      </c>
      <c r="F708" s="85" t="str">
        <v>PFE</v>
      </c>
      <c r="G708" s="179">
        <v>1.105136574328315E-3</v>
      </c>
      <c r="H708" s="180">
        <v>1.0081234358528435E-3</v>
      </c>
      <c r="I708" s="180">
        <v>1.2950969606515986E-3</v>
      </c>
      <c r="J708" s="180">
        <v>7.9610645869862182E-4</v>
      </c>
      <c r="K708" s="180">
        <v>1.5185012123350332E-3</v>
      </c>
      <c r="L708" s="180">
        <v>1.0966581694716135E-3</v>
      </c>
      <c r="M708" s="180">
        <v>2.2541080192876768E-3</v>
      </c>
      <c r="N708" s="180">
        <v>1.4909638464124207E-3</v>
      </c>
      <c r="O708" s="180">
        <v>1.1596920910434683E-3</v>
      </c>
      <c r="P708" s="180">
        <v>1.2974763649140325E-3</v>
      </c>
      <c r="Q708" s="180">
        <v>8.5234066580948517E-4</v>
      </c>
      <c r="R708" s="180">
        <v>7.9545047293496068E-4</v>
      </c>
      <c r="S708" s="180">
        <v>9.9184976149502301E-4</v>
      </c>
      <c r="T708" s="180">
        <v>1.174922395291398E-3</v>
      </c>
      <c r="U708" s="180">
        <v>1.3592270505613203E-3</v>
      </c>
      <c r="V708" s="180">
        <v>6.3614560547018231E-4</v>
      </c>
      <c r="W708" s="180">
        <v>9.4939047744066322E-4</v>
      </c>
      <c r="X708" s="180">
        <v>1.1108584905280188E-3</v>
      </c>
      <c r="Y708" s="180">
        <v>1.3412346285691251E-3</v>
      </c>
      <c r="Z708" s="180">
        <v>1.1007292150403058E-3</v>
      </c>
      <c r="AA708" s="180">
        <v>5.6615292191577104E-4</v>
      </c>
      <c r="AB708" s="180">
        <v>2.4354805215546461E-3</v>
      </c>
      <c r="AC708" s="180">
        <v>7.7698221980775051E-4</v>
      </c>
      <c r="AD708" s="180">
        <v>7.5423895885674786E-4</v>
      </c>
      <c r="AE708" s="180">
        <v>1.3524566727664237E-3</v>
      </c>
      <c r="AF708" s="180">
        <v>6.9733723903610885E-4</v>
      </c>
      <c r="AG708" s="180">
        <v>1.6142857385330945E-3</v>
      </c>
      <c r="AH708" s="180">
        <v>6.1756439897017149E-4</v>
      </c>
      <c r="AI708" s="181">
        <v>8.1835922434987771E-4</v>
      </c>
    </row>
    <row r="709" spans="2:35" x14ac:dyDescent="0.25">
      <c r="B709" s="163" t="str">
        <f>'Market Data'!$B$39</f>
        <v>PG</v>
      </c>
      <c r="C709" s="160">
        <f>Statistics!$G$41</f>
        <v>6.7668222923833359E-3</v>
      </c>
      <c r="E709" s="168">
        <v>0</v>
      </c>
      <c r="F709" s="85" t="str">
        <v>PG</v>
      </c>
      <c r="G709" s="179">
        <v>1.0336127768185608E-3</v>
      </c>
      <c r="H709" s="180">
        <v>4.150551569421239E-4</v>
      </c>
      <c r="I709" s="180">
        <v>5.997217417536032E-4</v>
      </c>
      <c r="J709" s="180">
        <v>4.9254664842985144E-4</v>
      </c>
      <c r="K709" s="180">
        <v>1.0690588122897406E-3</v>
      </c>
      <c r="L709" s="180">
        <v>8.4385070363078498E-4</v>
      </c>
      <c r="M709" s="180">
        <v>1.1783213677355128E-3</v>
      </c>
      <c r="N709" s="180">
        <v>6.6920552953337459E-4</v>
      </c>
      <c r="O709" s="180">
        <v>8.669689440805547E-4</v>
      </c>
      <c r="P709" s="180">
        <v>6.8796273406052837E-4</v>
      </c>
      <c r="Q709" s="180">
        <v>4.7474349038820928E-4</v>
      </c>
      <c r="R709" s="180">
        <v>5.5361049131124631E-4</v>
      </c>
      <c r="S709" s="180">
        <v>7.9168442412031782E-4</v>
      </c>
      <c r="T709" s="180">
        <v>7.8676359672877393E-4</v>
      </c>
      <c r="U709" s="180">
        <v>7.2953612857905574E-4</v>
      </c>
      <c r="V709" s="180">
        <v>6.5740070509151668E-4</v>
      </c>
      <c r="W709" s="180">
        <v>4.0611550084338323E-4</v>
      </c>
      <c r="X709" s="180">
        <v>7.8023777188204919E-4</v>
      </c>
      <c r="Y709" s="180">
        <v>3.7529952314904947E-4</v>
      </c>
      <c r="Z709" s="180">
        <v>1.0300601718935634E-3</v>
      </c>
      <c r="AA709" s="180">
        <v>3.6538493696828688E-4</v>
      </c>
      <c r="AB709" s="180">
        <v>7.7698221980775051E-4</v>
      </c>
      <c r="AC709" s="180">
        <v>1.4111752678343567E-3</v>
      </c>
      <c r="AD709" s="180">
        <v>1.723275330802805E-4</v>
      </c>
      <c r="AE709" s="180">
        <v>6.4008748533685535E-4</v>
      </c>
      <c r="AF709" s="180">
        <v>2.3535220881827705E-4</v>
      </c>
      <c r="AG709" s="180">
        <v>9.2172519542926422E-4</v>
      </c>
      <c r="AH709" s="180">
        <v>7.2490049760504278E-4</v>
      </c>
      <c r="AI709" s="181">
        <v>6.1092932367000222E-4</v>
      </c>
    </row>
    <row r="710" spans="2:35" x14ac:dyDescent="0.25">
      <c r="B710" s="163" t="str">
        <f>'Market Data'!$B$40</f>
        <v>UNH</v>
      </c>
      <c r="C710" s="160">
        <f>Statistics!$G$42</f>
        <v>2.4695057092687361E-2</v>
      </c>
      <c r="E710" s="168">
        <v>0.99999999999999978</v>
      </c>
      <c r="F710" s="85" t="str">
        <v>UNH</v>
      </c>
      <c r="G710" s="179">
        <v>5.5673881663560775E-4</v>
      </c>
      <c r="H710" s="180">
        <v>9.035040942327959E-4</v>
      </c>
      <c r="I710" s="180">
        <v>6.5863568330466196E-4</v>
      </c>
      <c r="J710" s="180">
        <v>7.8373416165496384E-4</v>
      </c>
      <c r="K710" s="180">
        <v>1.0321561899434074E-3</v>
      </c>
      <c r="L710" s="180">
        <v>8.9699068571536217E-4</v>
      </c>
      <c r="M710" s="180">
        <v>1.3915459916452729E-3</v>
      </c>
      <c r="N710" s="180">
        <v>9.9320622386439117E-4</v>
      </c>
      <c r="O710" s="180">
        <v>6.9406421327386882E-4</v>
      </c>
      <c r="P710" s="180">
        <v>1.248419321363809E-3</v>
      </c>
      <c r="Q710" s="180">
        <v>6.4915062582396636E-4</v>
      </c>
      <c r="R710" s="180">
        <v>8.8298395118505178E-4</v>
      </c>
      <c r="S710" s="180">
        <v>5.6633014876153942E-4</v>
      </c>
      <c r="T710" s="180">
        <v>4.4624886795118808E-4</v>
      </c>
      <c r="U710" s="180">
        <v>1.2617149248905092E-3</v>
      </c>
      <c r="V710" s="180">
        <v>1.2737483924284157E-4</v>
      </c>
      <c r="W710" s="180">
        <v>3.5874031329227935E-4</v>
      </c>
      <c r="X710" s="180">
        <v>9.8369986573183495E-4</v>
      </c>
      <c r="Y710" s="180">
        <v>8.5985137540516086E-4</v>
      </c>
      <c r="Z710" s="180">
        <v>2.4058610256342332E-4</v>
      </c>
      <c r="AA710" s="180">
        <v>8.9669180264711685E-5</v>
      </c>
      <c r="AB710" s="180">
        <v>7.5423895885674786E-4</v>
      </c>
      <c r="AC710" s="180">
        <v>1.723275330802805E-4</v>
      </c>
      <c r="AD710" s="180">
        <v>1.9588021355587989E-3</v>
      </c>
      <c r="AE710" s="180">
        <v>1.3013762269017E-3</v>
      </c>
      <c r="AF710" s="180">
        <v>4.3562344006968111E-4</v>
      </c>
      <c r="AG710" s="180">
        <v>6.7255745531353401E-4</v>
      </c>
      <c r="AH710" s="180">
        <v>2.5472583633253342E-4</v>
      </c>
      <c r="AI710" s="181">
        <v>7.6037739981613735E-4</v>
      </c>
    </row>
    <row r="711" spans="2:35" x14ac:dyDescent="0.25">
      <c r="B711" s="163" t="str">
        <f>'Market Data'!$B$41</f>
        <v>UTX</v>
      </c>
      <c r="C711" s="160">
        <f>Statistics!$G$43</f>
        <v>7.3861111519648165E-3</v>
      </c>
      <c r="E711" s="168">
        <v>0</v>
      </c>
      <c r="F711" s="85" t="str">
        <v>UTX</v>
      </c>
      <c r="G711" s="179">
        <v>1.2367738317379871E-3</v>
      </c>
      <c r="H711" s="180">
        <v>1.9679940702890687E-3</v>
      </c>
      <c r="I711" s="180">
        <v>1.846395156096473E-3</v>
      </c>
      <c r="J711" s="180">
        <v>2.1924453554447642E-3</v>
      </c>
      <c r="K711" s="180">
        <v>2.0848208418056797E-3</v>
      </c>
      <c r="L711" s="180">
        <v>1.7655731333339048E-3</v>
      </c>
      <c r="M711" s="180">
        <v>3.4844332298577191E-3</v>
      </c>
      <c r="N711" s="180">
        <v>1.6618009644053405E-3</v>
      </c>
      <c r="O711" s="180">
        <v>1.9210155408337607E-3</v>
      </c>
      <c r="P711" s="180">
        <v>2.1674424403236793E-3</v>
      </c>
      <c r="Q711" s="180">
        <v>1.2386809813748902E-3</v>
      </c>
      <c r="R711" s="180">
        <v>1.5169272523521361E-3</v>
      </c>
      <c r="S711" s="180">
        <v>1.2132957377483657E-3</v>
      </c>
      <c r="T711" s="180">
        <v>1.0117367356107026E-3</v>
      </c>
      <c r="U711" s="180">
        <v>1.8453743354725578E-3</v>
      </c>
      <c r="V711" s="180">
        <v>5.7087013169956707E-4</v>
      </c>
      <c r="W711" s="180">
        <v>8.7888532505727346E-4</v>
      </c>
      <c r="X711" s="180">
        <v>1.8471574472775569E-3</v>
      </c>
      <c r="Y711" s="180">
        <v>1.4646144344401168E-3</v>
      </c>
      <c r="Z711" s="180">
        <v>9.3007091875184366E-4</v>
      </c>
      <c r="AA711" s="180">
        <v>4.9140530374502923E-4</v>
      </c>
      <c r="AB711" s="180">
        <v>1.3524566727664237E-3</v>
      </c>
      <c r="AC711" s="180">
        <v>6.4008748533685535E-4</v>
      </c>
      <c r="AD711" s="180">
        <v>1.3013762269017E-3</v>
      </c>
      <c r="AE711" s="180">
        <v>3.1502830070701034E-3</v>
      </c>
      <c r="AF711" s="180">
        <v>3.2120511051046262E-4</v>
      </c>
      <c r="AG711" s="180">
        <v>1.6964262161404888E-3</v>
      </c>
      <c r="AH711" s="180">
        <v>2.8814451862251201E-4</v>
      </c>
      <c r="AI711" s="181">
        <v>1.3259012920786922E-3</v>
      </c>
    </row>
    <row r="712" spans="2:35" x14ac:dyDescent="0.25">
      <c r="B712" s="163" t="str">
        <f>'Market Data'!$B$42</f>
        <v>VZ</v>
      </c>
      <c r="C712" s="160">
        <f>Statistics!$G$44</f>
        <v>5.0086030759070753E-3</v>
      </c>
      <c r="E712" s="168">
        <v>0</v>
      </c>
      <c r="F712" s="85" t="str">
        <v>VZ</v>
      </c>
      <c r="G712" s="179">
        <v>1.8457278448214234E-4</v>
      </c>
      <c r="H712" s="180">
        <v>-7.7366109832012643E-5</v>
      </c>
      <c r="I712" s="180">
        <v>3.7914592931386057E-4</v>
      </c>
      <c r="J712" s="180">
        <v>6.8929109799853135E-4</v>
      </c>
      <c r="K712" s="180">
        <v>5.9888719676582812E-4</v>
      </c>
      <c r="L712" s="180">
        <v>7.5916190680994219E-4</v>
      </c>
      <c r="M712" s="180">
        <v>9.2727826439514978E-4</v>
      </c>
      <c r="N712" s="180">
        <v>5.8624704841600517E-4</v>
      </c>
      <c r="O712" s="180">
        <v>1.0256274934399997E-3</v>
      </c>
      <c r="P712" s="180">
        <v>3.7523862948950627E-4</v>
      </c>
      <c r="Q712" s="180">
        <v>1.1189073531181803E-4</v>
      </c>
      <c r="R712" s="180">
        <v>2.033685246020378E-4</v>
      </c>
      <c r="S712" s="180">
        <v>8.2166255763751334E-4</v>
      </c>
      <c r="T712" s="180">
        <v>7.3214708969514145E-4</v>
      </c>
      <c r="U712" s="180">
        <v>3.9836144643633019E-4</v>
      </c>
      <c r="V712" s="180">
        <v>4.9096142938173941E-4</v>
      </c>
      <c r="W712" s="180">
        <v>6.7734327840461236E-4</v>
      </c>
      <c r="X712" s="180">
        <v>5.9539589470078522E-4</v>
      </c>
      <c r="Y712" s="180">
        <v>3.3006228708408361E-4</v>
      </c>
      <c r="Z712" s="180">
        <v>7.4555370224549768E-4</v>
      </c>
      <c r="AA712" s="180">
        <v>1.0278859564771125E-5</v>
      </c>
      <c r="AB712" s="180">
        <v>6.9733723903610885E-4</v>
      </c>
      <c r="AC712" s="180">
        <v>2.3535220881827705E-4</v>
      </c>
      <c r="AD712" s="180">
        <v>4.3562344006968111E-4</v>
      </c>
      <c r="AE712" s="180">
        <v>3.2120511051046262E-4</v>
      </c>
      <c r="AF712" s="180">
        <v>2.0420562729853461E-3</v>
      </c>
      <c r="AG712" s="180">
        <v>3.5270826394507459E-4</v>
      </c>
      <c r="AH712" s="180">
        <v>4.5696587310639262E-4</v>
      </c>
      <c r="AI712" s="181">
        <v>6.4524949399266879E-4</v>
      </c>
    </row>
    <row r="713" spans="2:35" x14ac:dyDescent="0.25">
      <c r="B713" s="163" t="str">
        <f>'Market Data'!$B$43</f>
        <v>V</v>
      </c>
      <c r="C713" s="160">
        <f>Statistics!$G$45</f>
        <v>1.7947618128132319E-2</v>
      </c>
      <c r="E713" s="168">
        <v>0</v>
      </c>
      <c r="F713" s="85" t="str">
        <v>V</v>
      </c>
      <c r="G713" s="179">
        <v>1.5697677901095443E-3</v>
      </c>
      <c r="H713" s="180">
        <v>2.1563583115517065E-3</v>
      </c>
      <c r="I713" s="180">
        <v>2.2475777063178958E-3</v>
      </c>
      <c r="J713" s="180">
        <v>1.4624027030174886E-3</v>
      </c>
      <c r="K713" s="180">
        <v>2.8598074505702059E-3</v>
      </c>
      <c r="L713" s="180">
        <v>9.2897312946466114E-4</v>
      </c>
      <c r="M713" s="180">
        <v>3.0677861856869904E-3</v>
      </c>
      <c r="N713" s="180">
        <v>2.2204011828610088E-3</v>
      </c>
      <c r="O713" s="180">
        <v>1.7646874198991678E-3</v>
      </c>
      <c r="P713" s="180">
        <v>2.0541307067505868E-3</v>
      </c>
      <c r="Q713" s="180">
        <v>1.2055891827737501E-3</v>
      </c>
      <c r="R713" s="180">
        <v>1.2306885914741903E-3</v>
      </c>
      <c r="S713" s="180">
        <v>1.8678530672680304E-3</v>
      </c>
      <c r="T713" s="180">
        <v>8.2747273857601913E-4</v>
      </c>
      <c r="U713" s="180">
        <v>1.9463933682734615E-3</v>
      </c>
      <c r="V713" s="180">
        <v>9.4999344105865064E-4</v>
      </c>
      <c r="W713" s="180">
        <v>1.0020182531469391E-3</v>
      </c>
      <c r="X713" s="180">
        <v>1.59984129324471E-3</v>
      </c>
      <c r="Y713" s="180">
        <v>1.1984054366898813E-3</v>
      </c>
      <c r="Z713" s="180">
        <v>1.5294825998788863E-3</v>
      </c>
      <c r="AA713" s="180">
        <v>1.2162400994020978E-3</v>
      </c>
      <c r="AB713" s="180">
        <v>1.6142857385330945E-3</v>
      </c>
      <c r="AC713" s="180">
        <v>9.2172519542926422E-4</v>
      </c>
      <c r="AD713" s="180">
        <v>6.7255745531353401E-4</v>
      </c>
      <c r="AE713" s="180">
        <v>1.6964262161404888E-3</v>
      </c>
      <c r="AF713" s="180">
        <v>3.5270826394507459E-4</v>
      </c>
      <c r="AG713" s="180">
        <v>3.6944718915923875E-3</v>
      </c>
      <c r="AH713" s="180">
        <v>2.1280259291490004E-4</v>
      </c>
      <c r="AI713" s="181">
        <v>9.4116112769672574E-4</v>
      </c>
    </row>
    <row r="714" spans="2:35" x14ac:dyDescent="0.25">
      <c r="B714" s="163" t="str">
        <f>'Market Data'!$B$44</f>
        <v>WMT</v>
      </c>
      <c r="C714" s="160">
        <f>Statistics!$G$46</f>
        <v>1.8437214178450567E-3</v>
      </c>
      <c r="E714" s="168">
        <v>0</v>
      </c>
      <c r="F714" s="85" t="str">
        <v>WMT</v>
      </c>
      <c r="G714" s="179">
        <v>5.7975796375205426E-4</v>
      </c>
      <c r="H714" s="180">
        <v>2.6973274792062105E-5</v>
      </c>
      <c r="I714" s="180">
        <v>1.7979190170774528E-4</v>
      </c>
      <c r="J714" s="180">
        <v>-2.1581932882750213E-4</v>
      </c>
      <c r="K714" s="180">
        <v>3.2563207166723412E-4</v>
      </c>
      <c r="L714" s="180">
        <v>1.437380584121094E-4</v>
      </c>
      <c r="M714" s="180">
        <v>-2.3301122426120984E-5</v>
      </c>
      <c r="N714" s="180">
        <v>-1.1672694641114529E-4</v>
      </c>
      <c r="O714" s="180">
        <v>3.1986346053900631E-5</v>
      </c>
      <c r="P714" s="180">
        <v>-5.4295264980806504E-5</v>
      </c>
      <c r="Q714" s="180">
        <v>1.9815526434870993E-4</v>
      </c>
      <c r="R714" s="180">
        <v>3.7610030291999273E-4</v>
      </c>
      <c r="S714" s="180">
        <v>-1.8556188989019865E-5</v>
      </c>
      <c r="T714" s="180">
        <v>7.1470891411086447E-4</v>
      </c>
      <c r="U714" s="180">
        <v>7.503242005510376E-5</v>
      </c>
      <c r="V714" s="180">
        <v>6.4703627119224946E-4</v>
      </c>
      <c r="W714" s="180">
        <v>4.237060092283065E-5</v>
      </c>
      <c r="X714" s="180">
        <v>4.5051539698961655E-4</v>
      </c>
      <c r="Y714" s="180">
        <v>4.389896882024129E-4</v>
      </c>
      <c r="Z714" s="180">
        <v>-3.4970831020819231E-4</v>
      </c>
      <c r="AA714" s="180">
        <v>1.3266739677968515E-5</v>
      </c>
      <c r="AB714" s="180">
        <v>6.1756439897017149E-4</v>
      </c>
      <c r="AC714" s="180">
        <v>7.2490049760504278E-4</v>
      </c>
      <c r="AD714" s="180">
        <v>2.5472583633253342E-4</v>
      </c>
      <c r="AE714" s="180">
        <v>2.8814451862251201E-4</v>
      </c>
      <c r="AF714" s="180">
        <v>4.5696587310639262E-4</v>
      </c>
      <c r="AG714" s="180">
        <v>2.1280259291490004E-4</v>
      </c>
      <c r="AH714" s="180">
        <v>1.9253008332035728E-3</v>
      </c>
      <c r="AI714" s="181">
        <v>9.9417778748729687E-5</v>
      </c>
    </row>
    <row r="715" spans="2:35" x14ac:dyDescent="0.25">
      <c r="B715" s="164" t="str">
        <f>'Market Data'!$B$45</f>
        <v>XOM</v>
      </c>
      <c r="C715" s="165">
        <f>Statistics!$G$47</f>
        <v>1.7101166353118678E-3</v>
      </c>
      <c r="E715" s="169">
        <v>0</v>
      </c>
      <c r="F715" s="86" t="str">
        <v>XOM</v>
      </c>
      <c r="G715" s="179">
        <v>8.3126780280069973E-4</v>
      </c>
      <c r="H715" s="180">
        <v>9.0240454872836753E-4</v>
      </c>
      <c r="I715" s="180">
        <v>5.5785917505375118E-4</v>
      </c>
      <c r="J715" s="180">
        <v>1.368945659107327E-3</v>
      </c>
      <c r="K715" s="180">
        <v>1.3701802479257339E-3</v>
      </c>
      <c r="L715" s="180">
        <v>1.9286286807754067E-3</v>
      </c>
      <c r="M715" s="180">
        <v>2.1182301102402332E-3</v>
      </c>
      <c r="N715" s="180">
        <v>1.3292278052638991E-3</v>
      </c>
      <c r="O715" s="180">
        <v>1.6264073394302158E-3</v>
      </c>
      <c r="P715" s="180">
        <v>1.4387650786059658E-3</v>
      </c>
      <c r="Q715" s="180">
        <v>5.7016164369997474E-4</v>
      </c>
      <c r="R715" s="180">
        <v>1.0970123689928199E-3</v>
      </c>
      <c r="S715" s="180">
        <v>1.0791409093812321E-3</v>
      </c>
      <c r="T715" s="180">
        <v>7.4627799983375924E-4</v>
      </c>
      <c r="U715" s="180">
        <v>1.3958094738143344E-3</v>
      </c>
      <c r="V715" s="180">
        <v>5.1805651820066112E-4</v>
      </c>
      <c r="W715" s="180">
        <v>6.6389606634421081E-4</v>
      </c>
      <c r="X715" s="180">
        <v>1.2697174541958882E-3</v>
      </c>
      <c r="Y715" s="180">
        <v>5.8214330295854532E-4</v>
      </c>
      <c r="Z715" s="180">
        <v>1.2219742467918569E-3</v>
      </c>
      <c r="AA715" s="180">
        <v>-1.9722713194093662E-4</v>
      </c>
      <c r="AB715" s="180">
        <v>8.1835922434987771E-4</v>
      </c>
      <c r="AC715" s="180">
        <v>6.1092932367000222E-4</v>
      </c>
      <c r="AD715" s="180">
        <v>7.6037739981613735E-4</v>
      </c>
      <c r="AE715" s="180">
        <v>1.3259012920786922E-3</v>
      </c>
      <c r="AF715" s="180">
        <v>6.4524949399266879E-4</v>
      </c>
      <c r="AG715" s="180">
        <v>9.4116112769672574E-4</v>
      </c>
      <c r="AH715" s="180">
        <v>9.9417778748729687E-5</v>
      </c>
      <c r="AI715" s="181">
        <v>1.845802781732033E-3</v>
      </c>
    </row>
    <row r="716" spans="2:35" x14ac:dyDescent="0.25">
      <c r="B716" s="3"/>
      <c r="C716" s="3"/>
      <c r="D716" s="3"/>
      <c r="E716" s="182">
        <f>SUM(E687:E715)</f>
        <v>0.99999999999999978</v>
      </c>
      <c r="F716" s="3"/>
      <c r="G716" s="184">
        <f>_xll.SumProduct2(MAX_PORTFOLIO_WEIGHTS,G687:G715)*G685</f>
        <v>0</v>
      </c>
      <c r="H716" s="185">
        <f>_xll.SumProduct2(MAX_PORTFOLIO_WEIGHTS,H687:H715)*H685</f>
        <v>0</v>
      </c>
      <c r="I716" s="185">
        <f>_xll.SumProduct2(MAX_PORTFOLIO_WEIGHTS,I687:I715)*I685</f>
        <v>0</v>
      </c>
      <c r="J716" s="185">
        <f>_xll.SumProduct2(MAX_PORTFOLIO_WEIGHTS,J687:J715)*J685</f>
        <v>0</v>
      </c>
      <c r="K716" s="185">
        <f>_xll.SumProduct2(MAX_PORTFOLIO_WEIGHTS,K687:K715)*K685</f>
        <v>0</v>
      </c>
      <c r="L716" s="185">
        <f>_xll.SumProduct2(MAX_PORTFOLIO_WEIGHTS,L687:L715)*L685</f>
        <v>0</v>
      </c>
      <c r="M716" s="185">
        <f>_xll.SumProduct2(MAX_PORTFOLIO_WEIGHTS,M687:M715)*M685</f>
        <v>0</v>
      </c>
      <c r="N716" s="185">
        <f>_xll.SumProduct2(MAX_PORTFOLIO_WEIGHTS,N687:N715)*N685</f>
        <v>0</v>
      </c>
      <c r="O716" s="185">
        <f>_xll.SumProduct2(MAX_PORTFOLIO_WEIGHTS,O687:O715)*O685</f>
        <v>0</v>
      </c>
      <c r="P716" s="185">
        <f>_xll.SumProduct2(MAX_PORTFOLIO_WEIGHTS,P687:P715)*P685</f>
        <v>0</v>
      </c>
      <c r="Q716" s="185">
        <f>_xll.SumProduct2(MAX_PORTFOLIO_WEIGHTS,Q687:Q715)*Q685</f>
        <v>0</v>
      </c>
      <c r="R716" s="185">
        <f>_xll.SumProduct2(MAX_PORTFOLIO_WEIGHTS,R687:R715)*R685</f>
        <v>0</v>
      </c>
      <c r="S716" s="185">
        <f>_xll.SumProduct2(MAX_PORTFOLIO_WEIGHTS,S687:S715)*S685</f>
        <v>0</v>
      </c>
      <c r="T716" s="185">
        <f>_xll.SumProduct2(MAX_PORTFOLIO_WEIGHTS,T687:T715)*T685</f>
        <v>0</v>
      </c>
      <c r="U716" s="186">
        <f>_xll.SumProduct2(MAX_PORTFOLIO_WEIGHTS,U687:U715)*U685</f>
        <v>0</v>
      </c>
      <c r="V716" s="186">
        <f>_xll.SumProduct2(MAX_PORTFOLIO_WEIGHTS,V687:V715)*V685</f>
        <v>0</v>
      </c>
      <c r="W716" s="186">
        <f>_xll.SumProduct2(MAX_PORTFOLIO_WEIGHTS,W687:W715)*W685</f>
        <v>0</v>
      </c>
      <c r="X716" s="186">
        <f>_xll.SumProduct2(MAX_PORTFOLIO_WEIGHTS,X687:X715)*X685</f>
        <v>0</v>
      </c>
      <c r="Y716" s="186">
        <f>_xll.SumProduct2(MAX_PORTFOLIO_WEIGHTS,Y687:Y715)*Y685</f>
        <v>0</v>
      </c>
      <c r="Z716" s="186">
        <f>_xll.SumProduct2(MAX_PORTFOLIO_WEIGHTS,Z687:Z715)*Z685</f>
        <v>0</v>
      </c>
      <c r="AA716" s="186">
        <f>_xll.SumProduct2(MAX_PORTFOLIO_WEIGHTS,AA687:AA715)*AA685</f>
        <v>0</v>
      </c>
      <c r="AB716" s="186">
        <f>_xll.SumProduct2(MAX_PORTFOLIO_WEIGHTS,AB687:AB715)*AB685</f>
        <v>0</v>
      </c>
      <c r="AC716" s="186">
        <f>_xll.SumProduct2(MAX_PORTFOLIO_WEIGHTS,AC687:AC715)*AC685</f>
        <v>0</v>
      </c>
      <c r="AD716" s="186">
        <f>_xll.SumProduct2(MAX_PORTFOLIO_WEIGHTS,AD687:AD715)*AD685</f>
        <v>1.9588021355587981E-3</v>
      </c>
      <c r="AE716" s="186">
        <f>_xll.SumProduct2(MAX_PORTFOLIO_WEIGHTS,AE687:AE715)*AE685</f>
        <v>0</v>
      </c>
      <c r="AF716" s="186">
        <f>_xll.SumProduct2(MAX_PORTFOLIO_WEIGHTS,AF687:AF715)*AF685</f>
        <v>0</v>
      </c>
      <c r="AG716" s="186">
        <f>_xll.SumProduct2(MAX_PORTFOLIO_WEIGHTS,AG687:AG715)*AG685</f>
        <v>0</v>
      </c>
      <c r="AH716" s="186">
        <f>_xll.SumProduct2(MAX_PORTFOLIO_WEIGHTS,AH687:AH715)*AH685</f>
        <v>0</v>
      </c>
      <c r="AI716" s="187">
        <f>_xll.SumProduct2(MAX_PORTFOLIO_WEIGHTS,AI687:AI715)*AI685</f>
        <v>0</v>
      </c>
    </row>
    <row r="718" spans="2:35" ht="20.25" thickBot="1" x14ac:dyDescent="0.35">
      <c r="B718" s="183" t="s">
        <v>108</v>
      </c>
      <c r="C718" s="183"/>
      <c r="D718" s="153"/>
      <c r="E718" s="154"/>
      <c r="F718" s="153"/>
      <c r="G718" s="155"/>
      <c r="H718" s="155"/>
      <c r="I718" s="155"/>
      <c r="J718" s="155"/>
      <c r="K718" s="155"/>
      <c r="L718" s="155"/>
      <c r="M718" s="155"/>
      <c r="N718" s="155"/>
      <c r="O718" s="155"/>
      <c r="P718" s="155"/>
      <c r="Q718" s="155"/>
      <c r="R718" s="155"/>
      <c r="S718" s="155"/>
      <c r="T718" s="155"/>
      <c r="U718" s="155"/>
      <c r="V718" s="155"/>
      <c r="W718" s="155"/>
      <c r="X718" s="155"/>
      <c r="Y718" s="155"/>
      <c r="Z718" s="155"/>
      <c r="AA718" s="155"/>
      <c r="AB718" s="155"/>
      <c r="AC718" s="155"/>
      <c r="AD718" s="155"/>
      <c r="AE718" s="155"/>
      <c r="AF718" s="155"/>
      <c r="AG718" s="155"/>
      <c r="AH718" s="155"/>
      <c r="AI718" s="155"/>
    </row>
    <row r="719" spans="2:35" ht="15.75" thickTop="1" x14ac:dyDescent="0.25">
      <c r="B719" s="156" t="s">
        <v>72</v>
      </c>
      <c r="C719" s="159">
        <f>(TANGENCY_EXPECTED_RETURN-RISK_FREE_RATE)/TANGENCY_STANDARD_DEVIATION</f>
        <v>0.6742439011415452</v>
      </c>
    </row>
    <row r="720" spans="2:35" x14ac:dyDescent="0.25">
      <c r="B720" s="157" t="s">
        <v>60</v>
      </c>
      <c r="C720" s="160">
        <f>_xll.SumProduct2(TANGENCY_EXPECTED_RETURNS,TANGENCY_WEIGHTS)-$C$33</f>
        <v>2.109086175135555E-2</v>
      </c>
    </row>
    <row r="721" spans="2:35" x14ac:dyDescent="0.25">
      <c r="B721" s="157" t="s">
        <v>62</v>
      </c>
      <c r="C721" s="160">
        <f>SQRT(SUM(G754:AI754))</f>
        <v>3.1229271963304352E-2</v>
      </c>
    </row>
    <row r="722" spans="2:35" x14ac:dyDescent="0.25">
      <c r="B722" s="158" t="s">
        <v>103</v>
      </c>
      <c r="C722" s="161" t="str">
        <f>_xll.TimeSeries.CovarianceMatrixCalculator.apply(COVARIANCE_MATRIX_CALCULATOR,'Efficient Frontier'!B725:B753,ALL_RETURN_SERIES)</f>
        <v>»LabelledMatrix-16705291694770987811</v>
      </c>
      <c r="D722" t="s">
        <v>77</v>
      </c>
    </row>
    <row r="723" spans="2:35" x14ac:dyDescent="0.25">
      <c r="F723" s="111" t="s">
        <v>69</v>
      </c>
      <c r="G723" s="170">
        <f t="array" ref="G723:AI723">TRANSPOSE(TANGENCY_WEIGHTS)</f>
        <v>5.0997964978954605E-2</v>
      </c>
      <c r="H723" s="171">
        <v>0</v>
      </c>
      <c r="I723" s="171">
        <v>0</v>
      </c>
      <c r="J723" s="171">
        <v>0</v>
      </c>
      <c r="K723" s="171">
        <v>0</v>
      </c>
      <c r="L723" s="171">
        <v>0</v>
      </c>
      <c r="M723" s="171">
        <v>0</v>
      </c>
      <c r="N723" s="171">
        <v>0</v>
      </c>
      <c r="O723" s="171">
        <v>0</v>
      </c>
      <c r="P723" s="171">
        <v>0</v>
      </c>
      <c r="Q723" s="171">
        <v>0.10583100891915602</v>
      </c>
      <c r="R723" s="171">
        <v>0</v>
      </c>
      <c r="S723" s="171">
        <v>0</v>
      </c>
      <c r="T723" s="171">
        <v>7.3676561040445454E-2</v>
      </c>
      <c r="U723" s="171">
        <v>0</v>
      </c>
      <c r="V723" s="171">
        <v>0</v>
      </c>
      <c r="W723" s="171">
        <v>0</v>
      </c>
      <c r="X723" s="171">
        <v>0</v>
      </c>
      <c r="Y723" s="171">
        <v>0</v>
      </c>
      <c r="Z723" s="171">
        <v>0.10316367949975949</v>
      </c>
      <c r="AA723" s="171">
        <v>0.17088100886588656</v>
      </c>
      <c r="AB723" s="171">
        <v>0</v>
      </c>
      <c r="AC723" s="171">
        <v>0</v>
      </c>
      <c r="AD723" s="171">
        <v>0.49544977669579754</v>
      </c>
      <c r="AE723" s="171">
        <v>0</v>
      </c>
      <c r="AF723" s="171">
        <v>0</v>
      </c>
      <c r="AG723" s="171">
        <v>0</v>
      </c>
      <c r="AH723" s="171">
        <v>0</v>
      </c>
      <c r="AI723" s="172">
        <v>0</v>
      </c>
    </row>
    <row r="724" spans="2:35" x14ac:dyDescent="0.25">
      <c r="C724" s="111" t="s">
        <v>63</v>
      </c>
      <c r="E724" s="89" t="s">
        <v>69</v>
      </c>
      <c r="F724" s="166" t="str">
        <f t="array" ref="F724:AI753">_xll.Matrix.ExpandAsArray(C722)</f>
        <v/>
      </c>
      <c r="G724" s="173" t="str">
        <v>AAPL</v>
      </c>
      <c r="H724" s="174" t="str">
        <v>AXP</v>
      </c>
      <c r="I724" s="174" t="str">
        <v>BA</v>
      </c>
      <c r="J724" s="174" t="str">
        <v>CAT</v>
      </c>
      <c r="K724" s="174" t="str">
        <v>CSCO</v>
      </c>
      <c r="L724" s="174" t="str">
        <v>CVX</v>
      </c>
      <c r="M724" s="174" t="str">
        <v>DD</v>
      </c>
      <c r="N724" s="174" t="str">
        <v>DIS</v>
      </c>
      <c r="O724" s="174" t="str">
        <v>GE</v>
      </c>
      <c r="P724" s="174" t="str">
        <v>GS</v>
      </c>
      <c r="Q724" s="174" t="str">
        <v>HD</v>
      </c>
      <c r="R724" s="174" t="str">
        <v>IBM</v>
      </c>
      <c r="S724" s="174" t="str">
        <v>INTC</v>
      </c>
      <c r="T724" s="174" t="str">
        <v>JNJ</v>
      </c>
      <c r="U724" s="174" t="str">
        <v>JPM</v>
      </c>
      <c r="V724" s="174" t="str">
        <v>KO</v>
      </c>
      <c r="W724" s="174" t="str">
        <v>MCD</v>
      </c>
      <c r="X724" s="174" t="str">
        <v>MMM</v>
      </c>
      <c r="Y724" s="174" t="str">
        <v>MRK</v>
      </c>
      <c r="Z724" s="174" t="str">
        <v>MSFT</v>
      </c>
      <c r="AA724" s="174" t="str">
        <v>NKE</v>
      </c>
      <c r="AB724" s="174" t="str">
        <v>PFE</v>
      </c>
      <c r="AC724" s="174" t="str">
        <v>PG</v>
      </c>
      <c r="AD724" s="174" t="str">
        <v>UNH</v>
      </c>
      <c r="AE724" s="174" t="str">
        <v>UTX</v>
      </c>
      <c r="AF724" s="174" t="str">
        <v>VZ</v>
      </c>
      <c r="AG724" s="174" t="str">
        <v>V</v>
      </c>
      <c r="AH724" s="174" t="str">
        <v>WMT</v>
      </c>
      <c r="AI724" s="175" t="str">
        <v>XOM</v>
      </c>
    </row>
    <row r="725" spans="2:35" x14ac:dyDescent="0.25">
      <c r="B725" s="162" t="str">
        <f>'Market Data'!$B$17</f>
        <v>AAPL</v>
      </c>
      <c r="C725" s="159">
        <f>Statistics!$G$19</f>
        <v>2.1230184800142136E-2</v>
      </c>
      <c r="E725" s="167">
        <v>5.0997964978954605E-2</v>
      </c>
      <c r="F725" s="84" t="str">
        <v>AAPL</v>
      </c>
      <c r="G725" s="176">
        <v>4.5162973293162668E-3</v>
      </c>
      <c r="H725" s="177">
        <v>1.6284380645241216E-3</v>
      </c>
      <c r="I725" s="177">
        <v>1.6201491796022521E-3</v>
      </c>
      <c r="J725" s="177">
        <v>1.5690359790962263E-3</v>
      </c>
      <c r="K725" s="177">
        <v>2.3505409053430782E-3</v>
      </c>
      <c r="L725" s="177">
        <v>1.1773098260505132E-3</v>
      </c>
      <c r="M725" s="177">
        <v>2.5889638042653502E-3</v>
      </c>
      <c r="N725" s="177">
        <v>1.366655807124157E-3</v>
      </c>
      <c r="O725" s="177">
        <v>1.5698375611055285E-3</v>
      </c>
      <c r="P725" s="177">
        <v>1.8109156333145874E-3</v>
      </c>
      <c r="Q725" s="177">
        <v>9.8639311096076088E-4</v>
      </c>
      <c r="R725" s="177">
        <v>1.7737023799007877E-3</v>
      </c>
      <c r="S725" s="177">
        <v>1.6293191413582805E-3</v>
      </c>
      <c r="T725" s="177">
        <v>8.2631268301744008E-4</v>
      </c>
      <c r="U725" s="177">
        <v>1.2529926248616137E-3</v>
      </c>
      <c r="V725" s="177">
        <v>9.6129190129553134E-4</v>
      </c>
      <c r="W725" s="177">
        <v>4.3723596630614248E-4</v>
      </c>
      <c r="X725" s="177">
        <v>1.6042263123932821E-3</v>
      </c>
      <c r="Y725" s="177">
        <v>6.6280896407091964E-4</v>
      </c>
      <c r="Z725" s="177">
        <v>1.7656054736670385E-3</v>
      </c>
      <c r="AA725" s="177">
        <v>7.4054258425286133E-4</v>
      </c>
      <c r="AB725" s="177">
        <v>1.105136574328315E-3</v>
      </c>
      <c r="AC725" s="177">
        <v>1.0336127768185608E-3</v>
      </c>
      <c r="AD725" s="177">
        <v>5.5673881663560775E-4</v>
      </c>
      <c r="AE725" s="177">
        <v>1.2367738317379871E-3</v>
      </c>
      <c r="AF725" s="177">
        <v>1.8457278448214234E-4</v>
      </c>
      <c r="AG725" s="177">
        <v>1.5697677901095443E-3</v>
      </c>
      <c r="AH725" s="177">
        <v>5.7975796375205426E-4</v>
      </c>
      <c r="AI725" s="178">
        <v>8.3126780280069973E-4</v>
      </c>
    </row>
    <row r="726" spans="2:35" x14ac:dyDescent="0.25">
      <c r="B726" s="163" t="str">
        <f>'Market Data'!$B$18</f>
        <v>AXP</v>
      </c>
      <c r="C726" s="160">
        <f>Statistics!$G$20</f>
        <v>6.4918343965214677E-3</v>
      </c>
      <c r="E726" s="168">
        <v>0</v>
      </c>
      <c r="F726" s="85" t="str">
        <v>AXP</v>
      </c>
      <c r="G726" s="179">
        <v>1.6284380645241216E-3</v>
      </c>
      <c r="H726" s="180">
        <v>4.0660324753009668E-3</v>
      </c>
      <c r="I726" s="180">
        <v>2.3214948032735548E-3</v>
      </c>
      <c r="J726" s="180">
        <v>2.4672804057197504E-3</v>
      </c>
      <c r="K726" s="180">
        <v>2.2861035048804129E-3</v>
      </c>
      <c r="L726" s="180">
        <v>1.4106472819975181E-3</v>
      </c>
      <c r="M726" s="180">
        <v>3.0070268955997704E-3</v>
      </c>
      <c r="N726" s="180">
        <v>1.9718583562846406E-3</v>
      </c>
      <c r="O726" s="180">
        <v>1.6460552176854309E-3</v>
      </c>
      <c r="P726" s="180">
        <v>3.1197862990926528E-3</v>
      </c>
      <c r="Q726" s="180">
        <v>1.285962047454306E-3</v>
      </c>
      <c r="R726" s="180">
        <v>1.960684724858895E-3</v>
      </c>
      <c r="S726" s="180">
        <v>2.0715314739138896E-3</v>
      </c>
      <c r="T726" s="180">
        <v>7.3945969222275051E-4</v>
      </c>
      <c r="U726" s="180">
        <v>2.7840355446374721E-3</v>
      </c>
      <c r="V726" s="180">
        <v>5.6369017954212687E-4</v>
      </c>
      <c r="W726" s="180">
        <v>5.9016175595858627E-4</v>
      </c>
      <c r="X726" s="180">
        <v>1.3680882736390085E-3</v>
      </c>
      <c r="Y726" s="180">
        <v>9.5675499919051471E-4</v>
      </c>
      <c r="Z726" s="180">
        <v>1.7453927826798744E-3</v>
      </c>
      <c r="AA726" s="180">
        <v>9.1418204127611028E-4</v>
      </c>
      <c r="AB726" s="180">
        <v>1.0081234358528435E-3</v>
      </c>
      <c r="AC726" s="180">
        <v>4.150551569421239E-4</v>
      </c>
      <c r="AD726" s="180">
        <v>9.035040942327959E-4</v>
      </c>
      <c r="AE726" s="180">
        <v>1.9679940702890687E-3</v>
      </c>
      <c r="AF726" s="180">
        <v>-7.7366109832012643E-5</v>
      </c>
      <c r="AG726" s="180">
        <v>2.1563583115517065E-3</v>
      </c>
      <c r="AH726" s="180">
        <v>2.6973274792062105E-5</v>
      </c>
      <c r="AI726" s="181">
        <v>9.0240454872836753E-4</v>
      </c>
    </row>
    <row r="727" spans="2:35" x14ac:dyDescent="0.25">
      <c r="B727" s="163" t="str">
        <f>'Market Data'!$B$19</f>
        <v>BA</v>
      </c>
      <c r="C727" s="160">
        <f>Statistics!$G$21</f>
        <v>1.9250861766613322E-2</v>
      </c>
      <c r="E727" s="168">
        <v>0</v>
      </c>
      <c r="F727" s="85" t="str">
        <v>BA</v>
      </c>
      <c r="G727" s="179">
        <v>1.6201491796022521E-3</v>
      </c>
      <c r="H727" s="180">
        <v>2.3214948032735548E-3</v>
      </c>
      <c r="I727" s="180">
        <v>3.7402935775721971E-3</v>
      </c>
      <c r="J727" s="180">
        <v>1.6046317611050844E-3</v>
      </c>
      <c r="K727" s="180">
        <v>2.1240240973260023E-3</v>
      </c>
      <c r="L727" s="180">
        <v>1.3419066335272889E-3</v>
      </c>
      <c r="M727" s="180">
        <v>3.1629198402818382E-3</v>
      </c>
      <c r="N727" s="180">
        <v>2.193611301570318E-3</v>
      </c>
      <c r="O727" s="180">
        <v>1.7334051959416068E-3</v>
      </c>
      <c r="P727" s="180">
        <v>2.2391121271409182E-3</v>
      </c>
      <c r="Q727" s="180">
        <v>1.2911501083222776E-3</v>
      </c>
      <c r="R727" s="180">
        <v>1.1336433634722555E-3</v>
      </c>
      <c r="S727" s="180">
        <v>1.485647562986758E-3</v>
      </c>
      <c r="T727" s="180">
        <v>7.7470388279684329E-4</v>
      </c>
      <c r="U727" s="180">
        <v>1.8054441283061249E-3</v>
      </c>
      <c r="V727" s="180">
        <v>9.7196182882881919E-4</v>
      </c>
      <c r="W727" s="180">
        <v>1.004575731683145E-3</v>
      </c>
      <c r="X727" s="180">
        <v>1.220072170107771E-3</v>
      </c>
      <c r="Y727" s="180">
        <v>1.3506721993334096E-3</v>
      </c>
      <c r="Z727" s="180">
        <v>1.4618979219237266E-3</v>
      </c>
      <c r="AA727" s="180">
        <v>1.1825978430535619E-3</v>
      </c>
      <c r="AB727" s="180">
        <v>1.2950969606515986E-3</v>
      </c>
      <c r="AC727" s="180">
        <v>5.997217417536032E-4</v>
      </c>
      <c r="AD727" s="180">
        <v>6.5863568330466196E-4</v>
      </c>
      <c r="AE727" s="180">
        <v>1.846395156096473E-3</v>
      </c>
      <c r="AF727" s="180">
        <v>3.7914592931386057E-4</v>
      </c>
      <c r="AG727" s="180">
        <v>2.2475777063178958E-3</v>
      </c>
      <c r="AH727" s="180">
        <v>1.7979190170774528E-4</v>
      </c>
      <c r="AI727" s="181">
        <v>5.5785917505375118E-4</v>
      </c>
    </row>
    <row r="728" spans="2:35" x14ac:dyDescent="0.25">
      <c r="B728" s="163" t="str">
        <f>'Market Data'!$B$20</f>
        <v>CAT</v>
      </c>
      <c r="C728" s="160">
        <f>Statistics!$G$22</f>
        <v>6.3545919720494892E-3</v>
      </c>
      <c r="E728" s="168">
        <v>0</v>
      </c>
      <c r="F728" s="85" t="str">
        <v>CAT</v>
      </c>
      <c r="G728" s="179">
        <v>1.5690359790962263E-3</v>
      </c>
      <c r="H728" s="180">
        <v>2.4672804057197504E-3</v>
      </c>
      <c r="I728" s="180">
        <v>1.6046317611050844E-3</v>
      </c>
      <c r="J728" s="180">
        <v>4.5013491323716076E-3</v>
      </c>
      <c r="K728" s="180">
        <v>1.8532157140411887E-3</v>
      </c>
      <c r="L728" s="180">
        <v>2.2352946064681648E-3</v>
      </c>
      <c r="M728" s="180">
        <v>3.0429489894058951E-3</v>
      </c>
      <c r="N728" s="180">
        <v>1.6981712196612736E-3</v>
      </c>
      <c r="O728" s="180">
        <v>2.2046623152336968E-3</v>
      </c>
      <c r="P728" s="180">
        <v>2.3825247137119567E-3</v>
      </c>
      <c r="Q728" s="180">
        <v>1.0587514228509517E-3</v>
      </c>
      <c r="R728" s="180">
        <v>2.1554825858441308E-3</v>
      </c>
      <c r="S728" s="180">
        <v>2.3005603160952529E-3</v>
      </c>
      <c r="T728" s="180">
        <v>9.0633949973445221E-4</v>
      </c>
      <c r="U728" s="180">
        <v>2.011937601179676E-3</v>
      </c>
      <c r="V728" s="180">
        <v>6.586205973694774E-4</v>
      </c>
      <c r="W728" s="180">
        <v>1.2118483675212872E-3</v>
      </c>
      <c r="X728" s="180">
        <v>1.3778500117759705E-3</v>
      </c>
      <c r="Y728" s="180">
        <v>1.6454661341138513E-3</v>
      </c>
      <c r="Z728" s="180">
        <v>2.2842322526096018E-3</v>
      </c>
      <c r="AA728" s="180">
        <v>-1.1104731462091626E-4</v>
      </c>
      <c r="AB728" s="180">
        <v>7.9610645869862182E-4</v>
      </c>
      <c r="AC728" s="180">
        <v>4.9254664842985144E-4</v>
      </c>
      <c r="AD728" s="180">
        <v>7.8373416165496384E-4</v>
      </c>
      <c r="AE728" s="180">
        <v>2.1924453554447642E-3</v>
      </c>
      <c r="AF728" s="180">
        <v>6.8929109799853135E-4</v>
      </c>
      <c r="AG728" s="180">
        <v>1.4624027030174886E-3</v>
      </c>
      <c r="AH728" s="180">
        <v>-2.1581932882750213E-4</v>
      </c>
      <c r="AI728" s="181">
        <v>1.368945659107327E-3</v>
      </c>
    </row>
    <row r="729" spans="2:35" x14ac:dyDescent="0.25">
      <c r="B729" s="163" t="str">
        <f>'Market Data'!$B$21</f>
        <v>CSCO</v>
      </c>
      <c r="C729" s="160">
        <f>Statistics!$G$23</f>
        <v>1.4928779568119917E-2</v>
      </c>
      <c r="E729" s="168">
        <v>0</v>
      </c>
      <c r="F729" s="85" t="str">
        <v>CSCO</v>
      </c>
      <c r="G729" s="179">
        <v>2.3505409053430782E-3</v>
      </c>
      <c r="H729" s="180">
        <v>2.2861035048804129E-3</v>
      </c>
      <c r="I729" s="180">
        <v>2.1240240973260023E-3</v>
      </c>
      <c r="J729" s="180">
        <v>1.8532157140411887E-3</v>
      </c>
      <c r="K729" s="180">
        <v>4.2943797540477393E-3</v>
      </c>
      <c r="L729" s="180">
        <v>1.6495950515362169E-3</v>
      </c>
      <c r="M729" s="180">
        <v>3.7036865533827041E-3</v>
      </c>
      <c r="N729" s="180">
        <v>1.9090150380186609E-3</v>
      </c>
      <c r="O729" s="180">
        <v>2.0168425927536027E-3</v>
      </c>
      <c r="P729" s="180">
        <v>2.2177683830845976E-3</v>
      </c>
      <c r="Q729" s="180">
        <v>9.8504335267051509E-4</v>
      </c>
      <c r="R729" s="180">
        <v>2.2508292865696072E-3</v>
      </c>
      <c r="S729" s="180">
        <v>2.2625583672846289E-3</v>
      </c>
      <c r="T729" s="180">
        <v>1.1094225673998865E-3</v>
      </c>
      <c r="U729" s="180">
        <v>2.0831844183308271E-3</v>
      </c>
      <c r="V729" s="180">
        <v>1.0904984859812852E-3</v>
      </c>
      <c r="W729" s="180">
        <v>8.8656407550750189E-4</v>
      </c>
      <c r="X729" s="180">
        <v>1.6594658489014636E-3</v>
      </c>
      <c r="Y729" s="180">
        <v>1.2877752599161352E-3</v>
      </c>
      <c r="Z729" s="180">
        <v>2.1511833371391734E-3</v>
      </c>
      <c r="AA729" s="180">
        <v>7.2136303147440504E-4</v>
      </c>
      <c r="AB729" s="180">
        <v>1.5185012123350332E-3</v>
      </c>
      <c r="AC729" s="180">
        <v>1.0690588122897406E-3</v>
      </c>
      <c r="AD729" s="180">
        <v>1.0321561899434074E-3</v>
      </c>
      <c r="AE729" s="180">
        <v>2.0848208418056797E-3</v>
      </c>
      <c r="AF729" s="180">
        <v>5.9888719676582812E-4</v>
      </c>
      <c r="AG729" s="180">
        <v>2.8598074505702059E-3</v>
      </c>
      <c r="AH729" s="180">
        <v>3.2563207166723412E-4</v>
      </c>
      <c r="AI729" s="181">
        <v>1.3701802479257339E-3</v>
      </c>
    </row>
    <row r="730" spans="2:35" x14ac:dyDescent="0.25">
      <c r="B730" s="163" t="str">
        <f>'Market Data'!$B$22</f>
        <v>CVX</v>
      </c>
      <c r="C730" s="160">
        <f>Statistics!$G$24</f>
        <v>2.6845541907593424E-3</v>
      </c>
      <c r="E730" s="168">
        <v>0</v>
      </c>
      <c r="F730" s="85" t="str">
        <v>CVX</v>
      </c>
      <c r="G730" s="179">
        <v>1.1773098260505132E-3</v>
      </c>
      <c r="H730" s="180">
        <v>1.4106472819975181E-3</v>
      </c>
      <c r="I730" s="180">
        <v>1.3419066335272889E-3</v>
      </c>
      <c r="J730" s="180">
        <v>2.2352946064681648E-3</v>
      </c>
      <c r="K730" s="180">
        <v>1.6495950515362169E-3</v>
      </c>
      <c r="L730" s="180">
        <v>3.2764948408559465E-3</v>
      </c>
      <c r="M730" s="180">
        <v>2.8277959806832817E-3</v>
      </c>
      <c r="N730" s="180">
        <v>1.8200348202442435E-3</v>
      </c>
      <c r="O730" s="180">
        <v>2.0997855192430963E-3</v>
      </c>
      <c r="P730" s="180">
        <v>2.495859527554455E-3</v>
      </c>
      <c r="Q730" s="180">
        <v>7.9860489883547216E-4</v>
      </c>
      <c r="R730" s="180">
        <v>1.7099575851328929E-3</v>
      </c>
      <c r="S730" s="180">
        <v>1.762362573764028E-3</v>
      </c>
      <c r="T730" s="180">
        <v>1.0006982850928254E-3</v>
      </c>
      <c r="U730" s="180">
        <v>2.159640132817216E-3</v>
      </c>
      <c r="V730" s="180">
        <v>7.7350953916938299E-4</v>
      </c>
      <c r="W730" s="180">
        <v>1.2445101608031307E-3</v>
      </c>
      <c r="X730" s="180">
        <v>1.3396872809028706E-3</v>
      </c>
      <c r="Y730" s="180">
        <v>1.0548817345930506E-3</v>
      </c>
      <c r="Z730" s="180">
        <v>1.921523261676006E-3</v>
      </c>
      <c r="AA730" s="180">
        <v>-3.0145919518466895E-4</v>
      </c>
      <c r="AB730" s="180">
        <v>1.0966581694716135E-3</v>
      </c>
      <c r="AC730" s="180">
        <v>8.4385070363078498E-4</v>
      </c>
      <c r="AD730" s="180">
        <v>8.9699068571536217E-4</v>
      </c>
      <c r="AE730" s="180">
        <v>1.7655731333339048E-3</v>
      </c>
      <c r="AF730" s="180">
        <v>7.5916190680994219E-4</v>
      </c>
      <c r="AG730" s="180">
        <v>9.2897312946466114E-4</v>
      </c>
      <c r="AH730" s="180">
        <v>1.437380584121094E-4</v>
      </c>
      <c r="AI730" s="181">
        <v>1.9286286807754067E-3</v>
      </c>
    </row>
    <row r="731" spans="2:35" x14ac:dyDescent="0.25">
      <c r="B731" s="163" t="str">
        <f>'Market Data'!$B$23</f>
        <v>DD</v>
      </c>
      <c r="C731" s="160">
        <f>Statistics!$G$25</f>
        <v>1.7349865519574785E-2</v>
      </c>
      <c r="E731" s="168">
        <v>0</v>
      </c>
      <c r="F731" s="85" t="str">
        <v>DD</v>
      </c>
      <c r="G731" s="179">
        <v>2.5889638042653502E-3</v>
      </c>
      <c r="H731" s="180">
        <v>3.0070268955997704E-3</v>
      </c>
      <c r="I731" s="180">
        <v>3.1629198402818382E-3</v>
      </c>
      <c r="J731" s="180">
        <v>3.0429489894058951E-3</v>
      </c>
      <c r="K731" s="180">
        <v>3.7036865533827041E-3</v>
      </c>
      <c r="L731" s="180">
        <v>2.8277959806832817E-3</v>
      </c>
      <c r="M731" s="180">
        <v>7.2090294001774871E-3</v>
      </c>
      <c r="N731" s="180">
        <v>3.2246456006375726E-3</v>
      </c>
      <c r="O731" s="180">
        <v>3.2408092269649337E-3</v>
      </c>
      <c r="P731" s="180">
        <v>3.1194558916632768E-3</v>
      </c>
      <c r="Q731" s="180">
        <v>2.0138415935295195E-3</v>
      </c>
      <c r="R731" s="180">
        <v>2.4056181433013803E-3</v>
      </c>
      <c r="S731" s="180">
        <v>2.9333641814070907E-3</v>
      </c>
      <c r="T731" s="180">
        <v>1.7073269232421356E-3</v>
      </c>
      <c r="U731" s="180">
        <v>2.9403656750226037E-3</v>
      </c>
      <c r="V731" s="180">
        <v>1.3828838928124146E-3</v>
      </c>
      <c r="W731" s="180">
        <v>1.5566945864839937E-3</v>
      </c>
      <c r="X731" s="180">
        <v>2.4333011024343194E-3</v>
      </c>
      <c r="Y731" s="180">
        <v>2.1034755337789339E-3</v>
      </c>
      <c r="Z731" s="180">
        <v>3.4647817866697963E-3</v>
      </c>
      <c r="AA731" s="180">
        <v>1.371253710214986E-3</v>
      </c>
      <c r="AB731" s="180">
        <v>2.2541080192876768E-3</v>
      </c>
      <c r="AC731" s="180">
        <v>1.1783213677355128E-3</v>
      </c>
      <c r="AD731" s="180">
        <v>1.3915459916452729E-3</v>
      </c>
      <c r="AE731" s="180">
        <v>3.4844332298577191E-3</v>
      </c>
      <c r="AF731" s="180">
        <v>9.2727826439514978E-4</v>
      </c>
      <c r="AG731" s="180">
        <v>3.0677861856869904E-3</v>
      </c>
      <c r="AH731" s="180">
        <v>-2.3301122426120984E-5</v>
      </c>
      <c r="AI731" s="181">
        <v>2.1182301102402332E-3</v>
      </c>
    </row>
    <row r="732" spans="2:35" x14ac:dyDescent="0.25">
      <c r="B732" s="163" t="str">
        <f>'Market Data'!$B$24</f>
        <v>DIS</v>
      </c>
      <c r="C732" s="160">
        <f>Statistics!$G$26</f>
        <v>1.7109009470709015E-2</v>
      </c>
      <c r="E732" s="168">
        <v>0</v>
      </c>
      <c r="F732" s="85" t="str">
        <v>DIS</v>
      </c>
      <c r="G732" s="179">
        <v>1.366655807124157E-3</v>
      </c>
      <c r="H732" s="180">
        <v>1.9718583562846406E-3</v>
      </c>
      <c r="I732" s="180">
        <v>2.193611301570318E-3</v>
      </c>
      <c r="J732" s="180">
        <v>1.6981712196612736E-3</v>
      </c>
      <c r="K732" s="180">
        <v>1.9090150380186609E-3</v>
      </c>
      <c r="L732" s="180">
        <v>1.8200348202442435E-3</v>
      </c>
      <c r="M732" s="180">
        <v>3.2246456006375726E-3</v>
      </c>
      <c r="N732" s="180">
        <v>3.2225637954133132E-3</v>
      </c>
      <c r="O732" s="180">
        <v>1.7980110839806059E-3</v>
      </c>
      <c r="P732" s="180">
        <v>2.5910429203650125E-3</v>
      </c>
      <c r="Q732" s="180">
        <v>1.4438567521116873E-3</v>
      </c>
      <c r="R732" s="180">
        <v>1.2533920720746924E-3</v>
      </c>
      <c r="S732" s="180">
        <v>1.4872846501875279E-3</v>
      </c>
      <c r="T732" s="180">
        <v>7.6090581351824873E-4</v>
      </c>
      <c r="U732" s="180">
        <v>2.3150492241015347E-3</v>
      </c>
      <c r="V732" s="180">
        <v>7.3157249166013263E-4</v>
      </c>
      <c r="W732" s="180">
        <v>1.0434476997331528E-3</v>
      </c>
      <c r="X732" s="180">
        <v>1.3935802423237448E-3</v>
      </c>
      <c r="Y732" s="180">
        <v>1.1180874248259017E-3</v>
      </c>
      <c r="Z732" s="180">
        <v>1.7514488094562146E-3</v>
      </c>
      <c r="AA732" s="180">
        <v>1.1713887062549742E-3</v>
      </c>
      <c r="AB732" s="180">
        <v>1.4909638464124207E-3</v>
      </c>
      <c r="AC732" s="180">
        <v>6.6920552953337459E-4</v>
      </c>
      <c r="AD732" s="180">
        <v>9.9320622386439117E-4</v>
      </c>
      <c r="AE732" s="180">
        <v>1.6618009644053405E-3</v>
      </c>
      <c r="AF732" s="180">
        <v>5.8624704841600517E-4</v>
      </c>
      <c r="AG732" s="180">
        <v>2.2204011828610088E-3</v>
      </c>
      <c r="AH732" s="180">
        <v>-1.1672694641114529E-4</v>
      </c>
      <c r="AI732" s="181">
        <v>1.3292278052638991E-3</v>
      </c>
    </row>
    <row r="733" spans="2:35" x14ac:dyDescent="0.25">
      <c r="B733" s="163" t="str">
        <f>'Market Data'!$B$25</f>
        <v>GE</v>
      </c>
      <c r="C733" s="160">
        <f>Statistics!$G$27</f>
        <v>9.2719197536449416E-3</v>
      </c>
      <c r="E733" s="168">
        <v>0</v>
      </c>
      <c r="F733" s="85" t="str">
        <v>GE</v>
      </c>
      <c r="G733" s="179">
        <v>1.5698375611055285E-3</v>
      </c>
      <c r="H733" s="180">
        <v>1.6460552176854309E-3</v>
      </c>
      <c r="I733" s="180">
        <v>1.7334051959416068E-3</v>
      </c>
      <c r="J733" s="180">
        <v>2.2046623152336968E-3</v>
      </c>
      <c r="K733" s="180">
        <v>2.0168425927536027E-3</v>
      </c>
      <c r="L733" s="180">
        <v>2.0997855192430963E-3</v>
      </c>
      <c r="M733" s="180">
        <v>3.2408092269649337E-3</v>
      </c>
      <c r="N733" s="180">
        <v>1.7980110839806059E-3</v>
      </c>
      <c r="O733" s="180">
        <v>2.8739818723832944E-3</v>
      </c>
      <c r="P733" s="180">
        <v>2.2255962061739098E-3</v>
      </c>
      <c r="Q733" s="180">
        <v>1.1779071347684854E-3</v>
      </c>
      <c r="R733" s="180">
        <v>1.4606469135339543E-3</v>
      </c>
      <c r="S733" s="180">
        <v>1.8413857882482649E-3</v>
      </c>
      <c r="T733" s="180">
        <v>1.1338883047798758E-3</v>
      </c>
      <c r="U733" s="180">
        <v>1.9825602222543746E-3</v>
      </c>
      <c r="V733" s="180">
        <v>1.0900315820250495E-3</v>
      </c>
      <c r="W733" s="180">
        <v>1.4080437366372094E-3</v>
      </c>
      <c r="X733" s="180">
        <v>1.6476299492810176E-3</v>
      </c>
      <c r="Y733" s="180">
        <v>7.4080885300837902E-4</v>
      </c>
      <c r="Z733" s="180">
        <v>2.1782812682115105E-3</v>
      </c>
      <c r="AA733" s="180">
        <v>6.8149888740689005E-4</v>
      </c>
      <c r="AB733" s="180">
        <v>1.1596920910434683E-3</v>
      </c>
      <c r="AC733" s="180">
        <v>8.669689440805547E-4</v>
      </c>
      <c r="AD733" s="180">
        <v>6.9406421327386882E-4</v>
      </c>
      <c r="AE733" s="180">
        <v>1.9210155408337607E-3</v>
      </c>
      <c r="AF733" s="180">
        <v>1.0256274934399997E-3</v>
      </c>
      <c r="AG733" s="180">
        <v>1.7646874198991678E-3</v>
      </c>
      <c r="AH733" s="180">
        <v>3.1986346053900631E-5</v>
      </c>
      <c r="AI733" s="181">
        <v>1.6264073394302158E-3</v>
      </c>
    </row>
    <row r="734" spans="2:35" x14ac:dyDescent="0.25">
      <c r="B734" s="163" t="str">
        <f>'Market Data'!$B$26</f>
        <v>GS</v>
      </c>
      <c r="C734" s="160">
        <f>Statistics!$G$28</f>
        <v>1.2775975133106521E-2</v>
      </c>
      <c r="E734" s="168">
        <v>0</v>
      </c>
      <c r="F734" s="85" t="str">
        <v>GS</v>
      </c>
      <c r="G734" s="179">
        <v>1.8109156333145874E-3</v>
      </c>
      <c r="H734" s="180">
        <v>3.1197862990926528E-3</v>
      </c>
      <c r="I734" s="180">
        <v>2.2391121271409182E-3</v>
      </c>
      <c r="J734" s="180">
        <v>2.3825247137119567E-3</v>
      </c>
      <c r="K734" s="180">
        <v>2.2177683830845976E-3</v>
      </c>
      <c r="L734" s="180">
        <v>2.495859527554455E-3</v>
      </c>
      <c r="M734" s="180">
        <v>3.1194558916632768E-3</v>
      </c>
      <c r="N734" s="180">
        <v>2.5910429203650125E-3</v>
      </c>
      <c r="O734" s="180">
        <v>2.2255962061739098E-3</v>
      </c>
      <c r="P734" s="180">
        <v>4.8815099105356504E-3</v>
      </c>
      <c r="Q734" s="180">
        <v>1.5442152510598698E-3</v>
      </c>
      <c r="R734" s="180">
        <v>2.2308798805711167E-3</v>
      </c>
      <c r="S734" s="180">
        <v>1.7997270101458302E-3</v>
      </c>
      <c r="T734" s="180">
        <v>7.4857834611503948E-4</v>
      </c>
      <c r="U734" s="180">
        <v>3.8267678235899111E-3</v>
      </c>
      <c r="V734" s="180">
        <v>5.0884399749192373E-4</v>
      </c>
      <c r="W734" s="180">
        <v>1.1844149472533348E-3</v>
      </c>
      <c r="X734" s="180">
        <v>1.5580261625844892E-3</v>
      </c>
      <c r="Y734" s="180">
        <v>9.5059394038900442E-4</v>
      </c>
      <c r="Z734" s="180">
        <v>1.9881521509949444E-3</v>
      </c>
      <c r="AA734" s="180">
        <v>9.2810945195530823E-4</v>
      </c>
      <c r="AB734" s="180">
        <v>1.2974763649140325E-3</v>
      </c>
      <c r="AC734" s="180">
        <v>6.8796273406052837E-4</v>
      </c>
      <c r="AD734" s="180">
        <v>1.248419321363809E-3</v>
      </c>
      <c r="AE734" s="180">
        <v>2.1674424403236793E-3</v>
      </c>
      <c r="AF734" s="180">
        <v>3.7523862948950627E-4</v>
      </c>
      <c r="AG734" s="180">
        <v>2.0541307067505868E-3</v>
      </c>
      <c r="AH734" s="180">
        <v>-5.4295264980806504E-5</v>
      </c>
      <c r="AI734" s="181">
        <v>1.4387650786059658E-3</v>
      </c>
    </row>
    <row r="735" spans="2:35" x14ac:dyDescent="0.25">
      <c r="B735" s="163" t="str">
        <f>'Market Data'!$B$27</f>
        <v>HD</v>
      </c>
      <c r="C735" s="160">
        <f>Statistics!$G$29</f>
        <v>1.8352985528230569E-2</v>
      </c>
      <c r="E735" s="168">
        <v>0.10583100891915602</v>
      </c>
      <c r="F735" s="85" t="str">
        <v>HD</v>
      </c>
      <c r="G735" s="179">
        <v>9.8639311096076088E-4</v>
      </c>
      <c r="H735" s="180">
        <v>1.285962047454306E-3</v>
      </c>
      <c r="I735" s="180">
        <v>1.2911501083222776E-3</v>
      </c>
      <c r="J735" s="180">
        <v>1.0587514228509517E-3</v>
      </c>
      <c r="K735" s="180">
        <v>9.8504335267051509E-4</v>
      </c>
      <c r="L735" s="180">
        <v>7.9860489883547216E-4</v>
      </c>
      <c r="M735" s="180">
        <v>2.0138415935295195E-3</v>
      </c>
      <c r="N735" s="180">
        <v>1.4438567521116873E-3</v>
      </c>
      <c r="O735" s="180">
        <v>1.1779071347684854E-3</v>
      </c>
      <c r="P735" s="180">
        <v>1.5442152510598698E-3</v>
      </c>
      <c r="Q735" s="180">
        <v>1.8880219117441428E-3</v>
      </c>
      <c r="R735" s="180">
        <v>9.3173966010624539E-4</v>
      </c>
      <c r="S735" s="180">
        <v>9.2701062278089308E-4</v>
      </c>
      <c r="T735" s="180">
        <v>6.2481040103688149E-4</v>
      </c>
      <c r="U735" s="180">
        <v>1.4284505514434026E-3</v>
      </c>
      <c r="V735" s="180">
        <v>5.5799413673053339E-4</v>
      </c>
      <c r="W735" s="180">
        <v>7.381374461617429E-4</v>
      </c>
      <c r="X735" s="180">
        <v>1.0633975936011025E-3</v>
      </c>
      <c r="Y735" s="180">
        <v>7.161428946835201E-4</v>
      </c>
      <c r="Z735" s="180">
        <v>1.0017697174583111E-3</v>
      </c>
      <c r="AA735" s="180">
        <v>7.3578315539153108E-4</v>
      </c>
      <c r="AB735" s="180">
        <v>8.5234066580948517E-4</v>
      </c>
      <c r="AC735" s="180">
        <v>4.7474349038820928E-4</v>
      </c>
      <c r="AD735" s="180">
        <v>6.4915062582396636E-4</v>
      </c>
      <c r="AE735" s="180">
        <v>1.2386809813748902E-3</v>
      </c>
      <c r="AF735" s="180">
        <v>1.1189073531181803E-4</v>
      </c>
      <c r="AG735" s="180">
        <v>1.2055891827737501E-3</v>
      </c>
      <c r="AH735" s="180">
        <v>1.9815526434870993E-4</v>
      </c>
      <c r="AI735" s="181">
        <v>5.7016164369997474E-4</v>
      </c>
    </row>
    <row r="736" spans="2:35" x14ac:dyDescent="0.25">
      <c r="B736" s="163" t="str">
        <f>'Market Data'!$B$28</f>
        <v>IBM</v>
      </c>
      <c r="C736" s="160">
        <f>Statistics!$G$30</f>
        <v>-1.0805706759468385E-4</v>
      </c>
      <c r="E736" s="168">
        <v>0</v>
      </c>
      <c r="F736" s="85" t="str">
        <v>IBM</v>
      </c>
      <c r="G736" s="179">
        <v>1.7737023799007877E-3</v>
      </c>
      <c r="H736" s="180">
        <v>1.960684724858895E-3</v>
      </c>
      <c r="I736" s="180">
        <v>1.1336433634722555E-3</v>
      </c>
      <c r="J736" s="180">
        <v>2.1554825858441308E-3</v>
      </c>
      <c r="K736" s="180">
        <v>2.2508292865696072E-3</v>
      </c>
      <c r="L736" s="180">
        <v>1.7099575851328929E-3</v>
      </c>
      <c r="M736" s="180">
        <v>2.4056181433013803E-3</v>
      </c>
      <c r="N736" s="180">
        <v>1.2533920720746924E-3</v>
      </c>
      <c r="O736" s="180">
        <v>1.4606469135339543E-3</v>
      </c>
      <c r="P736" s="180">
        <v>2.2308798805711167E-3</v>
      </c>
      <c r="Q736" s="180">
        <v>9.3173966010624539E-4</v>
      </c>
      <c r="R736" s="180">
        <v>3.3622126456479009E-3</v>
      </c>
      <c r="S736" s="180">
        <v>1.4043690490920693E-3</v>
      </c>
      <c r="T736" s="180">
        <v>5.9347717242683358E-4</v>
      </c>
      <c r="U736" s="180">
        <v>2.0888390371824788E-3</v>
      </c>
      <c r="V736" s="180">
        <v>5.7019303114958723E-4</v>
      </c>
      <c r="W736" s="180">
        <v>5.4513263389601688E-4</v>
      </c>
      <c r="X736" s="180">
        <v>1.0275296737018624E-3</v>
      </c>
      <c r="Y736" s="180">
        <v>1.0097860441379664E-3</v>
      </c>
      <c r="Z736" s="180">
        <v>1.4353906099659559E-3</v>
      </c>
      <c r="AA736" s="180">
        <v>1.3757321359017424E-4</v>
      </c>
      <c r="AB736" s="180">
        <v>7.9545047293496068E-4</v>
      </c>
      <c r="AC736" s="180">
        <v>5.5361049131124631E-4</v>
      </c>
      <c r="AD736" s="180">
        <v>8.8298395118505178E-4</v>
      </c>
      <c r="AE736" s="180">
        <v>1.5169272523521361E-3</v>
      </c>
      <c r="AF736" s="180">
        <v>2.033685246020378E-4</v>
      </c>
      <c r="AG736" s="180">
        <v>1.2306885914741903E-3</v>
      </c>
      <c r="AH736" s="180">
        <v>3.7610030291999273E-4</v>
      </c>
      <c r="AI736" s="181">
        <v>1.0970123689928199E-3</v>
      </c>
    </row>
    <row r="737" spans="2:35" x14ac:dyDescent="0.25">
      <c r="B737" s="163" t="str">
        <f>'Market Data'!$B$29</f>
        <v>INTC</v>
      </c>
      <c r="C737" s="160">
        <f>Statistics!$G$31</f>
        <v>1.4825313209679855E-2</v>
      </c>
      <c r="E737" s="168">
        <v>0</v>
      </c>
      <c r="F737" s="85" t="str">
        <v>INTC</v>
      </c>
      <c r="G737" s="179">
        <v>1.6293191413582805E-3</v>
      </c>
      <c r="H737" s="180">
        <v>2.0715314739138896E-3</v>
      </c>
      <c r="I737" s="180">
        <v>1.485647562986758E-3</v>
      </c>
      <c r="J737" s="180">
        <v>2.3005603160952529E-3</v>
      </c>
      <c r="K737" s="180">
        <v>2.2625583672846289E-3</v>
      </c>
      <c r="L737" s="180">
        <v>1.762362573764028E-3</v>
      </c>
      <c r="M737" s="180">
        <v>2.9333641814070907E-3</v>
      </c>
      <c r="N737" s="180">
        <v>1.4872846501875279E-3</v>
      </c>
      <c r="O737" s="180">
        <v>1.8413857882482649E-3</v>
      </c>
      <c r="P737" s="180">
        <v>1.7997270101458302E-3</v>
      </c>
      <c r="Q737" s="180">
        <v>9.2701062278089308E-4</v>
      </c>
      <c r="R737" s="180">
        <v>1.4043690490920693E-3</v>
      </c>
      <c r="S737" s="180">
        <v>3.8953291630483993E-3</v>
      </c>
      <c r="T737" s="180">
        <v>8.7155825849789608E-4</v>
      </c>
      <c r="U737" s="180">
        <v>1.6338310266769979E-3</v>
      </c>
      <c r="V737" s="180">
        <v>1.1107691361801554E-3</v>
      </c>
      <c r="W737" s="180">
        <v>9.1762089354393737E-4</v>
      </c>
      <c r="X737" s="180">
        <v>1.3291856750406272E-3</v>
      </c>
      <c r="Y737" s="180">
        <v>1.2481991200788169E-3</v>
      </c>
      <c r="Z737" s="180">
        <v>2.824290151917595E-3</v>
      </c>
      <c r="AA737" s="180">
        <v>5.7515792739731505E-4</v>
      </c>
      <c r="AB737" s="180">
        <v>9.9184976149502301E-4</v>
      </c>
      <c r="AC737" s="180">
        <v>7.9168442412031782E-4</v>
      </c>
      <c r="AD737" s="180">
        <v>5.6633014876153942E-4</v>
      </c>
      <c r="AE737" s="180">
        <v>1.2132957377483657E-3</v>
      </c>
      <c r="AF737" s="180">
        <v>8.2166255763751334E-4</v>
      </c>
      <c r="AG737" s="180">
        <v>1.8678530672680304E-3</v>
      </c>
      <c r="AH737" s="180">
        <v>-1.8556188989019865E-5</v>
      </c>
      <c r="AI737" s="181">
        <v>1.0791409093812321E-3</v>
      </c>
    </row>
    <row r="738" spans="2:35" x14ac:dyDescent="0.25">
      <c r="B738" s="163" t="str">
        <f>'Market Data'!$B$30</f>
        <v>JNJ</v>
      </c>
      <c r="C738" s="160">
        <f>Statistics!$G$32</f>
        <v>1.2075919577819831E-2</v>
      </c>
      <c r="E738" s="168">
        <v>7.3676561040445454E-2</v>
      </c>
      <c r="F738" s="85" t="str">
        <v>JNJ</v>
      </c>
      <c r="G738" s="179">
        <v>8.2631268301744008E-4</v>
      </c>
      <c r="H738" s="180">
        <v>7.3945969222275051E-4</v>
      </c>
      <c r="I738" s="180">
        <v>7.7470388279684329E-4</v>
      </c>
      <c r="J738" s="180">
        <v>9.0633949973445221E-4</v>
      </c>
      <c r="K738" s="180">
        <v>1.1094225673998865E-3</v>
      </c>
      <c r="L738" s="180">
        <v>1.0006982850928254E-3</v>
      </c>
      <c r="M738" s="180">
        <v>1.7073269232421356E-3</v>
      </c>
      <c r="N738" s="180">
        <v>7.6090581351824873E-4</v>
      </c>
      <c r="O738" s="180">
        <v>1.1338883047798758E-3</v>
      </c>
      <c r="P738" s="180">
        <v>7.4857834611503948E-4</v>
      </c>
      <c r="Q738" s="180">
        <v>6.2481040103688149E-4</v>
      </c>
      <c r="R738" s="180">
        <v>5.9347717242683358E-4</v>
      </c>
      <c r="S738" s="180">
        <v>8.7155825849789608E-4</v>
      </c>
      <c r="T738" s="180">
        <v>1.3437205064186324E-3</v>
      </c>
      <c r="U738" s="180">
        <v>9.2330996350035955E-4</v>
      </c>
      <c r="V738" s="180">
        <v>8.0248592661524116E-4</v>
      </c>
      <c r="W738" s="180">
        <v>7.2064842002941051E-4</v>
      </c>
      <c r="X738" s="180">
        <v>9.1647163555960687E-4</v>
      </c>
      <c r="Y738" s="180">
        <v>7.8932636294384688E-4</v>
      </c>
      <c r="Z738" s="180">
        <v>8.3950208317612799E-4</v>
      </c>
      <c r="AA738" s="180">
        <v>2.4076387457302071E-4</v>
      </c>
      <c r="AB738" s="180">
        <v>1.174922395291398E-3</v>
      </c>
      <c r="AC738" s="180">
        <v>7.8676359672877393E-4</v>
      </c>
      <c r="AD738" s="180">
        <v>4.4624886795118808E-4</v>
      </c>
      <c r="AE738" s="180">
        <v>1.0117367356107026E-3</v>
      </c>
      <c r="AF738" s="180">
        <v>7.3214708969514145E-4</v>
      </c>
      <c r="AG738" s="180">
        <v>8.2747273857601913E-4</v>
      </c>
      <c r="AH738" s="180">
        <v>7.1470891411086447E-4</v>
      </c>
      <c r="AI738" s="181">
        <v>7.4627799983375924E-4</v>
      </c>
    </row>
    <row r="739" spans="2:35" x14ac:dyDescent="0.25">
      <c r="B739" s="163" t="str">
        <f>'Market Data'!$B$31</f>
        <v>JPM</v>
      </c>
      <c r="C739" s="160">
        <f>Statistics!$G$33</f>
        <v>1.7183196749963128E-2</v>
      </c>
      <c r="E739" s="168">
        <v>0</v>
      </c>
      <c r="F739" s="85" t="str">
        <v>JPM</v>
      </c>
      <c r="G739" s="179">
        <v>1.2529926248616137E-3</v>
      </c>
      <c r="H739" s="180">
        <v>2.7840355446374721E-3</v>
      </c>
      <c r="I739" s="180">
        <v>1.8054441283061249E-3</v>
      </c>
      <c r="J739" s="180">
        <v>2.011937601179676E-3</v>
      </c>
      <c r="K739" s="180">
        <v>2.0831844183308271E-3</v>
      </c>
      <c r="L739" s="180">
        <v>2.159640132817216E-3</v>
      </c>
      <c r="M739" s="180">
        <v>2.9403656750226037E-3</v>
      </c>
      <c r="N739" s="180">
        <v>2.3150492241015347E-3</v>
      </c>
      <c r="O739" s="180">
        <v>1.9825602222543746E-3</v>
      </c>
      <c r="P739" s="180">
        <v>3.8267678235899111E-3</v>
      </c>
      <c r="Q739" s="180">
        <v>1.4284505514434026E-3</v>
      </c>
      <c r="R739" s="180">
        <v>2.0888390371824788E-3</v>
      </c>
      <c r="S739" s="180">
        <v>1.6338310266769979E-3</v>
      </c>
      <c r="T739" s="180">
        <v>9.2330996350035955E-4</v>
      </c>
      <c r="U739" s="180">
        <v>3.6504820104783621E-3</v>
      </c>
      <c r="V739" s="180">
        <v>6.292727988425526E-4</v>
      </c>
      <c r="W739" s="180">
        <v>1.135373183104091E-3</v>
      </c>
      <c r="X739" s="180">
        <v>1.3229022331511452E-3</v>
      </c>
      <c r="Y739" s="180">
        <v>9.9035410413519649E-4</v>
      </c>
      <c r="Z739" s="180">
        <v>2.1029083027690664E-3</v>
      </c>
      <c r="AA739" s="180">
        <v>6.7839144071882979E-4</v>
      </c>
      <c r="AB739" s="180">
        <v>1.3592270505613203E-3</v>
      </c>
      <c r="AC739" s="180">
        <v>7.2953612857905574E-4</v>
      </c>
      <c r="AD739" s="180">
        <v>1.2617149248905092E-3</v>
      </c>
      <c r="AE739" s="180">
        <v>1.8453743354725578E-3</v>
      </c>
      <c r="AF739" s="180">
        <v>3.9836144643633019E-4</v>
      </c>
      <c r="AG739" s="180">
        <v>1.9463933682734615E-3</v>
      </c>
      <c r="AH739" s="180">
        <v>7.503242005510376E-5</v>
      </c>
      <c r="AI739" s="181">
        <v>1.3958094738143344E-3</v>
      </c>
    </row>
    <row r="740" spans="2:35" x14ac:dyDescent="0.25">
      <c r="B740" s="163" t="str">
        <f>'Market Data'!$B$32</f>
        <v>KO</v>
      </c>
      <c r="C740" s="160">
        <f>Statistics!$G$34</f>
        <v>4.1810541872704362E-3</v>
      </c>
      <c r="E740" s="168">
        <v>0</v>
      </c>
      <c r="F740" s="85" t="str">
        <v>KO</v>
      </c>
      <c r="G740" s="179">
        <v>9.6129190129553134E-4</v>
      </c>
      <c r="H740" s="180">
        <v>5.6369017954212687E-4</v>
      </c>
      <c r="I740" s="180">
        <v>9.7196182882881919E-4</v>
      </c>
      <c r="J740" s="180">
        <v>6.586205973694774E-4</v>
      </c>
      <c r="K740" s="180">
        <v>1.0904984859812852E-3</v>
      </c>
      <c r="L740" s="180">
        <v>7.7350953916938299E-4</v>
      </c>
      <c r="M740" s="180">
        <v>1.3828838928124146E-3</v>
      </c>
      <c r="N740" s="180">
        <v>7.3157249166013263E-4</v>
      </c>
      <c r="O740" s="180">
        <v>1.0900315820250495E-3</v>
      </c>
      <c r="P740" s="180">
        <v>5.0884399749192373E-4</v>
      </c>
      <c r="Q740" s="180">
        <v>5.5799413673053339E-4</v>
      </c>
      <c r="R740" s="180">
        <v>5.7019303114958723E-4</v>
      </c>
      <c r="S740" s="180">
        <v>1.1107691361801554E-3</v>
      </c>
      <c r="T740" s="180">
        <v>8.0248592661524116E-4</v>
      </c>
      <c r="U740" s="180">
        <v>6.292727988425526E-4</v>
      </c>
      <c r="V740" s="180">
        <v>1.2210270669043683E-3</v>
      </c>
      <c r="W740" s="180">
        <v>7.9000312454904529E-4</v>
      </c>
      <c r="X740" s="180">
        <v>6.5400026561614926E-4</v>
      </c>
      <c r="Y740" s="180">
        <v>5.6925923112739025E-4</v>
      </c>
      <c r="Z740" s="180">
        <v>1.0711085481253278E-3</v>
      </c>
      <c r="AA740" s="180">
        <v>4.3589033448327737E-4</v>
      </c>
      <c r="AB740" s="180">
        <v>6.3614560547018231E-4</v>
      </c>
      <c r="AC740" s="180">
        <v>6.5740070509151668E-4</v>
      </c>
      <c r="AD740" s="180">
        <v>1.2737483924284157E-4</v>
      </c>
      <c r="AE740" s="180">
        <v>5.7087013169956707E-4</v>
      </c>
      <c r="AF740" s="180">
        <v>4.9096142938173941E-4</v>
      </c>
      <c r="AG740" s="180">
        <v>9.4999344105865064E-4</v>
      </c>
      <c r="AH740" s="180">
        <v>6.4703627119224946E-4</v>
      </c>
      <c r="AI740" s="181">
        <v>5.1805651820066112E-4</v>
      </c>
    </row>
    <row r="741" spans="2:35" x14ac:dyDescent="0.25">
      <c r="B741" s="163" t="str">
        <f>'Market Data'!$B$33</f>
        <v>MCD</v>
      </c>
      <c r="C741" s="160">
        <f>Statistics!$G$35</f>
        <v>8.998422120903465E-3</v>
      </c>
      <c r="E741" s="168">
        <v>0</v>
      </c>
      <c r="F741" s="85" t="str">
        <v>MCD</v>
      </c>
      <c r="G741" s="179">
        <v>4.3723596630614248E-4</v>
      </c>
      <c r="H741" s="180">
        <v>5.9016175595858627E-4</v>
      </c>
      <c r="I741" s="180">
        <v>1.004575731683145E-3</v>
      </c>
      <c r="J741" s="180">
        <v>1.2118483675212872E-3</v>
      </c>
      <c r="K741" s="180">
        <v>8.8656407550750189E-4</v>
      </c>
      <c r="L741" s="180">
        <v>1.2445101608031307E-3</v>
      </c>
      <c r="M741" s="180">
        <v>1.5566945864839937E-3</v>
      </c>
      <c r="N741" s="180">
        <v>1.0434476997331528E-3</v>
      </c>
      <c r="O741" s="180">
        <v>1.4080437366372094E-3</v>
      </c>
      <c r="P741" s="180">
        <v>1.1844149472533348E-3</v>
      </c>
      <c r="Q741" s="180">
        <v>7.381374461617429E-4</v>
      </c>
      <c r="R741" s="180">
        <v>5.4513263389601688E-4</v>
      </c>
      <c r="S741" s="180">
        <v>9.1762089354393737E-4</v>
      </c>
      <c r="T741" s="180">
        <v>7.2064842002941051E-4</v>
      </c>
      <c r="U741" s="180">
        <v>1.135373183104091E-3</v>
      </c>
      <c r="V741" s="180">
        <v>7.9000312454904529E-4</v>
      </c>
      <c r="W741" s="180">
        <v>1.7650690545216805E-3</v>
      </c>
      <c r="X741" s="180">
        <v>7.9590651205676567E-4</v>
      </c>
      <c r="Y741" s="180">
        <v>5.886623345512683E-4</v>
      </c>
      <c r="Z741" s="180">
        <v>1.2284698745461862E-3</v>
      </c>
      <c r="AA741" s="180">
        <v>4.3355644868225306E-4</v>
      </c>
      <c r="AB741" s="180">
        <v>9.4939047744066322E-4</v>
      </c>
      <c r="AC741" s="180">
        <v>4.0611550084338323E-4</v>
      </c>
      <c r="AD741" s="180">
        <v>3.5874031329227935E-4</v>
      </c>
      <c r="AE741" s="180">
        <v>8.7888532505727346E-4</v>
      </c>
      <c r="AF741" s="180">
        <v>6.7734327840461236E-4</v>
      </c>
      <c r="AG741" s="180">
        <v>1.0020182531469391E-3</v>
      </c>
      <c r="AH741" s="180">
        <v>4.237060092283065E-5</v>
      </c>
      <c r="AI741" s="181">
        <v>6.6389606634421081E-4</v>
      </c>
    </row>
    <row r="742" spans="2:35" x14ac:dyDescent="0.25">
      <c r="B742" s="163" t="str">
        <f>'Market Data'!$B$34</f>
        <v>MMM</v>
      </c>
      <c r="C742" s="160">
        <f>Statistics!$G$36</f>
        <v>1.5280500930100561E-2</v>
      </c>
      <c r="E742" s="168">
        <v>0</v>
      </c>
      <c r="F742" s="85" t="str">
        <v>MMM</v>
      </c>
      <c r="G742" s="179">
        <v>1.6042263123932821E-3</v>
      </c>
      <c r="H742" s="180">
        <v>1.3680882736390085E-3</v>
      </c>
      <c r="I742" s="180">
        <v>1.220072170107771E-3</v>
      </c>
      <c r="J742" s="180">
        <v>1.3778500117759705E-3</v>
      </c>
      <c r="K742" s="180">
        <v>1.6594658489014636E-3</v>
      </c>
      <c r="L742" s="180">
        <v>1.3396872809028706E-3</v>
      </c>
      <c r="M742" s="180">
        <v>2.4333011024343194E-3</v>
      </c>
      <c r="N742" s="180">
        <v>1.3935802423237448E-3</v>
      </c>
      <c r="O742" s="180">
        <v>1.6476299492810176E-3</v>
      </c>
      <c r="P742" s="180">
        <v>1.5580261625844892E-3</v>
      </c>
      <c r="Q742" s="180">
        <v>1.0633975936011025E-3</v>
      </c>
      <c r="R742" s="180">
        <v>1.0275296737018624E-3</v>
      </c>
      <c r="S742" s="180">
        <v>1.3291856750406272E-3</v>
      </c>
      <c r="T742" s="180">
        <v>9.1647163555960687E-4</v>
      </c>
      <c r="U742" s="180">
        <v>1.3229022331511452E-3</v>
      </c>
      <c r="V742" s="180">
        <v>6.5400026561614926E-4</v>
      </c>
      <c r="W742" s="180">
        <v>7.9590651205676567E-4</v>
      </c>
      <c r="X742" s="180">
        <v>1.9007159701372343E-3</v>
      </c>
      <c r="Y742" s="180">
        <v>9.3087542856500223E-4</v>
      </c>
      <c r="Z742" s="180">
        <v>9.5021437706372129E-4</v>
      </c>
      <c r="AA742" s="180">
        <v>7.5220949128439868E-4</v>
      </c>
      <c r="AB742" s="180">
        <v>1.1108584905280188E-3</v>
      </c>
      <c r="AC742" s="180">
        <v>7.8023777188204919E-4</v>
      </c>
      <c r="AD742" s="180">
        <v>9.8369986573183495E-4</v>
      </c>
      <c r="AE742" s="180">
        <v>1.8471574472775569E-3</v>
      </c>
      <c r="AF742" s="180">
        <v>5.9539589470078522E-4</v>
      </c>
      <c r="AG742" s="180">
        <v>1.59984129324471E-3</v>
      </c>
      <c r="AH742" s="180">
        <v>4.5051539698961655E-4</v>
      </c>
      <c r="AI742" s="181">
        <v>1.2697174541958882E-3</v>
      </c>
    </row>
    <row r="743" spans="2:35" x14ac:dyDescent="0.25">
      <c r="B743" s="163" t="str">
        <f>'Market Data'!$B$35</f>
        <v>MRK</v>
      </c>
      <c r="C743" s="160">
        <f>Statistics!$G$37</f>
        <v>1.1473476041634185E-2</v>
      </c>
      <c r="E743" s="168">
        <v>0</v>
      </c>
      <c r="F743" s="85" t="str">
        <v>MRK</v>
      </c>
      <c r="G743" s="179">
        <v>6.6280896407091964E-4</v>
      </c>
      <c r="H743" s="180">
        <v>9.5675499919051471E-4</v>
      </c>
      <c r="I743" s="180">
        <v>1.3506721993334096E-3</v>
      </c>
      <c r="J743" s="180">
        <v>1.6454661341138513E-3</v>
      </c>
      <c r="K743" s="180">
        <v>1.2877752599161352E-3</v>
      </c>
      <c r="L743" s="180">
        <v>1.0548817345930506E-3</v>
      </c>
      <c r="M743" s="180">
        <v>2.1034755337789339E-3</v>
      </c>
      <c r="N743" s="180">
        <v>1.1180874248259017E-3</v>
      </c>
      <c r="O743" s="180">
        <v>7.4080885300837902E-4</v>
      </c>
      <c r="P743" s="180">
        <v>9.5059394038900442E-4</v>
      </c>
      <c r="Q743" s="180">
        <v>7.161428946835201E-4</v>
      </c>
      <c r="R743" s="180">
        <v>1.0097860441379664E-3</v>
      </c>
      <c r="S743" s="180">
        <v>1.2481991200788169E-3</v>
      </c>
      <c r="T743" s="180">
        <v>7.8932636294384688E-4</v>
      </c>
      <c r="U743" s="180">
        <v>9.9035410413519649E-4</v>
      </c>
      <c r="V743" s="180">
        <v>5.6925923112739025E-4</v>
      </c>
      <c r="W743" s="180">
        <v>5.886623345512683E-4</v>
      </c>
      <c r="X743" s="180">
        <v>9.3087542856500223E-4</v>
      </c>
      <c r="Y743" s="180">
        <v>2.5431403633519077E-3</v>
      </c>
      <c r="Z743" s="180">
        <v>1.0039618395335291E-3</v>
      </c>
      <c r="AA743" s="180">
        <v>3.4083858597475385E-4</v>
      </c>
      <c r="AB743" s="180">
        <v>1.3412346285691251E-3</v>
      </c>
      <c r="AC743" s="180">
        <v>3.7529952314904947E-4</v>
      </c>
      <c r="AD743" s="180">
        <v>8.5985137540516086E-4</v>
      </c>
      <c r="AE743" s="180">
        <v>1.4646144344401168E-3</v>
      </c>
      <c r="AF743" s="180">
        <v>3.3006228708408361E-4</v>
      </c>
      <c r="AG743" s="180">
        <v>1.1984054366898813E-3</v>
      </c>
      <c r="AH743" s="180">
        <v>4.389896882024129E-4</v>
      </c>
      <c r="AI743" s="181">
        <v>5.8214330295854532E-4</v>
      </c>
    </row>
    <row r="744" spans="2:35" x14ac:dyDescent="0.25">
      <c r="B744" s="163" t="str">
        <f>'Market Data'!$B$36</f>
        <v>MSFT</v>
      </c>
      <c r="C744" s="160">
        <f>Statistics!$G$38</f>
        <v>2.1777833497491961E-2</v>
      </c>
      <c r="E744" s="168">
        <v>0.10316367949975949</v>
      </c>
      <c r="F744" s="85" t="str">
        <v>MSFT</v>
      </c>
      <c r="G744" s="179">
        <v>1.7656054736670385E-3</v>
      </c>
      <c r="H744" s="180">
        <v>1.7453927826798744E-3</v>
      </c>
      <c r="I744" s="180">
        <v>1.4618979219237266E-3</v>
      </c>
      <c r="J744" s="180">
        <v>2.2842322526096018E-3</v>
      </c>
      <c r="K744" s="180">
        <v>2.1511833371391734E-3</v>
      </c>
      <c r="L744" s="180">
        <v>1.921523261676006E-3</v>
      </c>
      <c r="M744" s="180">
        <v>3.4647817866697963E-3</v>
      </c>
      <c r="N744" s="180">
        <v>1.7514488094562146E-3</v>
      </c>
      <c r="O744" s="180">
        <v>2.1782812682115105E-3</v>
      </c>
      <c r="P744" s="180">
        <v>1.9881521509949444E-3</v>
      </c>
      <c r="Q744" s="180">
        <v>1.0017697174583111E-3</v>
      </c>
      <c r="R744" s="180">
        <v>1.4353906099659559E-3</v>
      </c>
      <c r="S744" s="180">
        <v>2.824290151917595E-3</v>
      </c>
      <c r="T744" s="180">
        <v>8.3950208317612799E-4</v>
      </c>
      <c r="U744" s="180">
        <v>2.1029083027690664E-3</v>
      </c>
      <c r="V744" s="180">
        <v>1.0711085481253278E-3</v>
      </c>
      <c r="W744" s="180">
        <v>1.2284698745461862E-3</v>
      </c>
      <c r="X744" s="180">
        <v>9.5021437706372129E-4</v>
      </c>
      <c r="Y744" s="180">
        <v>1.0039618395335291E-3</v>
      </c>
      <c r="Z744" s="180">
        <v>4.5817164894349687E-3</v>
      </c>
      <c r="AA744" s="180">
        <v>9.1111393401995618E-4</v>
      </c>
      <c r="AB744" s="180">
        <v>1.1007292150403058E-3</v>
      </c>
      <c r="AC744" s="180">
        <v>1.0300601718935634E-3</v>
      </c>
      <c r="AD744" s="180">
        <v>2.4058610256342332E-4</v>
      </c>
      <c r="AE744" s="180">
        <v>9.3007091875184366E-4</v>
      </c>
      <c r="AF744" s="180">
        <v>7.4555370224549768E-4</v>
      </c>
      <c r="AG744" s="180">
        <v>1.5294825998788863E-3</v>
      </c>
      <c r="AH744" s="180">
        <v>-3.4970831020819231E-4</v>
      </c>
      <c r="AI744" s="181">
        <v>1.2219742467918569E-3</v>
      </c>
    </row>
    <row r="745" spans="2:35" x14ac:dyDescent="0.25">
      <c r="B745" s="163" t="str">
        <f>'Market Data'!$B$37</f>
        <v>NKE</v>
      </c>
      <c r="C745" s="160">
        <f>Statistics!$G$39</f>
        <v>1.5970247269241938E-2</v>
      </c>
      <c r="E745" s="168">
        <v>0.17088100886588656</v>
      </c>
      <c r="F745" s="85" t="str">
        <v>NKE</v>
      </c>
      <c r="G745" s="179">
        <v>7.4054258425286133E-4</v>
      </c>
      <c r="H745" s="180">
        <v>9.1418204127611028E-4</v>
      </c>
      <c r="I745" s="180">
        <v>1.1825978430535619E-3</v>
      </c>
      <c r="J745" s="180">
        <v>-1.1104731462091626E-4</v>
      </c>
      <c r="K745" s="180">
        <v>7.2136303147440504E-4</v>
      </c>
      <c r="L745" s="180">
        <v>-3.0145919518466895E-4</v>
      </c>
      <c r="M745" s="180">
        <v>1.371253710214986E-3</v>
      </c>
      <c r="N745" s="180">
        <v>1.1713887062549742E-3</v>
      </c>
      <c r="O745" s="180">
        <v>6.8149888740689005E-4</v>
      </c>
      <c r="P745" s="180">
        <v>9.2810945195530823E-4</v>
      </c>
      <c r="Q745" s="180">
        <v>7.3578315539153108E-4</v>
      </c>
      <c r="R745" s="180">
        <v>1.3757321359017424E-4</v>
      </c>
      <c r="S745" s="180">
        <v>5.7515792739731505E-4</v>
      </c>
      <c r="T745" s="180">
        <v>2.4076387457302071E-4</v>
      </c>
      <c r="U745" s="180">
        <v>6.7839144071882979E-4</v>
      </c>
      <c r="V745" s="180">
        <v>4.3589033448327737E-4</v>
      </c>
      <c r="W745" s="180">
        <v>4.3355644868225306E-4</v>
      </c>
      <c r="X745" s="180">
        <v>7.5220949128439868E-4</v>
      </c>
      <c r="Y745" s="180">
        <v>3.4083858597475385E-4</v>
      </c>
      <c r="Z745" s="180">
        <v>9.1111393401995618E-4</v>
      </c>
      <c r="AA745" s="180">
        <v>2.7193308407813446E-3</v>
      </c>
      <c r="AB745" s="180">
        <v>5.6615292191577104E-4</v>
      </c>
      <c r="AC745" s="180">
        <v>3.6538493696828688E-4</v>
      </c>
      <c r="AD745" s="180">
        <v>8.9669180264711685E-5</v>
      </c>
      <c r="AE745" s="180">
        <v>4.9140530374502923E-4</v>
      </c>
      <c r="AF745" s="180">
        <v>1.0278859564771125E-5</v>
      </c>
      <c r="AG745" s="180">
        <v>1.2162400994020978E-3</v>
      </c>
      <c r="AH745" s="180">
        <v>1.3266739677968515E-5</v>
      </c>
      <c r="AI745" s="181">
        <v>-1.9722713194093662E-4</v>
      </c>
    </row>
    <row r="746" spans="2:35" x14ac:dyDescent="0.25">
      <c r="B746" s="163" t="str">
        <f>'Market Data'!$B$38</f>
        <v>PFE</v>
      </c>
      <c r="C746" s="160">
        <f>Statistics!$G$40</f>
        <v>7.6042605716081235E-3</v>
      </c>
      <c r="E746" s="168">
        <v>0</v>
      </c>
      <c r="F746" s="85" t="str">
        <v>PFE</v>
      </c>
      <c r="G746" s="179">
        <v>1.105136574328315E-3</v>
      </c>
      <c r="H746" s="180">
        <v>1.0081234358528435E-3</v>
      </c>
      <c r="I746" s="180">
        <v>1.2950969606515986E-3</v>
      </c>
      <c r="J746" s="180">
        <v>7.9610645869862182E-4</v>
      </c>
      <c r="K746" s="180">
        <v>1.5185012123350332E-3</v>
      </c>
      <c r="L746" s="180">
        <v>1.0966581694716135E-3</v>
      </c>
      <c r="M746" s="180">
        <v>2.2541080192876768E-3</v>
      </c>
      <c r="N746" s="180">
        <v>1.4909638464124207E-3</v>
      </c>
      <c r="O746" s="180">
        <v>1.1596920910434683E-3</v>
      </c>
      <c r="P746" s="180">
        <v>1.2974763649140325E-3</v>
      </c>
      <c r="Q746" s="180">
        <v>8.5234066580948517E-4</v>
      </c>
      <c r="R746" s="180">
        <v>7.9545047293496068E-4</v>
      </c>
      <c r="S746" s="180">
        <v>9.9184976149502301E-4</v>
      </c>
      <c r="T746" s="180">
        <v>1.174922395291398E-3</v>
      </c>
      <c r="U746" s="180">
        <v>1.3592270505613203E-3</v>
      </c>
      <c r="V746" s="180">
        <v>6.3614560547018231E-4</v>
      </c>
      <c r="W746" s="180">
        <v>9.4939047744066322E-4</v>
      </c>
      <c r="X746" s="180">
        <v>1.1108584905280188E-3</v>
      </c>
      <c r="Y746" s="180">
        <v>1.3412346285691251E-3</v>
      </c>
      <c r="Z746" s="180">
        <v>1.1007292150403058E-3</v>
      </c>
      <c r="AA746" s="180">
        <v>5.6615292191577104E-4</v>
      </c>
      <c r="AB746" s="180">
        <v>2.4354805215546461E-3</v>
      </c>
      <c r="AC746" s="180">
        <v>7.7698221980775051E-4</v>
      </c>
      <c r="AD746" s="180">
        <v>7.5423895885674786E-4</v>
      </c>
      <c r="AE746" s="180">
        <v>1.3524566727664237E-3</v>
      </c>
      <c r="AF746" s="180">
        <v>6.9733723903610885E-4</v>
      </c>
      <c r="AG746" s="180">
        <v>1.6142857385330945E-3</v>
      </c>
      <c r="AH746" s="180">
        <v>6.1756439897017149E-4</v>
      </c>
      <c r="AI746" s="181">
        <v>8.1835922434987771E-4</v>
      </c>
    </row>
    <row r="747" spans="2:35" x14ac:dyDescent="0.25">
      <c r="B747" s="163" t="str">
        <f>'Market Data'!$B$39</f>
        <v>PG</v>
      </c>
      <c r="C747" s="160">
        <f>Statistics!$G$41</f>
        <v>6.7668222923833359E-3</v>
      </c>
      <c r="E747" s="168">
        <v>0</v>
      </c>
      <c r="F747" s="85" t="str">
        <v>PG</v>
      </c>
      <c r="G747" s="179">
        <v>1.0336127768185608E-3</v>
      </c>
      <c r="H747" s="180">
        <v>4.150551569421239E-4</v>
      </c>
      <c r="I747" s="180">
        <v>5.997217417536032E-4</v>
      </c>
      <c r="J747" s="180">
        <v>4.9254664842985144E-4</v>
      </c>
      <c r="K747" s="180">
        <v>1.0690588122897406E-3</v>
      </c>
      <c r="L747" s="180">
        <v>8.4385070363078498E-4</v>
      </c>
      <c r="M747" s="180">
        <v>1.1783213677355128E-3</v>
      </c>
      <c r="N747" s="180">
        <v>6.6920552953337459E-4</v>
      </c>
      <c r="O747" s="180">
        <v>8.669689440805547E-4</v>
      </c>
      <c r="P747" s="180">
        <v>6.8796273406052837E-4</v>
      </c>
      <c r="Q747" s="180">
        <v>4.7474349038820928E-4</v>
      </c>
      <c r="R747" s="180">
        <v>5.5361049131124631E-4</v>
      </c>
      <c r="S747" s="180">
        <v>7.9168442412031782E-4</v>
      </c>
      <c r="T747" s="180">
        <v>7.8676359672877393E-4</v>
      </c>
      <c r="U747" s="180">
        <v>7.2953612857905574E-4</v>
      </c>
      <c r="V747" s="180">
        <v>6.5740070509151668E-4</v>
      </c>
      <c r="W747" s="180">
        <v>4.0611550084338323E-4</v>
      </c>
      <c r="X747" s="180">
        <v>7.8023777188204919E-4</v>
      </c>
      <c r="Y747" s="180">
        <v>3.7529952314904947E-4</v>
      </c>
      <c r="Z747" s="180">
        <v>1.0300601718935634E-3</v>
      </c>
      <c r="AA747" s="180">
        <v>3.6538493696828688E-4</v>
      </c>
      <c r="AB747" s="180">
        <v>7.7698221980775051E-4</v>
      </c>
      <c r="AC747" s="180">
        <v>1.4111752678343567E-3</v>
      </c>
      <c r="AD747" s="180">
        <v>1.723275330802805E-4</v>
      </c>
      <c r="AE747" s="180">
        <v>6.4008748533685535E-4</v>
      </c>
      <c r="AF747" s="180">
        <v>2.3535220881827705E-4</v>
      </c>
      <c r="AG747" s="180">
        <v>9.2172519542926422E-4</v>
      </c>
      <c r="AH747" s="180">
        <v>7.2490049760504278E-4</v>
      </c>
      <c r="AI747" s="181">
        <v>6.1092932367000222E-4</v>
      </c>
    </row>
    <row r="748" spans="2:35" x14ac:dyDescent="0.25">
      <c r="B748" s="163" t="str">
        <f>'Market Data'!$B$40</f>
        <v>UNH</v>
      </c>
      <c r="C748" s="160">
        <f>Statistics!$G$42</f>
        <v>2.4695057092687361E-2</v>
      </c>
      <c r="E748" s="168">
        <v>0.49544977669579754</v>
      </c>
      <c r="F748" s="85" t="str">
        <v>UNH</v>
      </c>
      <c r="G748" s="179">
        <v>5.5673881663560775E-4</v>
      </c>
      <c r="H748" s="180">
        <v>9.035040942327959E-4</v>
      </c>
      <c r="I748" s="180">
        <v>6.5863568330466196E-4</v>
      </c>
      <c r="J748" s="180">
        <v>7.8373416165496384E-4</v>
      </c>
      <c r="K748" s="180">
        <v>1.0321561899434074E-3</v>
      </c>
      <c r="L748" s="180">
        <v>8.9699068571536217E-4</v>
      </c>
      <c r="M748" s="180">
        <v>1.3915459916452729E-3</v>
      </c>
      <c r="N748" s="180">
        <v>9.9320622386439117E-4</v>
      </c>
      <c r="O748" s="180">
        <v>6.9406421327386882E-4</v>
      </c>
      <c r="P748" s="180">
        <v>1.248419321363809E-3</v>
      </c>
      <c r="Q748" s="180">
        <v>6.4915062582396636E-4</v>
      </c>
      <c r="R748" s="180">
        <v>8.8298395118505178E-4</v>
      </c>
      <c r="S748" s="180">
        <v>5.6633014876153942E-4</v>
      </c>
      <c r="T748" s="180">
        <v>4.4624886795118808E-4</v>
      </c>
      <c r="U748" s="180">
        <v>1.2617149248905092E-3</v>
      </c>
      <c r="V748" s="180">
        <v>1.2737483924284157E-4</v>
      </c>
      <c r="W748" s="180">
        <v>3.5874031329227935E-4</v>
      </c>
      <c r="X748" s="180">
        <v>9.8369986573183495E-4</v>
      </c>
      <c r="Y748" s="180">
        <v>8.5985137540516086E-4</v>
      </c>
      <c r="Z748" s="180">
        <v>2.4058610256342332E-4</v>
      </c>
      <c r="AA748" s="180">
        <v>8.9669180264711685E-5</v>
      </c>
      <c r="AB748" s="180">
        <v>7.5423895885674786E-4</v>
      </c>
      <c r="AC748" s="180">
        <v>1.723275330802805E-4</v>
      </c>
      <c r="AD748" s="180">
        <v>1.9588021355587989E-3</v>
      </c>
      <c r="AE748" s="180">
        <v>1.3013762269017E-3</v>
      </c>
      <c r="AF748" s="180">
        <v>4.3562344006968111E-4</v>
      </c>
      <c r="AG748" s="180">
        <v>6.7255745531353401E-4</v>
      </c>
      <c r="AH748" s="180">
        <v>2.5472583633253342E-4</v>
      </c>
      <c r="AI748" s="181">
        <v>7.6037739981613735E-4</v>
      </c>
    </row>
    <row r="749" spans="2:35" x14ac:dyDescent="0.25">
      <c r="B749" s="163" t="str">
        <f>'Market Data'!$B$41</f>
        <v>UTX</v>
      </c>
      <c r="C749" s="160">
        <f>Statistics!$G$43</f>
        <v>7.3861111519648165E-3</v>
      </c>
      <c r="E749" s="168">
        <v>0</v>
      </c>
      <c r="F749" s="85" t="str">
        <v>UTX</v>
      </c>
      <c r="G749" s="179">
        <v>1.2367738317379871E-3</v>
      </c>
      <c r="H749" s="180">
        <v>1.9679940702890687E-3</v>
      </c>
      <c r="I749" s="180">
        <v>1.846395156096473E-3</v>
      </c>
      <c r="J749" s="180">
        <v>2.1924453554447642E-3</v>
      </c>
      <c r="K749" s="180">
        <v>2.0848208418056797E-3</v>
      </c>
      <c r="L749" s="180">
        <v>1.7655731333339048E-3</v>
      </c>
      <c r="M749" s="180">
        <v>3.4844332298577191E-3</v>
      </c>
      <c r="N749" s="180">
        <v>1.6618009644053405E-3</v>
      </c>
      <c r="O749" s="180">
        <v>1.9210155408337607E-3</v>
      </c>
      <c r="P749" s="180">
        <v>2.1674424403236793E-3</v>
      </c>
      <c r="Q749" s="180">
        <v>1.2386809813748902E-3</v>
      </c>
      <c r="R749" s="180">
        <v>1.5169272523521361E-3</v>
      </c>
      <c r="S749" s="180">
        <v>1.2132957377483657E-3</v>
      </c>
      <c r="T749" s="180">
        <v>1.0117367356107026E-3</v>
      </c>
      <c r="U749" s="180">
        <v>1.8453743354725578E-3</v>
      </c>
      <c r="V749" s="180">
        <v>5.7087013169956707E-4</v>
      </c>
      <c r="W749" s="180">
        <v>8.7888532505727346E-4</v>
      </c>
      <c r="X749" s="180">
        <v>1.8471574472775569E-3</v>
      </c>
      <c r="Y749" s="180">
        <v>1.4646144344401168E-3</v>
      </c>
      <c r="Z749" s="180">
        <v>9.3007091875184366E-4</v>
      </c>
      <c r="AA749" s="180">
        <v>4.9140530374502923E-4</v>
      </c>
      <c r="AB749" s="180">
        <v>1.3524566727664237E-3</v>
      </c>
      <c r="AC749" s="180">
        <v>6.4008748533685535E-4</v>
      </c>
      <c r="AD749" s="180">
        <v>1.3013762269017E-3</v>
      </c>
      <c r="AE749" s="180">
        <v>3.1502830070701034E-3</v>
      </c>
      <c r="AF749" s="180">
        <v>3.2120511051046262E-4</v>
      </c>
      <c r="AG749" s="180">
        <v>1.6964262161404888E-3</v>
      </c>
      <c r="AH749" s="180">
        <v>2.8814451862251201E-4</v>
      </c>
      <c r="AI749" s="181">
        <v>1.3259012920786922E-3</v>
      </c>
    </row>
    <row r="750" spans="2:35" x14ac:dyDescent="0.25">
      <c r="B750" s="163" t="str">
        <f>'Market Data'!$B$42</f>
        <v>VZ</v>
      </c>
      <c r="C750" s="160">
        <f>Statistics!$G$44</f>
        <v>5.0086030759070753E-3</v>
      </c>
      <c r="E750" s="168">
        <v>0</v>
      </c>
      <c r="F750" s="85" t="str">
        <v>VZ</v>
      </c>
      <c r="G750" s="179">
        <v>1.8457278448214234E-4</v>
      </c>
      <c r="H750" s="180">
        <v>-7.7366109832012643E-5</v>
      </c>
      <c r="I750" s="180">
        <v>3.7914592931386057E-4</v>
      </c>
      <c r="J750" s="180">
        <v>6.8929109799853135E-4</v>
      </c>
      <c r="K750" s="180">
        <v>5.9888719676582812E-4</v>
      </c>
      <c r="L750" s="180">
        <v>7.5916190680994219E-4</v>
      </c>
      <c r="M750" s="180">
        <v>9.2727826439514978E-4</v>
      </c>
      <c r="N750" s="180">
        <v>5.8624704841600517E-4</v>
      </c>
      <c r="O750" s="180">
        <v>1.0256274934399997E-3</v>
      </c>
      <c r="P750" s="180">
        <v>3.7523862948950627E-4</v>
      </c>
      <c r="Q750" s="180">
        <v>1.1189073531181803E-4</v>
      </c>
      <c r="R750" s="180">
        <v>2.033685246020378E-4</v>
      </c>
      <c r="S750" s="180">
        <v>8.2166255763751334E-4</v>
      </c>
      <c r="T750" s="180">
        <v>7.3214708969514145E-4</v>
      </c>
      <c r="U750" s="180">
        <v>3.9836144643633019E-4</v>
      </c>
      <c r="V750" s="180">
        <v>4.9096142938173941E-4</v>
      </c>
      <c r="W750" s="180">
        <v>6.7734327840461236E-4</v>
      </c>
      <c r="X750" s="180">
        <v>5.9539589470078522E-4</v>
      </c>
      <c r="Y750" s="180">
        <v>3.3006228708408361E-4</v>
      </c>
      <c r="Z750" s="180">
        <v>7.4555370224549768E-4</v>
      </c>
      <c r="AA750" s="180">
        <v>1.0278859564771125E-5</v>
      </c>
      <c r="AB750" s="180">
        <v>6.9733723903610885E-4</v>
      </c>
      <c r="AC750" s="180">
        <v>2.3535220881827705E-4</v>
      </c>
      <c r="AD750" s="180">
        <v>4.3562344006968111E-4</v>
      </c>
      <c r="AE750" s="180">
        <v>3.2120511051046262E-4</v>
      </c>
      <c r="AF750" s="180">
        <v>2.0420562729853461E-3</v>
      </c>
      <c r="AG750" s="180">
        <v>3.5270826394507459E-4</v>
      </c>
      <c r="AH750" s="180">
        <v>4.5696587310639262E-4</v>
      </c>
      <c r="AI750" s="181">
        <v>6.4524949399266879E-4</v>
      </c>
    </row>
    <row r="751" spans="2:35" x14ac:dyDescent="0.25">
      <c r="B751" s="163" t="str">
        <f>'Market Data'!$B$43</f>
        <v>V</v>
      </c>
      <c r="C751" s="160">
        <f>Statistics!$G$45</f>
        <v>1.7947618128132319E-2</v>
      </c>
      <c r="E751" s="168">
        <v>0</v>
      </c>
      <c r="F751" s="85" t="str">
        <v>V</v>
      </c>
      <c r="G751" s="179">
        <v>1.5697677901095443E-3</v>
      </c>
      <c r="H751" s="180">
        <v>2.1563583115517065E-3</v>
      </c>
      <c r="I751" s="180">
        <v>2.2475777063178958E-3</v>
      </c>
      <c r="J751" s="180">
        <v>1.4624027030174886E-3</v>
      </c>
      <c r="K751" s="180">
        <v>2.8598074505702059E-3</v>
      </c>
      <c r="L751" s="180">
        <v>9.2897312946466114E-4</v>
      </c>
      <c r="M751" s="180">
        <v>3.0677861856869904E-3</v>
      </c>
      <c r="N751" s="180">
        <v>2.2204011828610088E-3</v>
      </c>
      <c r="O751" s="180">
        <v>1.7646874198991678E-3</v>
      </c>
      <c r="P751" s="180">
        <v>2.0541307067505868E-3</v>
      </c>
      <c r="Q751" s="180">
        <v>1.2055891827737501E-3</v>
      </c>
      <c r="R751" s="180">
        <v>1.2306885914741903E-3</v>
      </c>
      <c r="S751" s="180">
        <v>1.8678530672680304E-3</v>
      </c>
      <c r="T751" s="180">
        <v>8.2747273857601913E-4</v>
      </c>
      <c r="U751" s="180">
        <v>1.9463933682734615E-3</v>
      </c>
      <c r="V751" s="180">
        <v>9.4999344105865064E-4</v>
      </c>
      <c r="W751" s="180">
        <v>1.0020182531469391E-3</v>
      </c>
      <c r="X751" s="180">
        <v>1.59984129324471E-3</v>
      </c>
      <c r="Y751" s="180">
        <v>1.1984054366898813E-3</v>
      </c>
      <c r="Z751" s="180">
        <v>1.5294825998788863E-3</v>
      </c>
      <c r="AA751" s="180">
        <v>1.2162400994020978E-3</v>
      </c>
      <c r="AB751" s="180">
        <v>1.6142857385330945E-3</v>
      </c>
      <c r="AC751" s="180">
        <v>9.2172519542926422E-4</v>
      </c>
      <c r="AD751" s="180">
        <v>6.7255745531353401E-4</v>
      </c>
      <c r="AE751" s="180">
        <v>1.6964262161404888E-3</v>
      </c>
      <c r="AF751" s="180">
        <v>3.5270826394507459E-4</v>
      </c>
      <c r="AG751" s="180">
        <v>3.6944718915923875E-3</v>
      </c>
      <c r="AH751" s="180">
        <v>2.1280259291490004E-4</v>
      </c>
      <c r="AI751" s="181">
        <v>9.4116112769672574E-4</v>
      </c>
    </row>
    <row r="752" spans="2:35" x14ac:dyDescent="0.25">
      <c r="B752" s="163" t="str">
        <f>'Market Data'!$B$44</f>
        <v>WMT</v>
      </c>
      <c r="C752" s="160">
        <f>Statistics!$G$46</f>
        <v>1.8437214178450567E-3</v>
      </c>
      <c r="E752" s="168">
        <v>0</v>
      </c>
      <c r="F752" s="85" t="str">
        <v>WMT</v>
      </c>
      <c r="G752" s="179">
        <v>5.7975796375205426E-4</v>
      </c>
      <c r="H752" s="180">
        <v>2.6973274792062105E-5</v>
      </c>
      <c r="I752" s="180">
        <v>1.7979190170774528E-4</v>
      </c>
      <c r="J752" s="180">
        <v>-2.1581932882750213E-4</v>
      </c>
      <c r="K752" s="180">
        <v>3.2563207166723412E-4</v>
      </c>
      <c r="L752" s="180">
        <v>1.437380584121094E-4</v>
      </c>
      <c r="M752" s="180">
        <v>-2.3301122426120984E-5</v>
      </c>
      <c r="N752" s="180">
        <v>-1.1672694641114529E-4</v>
      </c>
      <c r="O752" s="180">
        <v>3.1986346053900631E-5</v>
      </c>
      <c r="P752" s="180">
        <v>-5.4295264980806504E-5</v>
      </c>
      <c r="Q752" s="180">
        <v>1.9815526434870993E-4</v>
      </c>
      <c r="R752" s="180">
        <v>3.7610030291999273E-4</v>
      </c>
      <c r="S752" s="180">
        <v>-1.8556188989019865E-5</v>
      </c>
      <c r="T752" s="180">
        <v>7.1470891411086447E-4</v>
      </c>
      <c r="U752" s="180">
        <v>7.503242005510376E-5</v>
      </c>
      <c r="V752" s="180">
        <v>6.4703627119224946E-4</v>
      </c>
      <c r="W752" s="180">
        <v>4.237060092283065E-5</v>
      </c>
      <c r="X752" s="180">
        <v>4.5051539698961655E-4</v>
      </c>
      <c r="Y752" s="180">
        <v>4.389896882024129E-4</v>
      </c>
      <c r="Z752" s="180">
        <v>-3.4970831020819231E-4</v>
      </c>
      <c r="AA752" s="180">
        <v>1.3266739677968515E-5</v>
      </c>
      <c r="AB752" s="180">
        <v>6.1756439897017149E-4</v>
      </c>
      <c r="AC752" s="180">
        <v>7.2490049760504278E-4</v>
      </c>
      <c r="AD752" s="180">
        <v>2.5472583633253342E-4</v>
      </c>
      <c r="AE752" s="180">
        <v>2.8814451862251201E-4</v>
      </c>
      <c r="AF752" s="180">
        <v>4.5696587310639262E-4</v>
      </c>
      <c r="AG752" s="180">
        <v>2.1280259291490004E-4</v>
      </c>
      <c r="AH752" s="180">
        <v>1.9253008332035728E-3</v>
      </c>
      <c r="AI752" s="181">
        <v>9.9417778748729687E-5</v>
      </c>
    </row>
    <row r="753" spans="2:35" x14ac:dyDescent="0.25">
      <c r="B753" s="164" t="str">
        <f>'Market Data'!$B$45</f>
        <v>XOM</v>
      </c>
      <c r="C753" s="165">
        <f>Statistics!$G$47</f>
        <v>1.7101166353118678E-3</v>
      </c>
      <c r="E753" s="169">
        <v>0</v>
      </c>
      <c r="F753" s="86" t="str">
        <v>XOM</v>
      </c>
      <c r="G753" s="179">
        <v>8.3126780280069973E-4</v>
      </c>
      <c r="H753" s="180">
        <v>9.0240454872836753E-4</v>
      </c>
      <c r="I753" s="180">
        <v>5.5785917505375118E-4</v>
      </c>
      <c r="J753" s="180">
        <v>1.368945659107327E-3</v>
      </c>
      <c r="K753" s="180">
        <v>1.3701802479257339E-3</v>
      </c>
      <c r="L753" s="180">
        <v>1.9286286807754067E-3</v>
      </c>
      <c r="M753" s="180">
        <v>2.1182301102402332E-3</v>
      </c>
      <c r="N753" s="180">
        <v>1.3292278052638991E-3</v>
      </c>
      <c r="O753" s="180">
        <v>1.6264073394302158E-3</v>
      </c>
      <c r="P753" s="180">
        <v>1.4387650786059658E-3</v>
      </c>
      <c r="Q753" s="180">
        <v>5.7016164369997474E-4</v>
      </c>
      <c r="R753" s="180">
        <v>1.0970123689928199E-3</v>
      </c>
      <c r="S753" s="180">
        <v>1.0791409093812321E-3</v>
      </c>
      <c r="T753" s="180">
        <v>7.4627799983375924E-4</v>
      </c>
      <c r="U753" s="180">
        <v>1.3958094738143344E-3</v>
      </c>
      <c r="V753" s="180">
        <v>5.1805651820066112E-4</v>
      </c>
      <c r="W753" s="180">
        <v>6.6389606634421081E-4</v>
      </c>
      <c r="X753" s="180">
        <v>1.2697174541958882E-3</v>
      </c>
      <c r="Y753" s="180">
        <v>5.8214330295854532E-4</v>
      </c>
      <c r="Z753" s="180">
        <v>1.2219742467918569E-3</v>
      </c>
      <c r="AA753" s="180">
        <v>-1.9722713194093662E-4</v>
      </c>
      <c r="AB753" s="180">
        <v>8.1835922434987771E-4</v>
      </c>
      <c r="AC753" s="180">
        <v>6.1092932367000222E-4</v>
      </c>
      <c r="AD753" s="180">
        <v>7.6037739981613735E-4</v>
      </c>
      <c r="AE753" s="180">
        <v>1.3259012920786922E-3</v>
      </c>
      <c r="AF753" s="180">
        <v>6.4524949399266879E-4</v>
      </c>
      <c r="AG753" s="180">
        <v>9.4116112769672574E-4</v>
      </c>
      <c r="AH753" s="180">
        <v>9.9417778748729687E-5</v>
      </c>
      <c r="AI753" s="181">
        <v>1.845802781732033E-3</v>
      </c>
    </row>
    <row r="754" spans="2:35" x14ac:dyDescent="0.25">
      <c r="B754" s="3"/>
      <c r="C754" s="3"/>
      <c r="D754" s="3"/>
      <c r="E754" s="182">
        <f>SUM(E725:E753)</f>
        <v>0.99999999999999956</v>
      </c>
      <c r="F754" s="3"/>
      <c r="G754" s="184">
        <f>_xll.SumProduct2($E725:$E753,G725:G753)*G723</f>
        <v>4.9984123980782923E-5</v>
      </c>
      <c r="H754" s="185">
        <f>_xll.SumProduct2($E725:$E753,H725:H753)*H723</f>
        <v>0</v>
      </c>
      <c r="I754" s="185">
        <f>_xll.SumProduct2($E725:$E753,I725:I753)*I723</f>
        <v>0</v>
      </c>
      <c r="J754" s="185">
        <f>_xll.SumProduct2($E725:$E753,J725:J753)*J723</f>
        <v>0</v>
      </c>
      <c r="K754" s="185">
        <f>_xll.SumProduct2($E725:$E753,K725:K753)*K723</f>
        <v>0</v>
      </c>
      <c r="L754" s="185">
        <f>_xll.SumProduct2($E725:$E753,L725:L753)*L723</f>
        <v>0</v>
      </c>
      <c r="M754" s="185">
        <f>_xll.SumProduct2($E725:$E753,M725:M753)*M723</f>
        <v>0</v>
      </c>
      <c r="N754" s="185">
        <f>_xll.SumProduct2($E725:$E753,N725:N753)*N723</f>
        <v>0</v>
      </c>
      <c r="O754" s="185">
        <f>_xll.SumProduct2($E725:$E753,O725:O753)*O723</f>
        <v>0</v>
      </c>
      <c r="P754" s="185">
        <f>_xll.SumProduct2($E725:$E753,P725:P753)*P723</f>
        <v>0</v>
      </c>
      <c r="Q754" s="185">
        <f>_xll.SumProduct2($E725:$E753,Q725:Q753)*Q723</f>
        <v>8.9622813941249473E-5</v>
      </c>
      <c r="R754" s="185">
        <f>_xll.SumProduct2($E725:$E753,R725:R753)*R723</f>
        <v>0</v>
      </c>
      <c r="S754" s="185">
        <f>_xll.SumProduct2($E725:$E753,S725:S753)*S723</f>
        <v>0</v>
      </c>
      <c r="T754" s="185">
        <f>_xll.SumProduct2($E725:$E753,T725:T753)*T723</f>
        <v>4.0972072396002299E-5</v>
      </c>
      <c r="U754" s="186">
        <f>_xll.SumProduct2($E725:$E753,U725:U753)*U723</f>
        <v>0</v>
      </c>
      <c r="V754" s="186">
        <f>_xll.SumProduct2($E725:$E753,V725:V753)*V723</f>
        <v>0</v>
      </c>
      <c r="W754" s="186">
        <f>_xll.SumProduct2($E725:$E753,W725:W753)*W723</f>
        <v>0</v>
      </c>
      <c r="X754" s="186">
        <f>_xll.SumProduct2($E725:$E753,X725:X753)*X723</f>
        <v>0</v>
      </c>
      <c r="Y754" s="186">
        <f>_xll.SumProduct2($E725:$E753,Y725:Y753)*Y723</f>
        <v>0</v>
      </c>
      <c r="Z754" s="186">
        <f>_xll.SumProduct2($E725:$E753,Z725:Z753)*Z723</f>
        <v>1.0372791704744508E-4</v>
      </c>
      <c r="AA754" s="186">
        <f>_xll.SumProduct2($E725:$E753,AA725:AA753)*AA723</f>
        <v>1.2584975017807082E-4</v>
      </c>
      <c r="AB754" s="186">
        <f>_xll.SumProduct2($E725:$E753,AB725:AB753)*AB723</f>
        <v>0</v>
      </c>
      <c r="AC754" s="186">
        <f>_xll.SumProduct2($E725:$E753,AC725:AC753)*AC723</f>
        <v>0</v>
      </c>
      <c r="AD754" s="186">
        <f>_xll.SumProduct2($E725:$E753,AD725:AD753)*AD723</f>
        <v>5.6511074981447664E-4</v>
      </c>
      <c r="AE754" s="186">
        <f>_xll.SumProduct2($E725:$E753,AE725:AE753)*AE723</f>
        <v>0</v>
      </c>
      <c r="AF754" s="186">
        <f>_xll.SumProduct2($E725:$E753,AF725:AF753)*AF723</f>
        <v>0</v>
      </c>
      <c r="AG754" s="186">
        <f>_xll.SumProduct2($E725:$E753,AG725:AG753)*AG723</f>
        <v>0</v>
      </c>
      <c r="AH754" s="186">
        <f>_xll.SumProduct2($E725:$E753,AH725:AH753)*AH723</f>
        <v>0</v>
      </c>
      <c r="AI754" s="187">
        <f>_xll.SumProduct2($E725:$E753,AI725:AI753)*AI723</f>
        <v>0</v>
      </c>
    </row>
  </sheetData>
  <scenarios current="0">
    <scenario name="R=0.001" count="28" user="Elaine McLeod" comment="Created by Elaine McLeod on 6/9/2017">
      <inputCells r="B79" val="0"/>
      <inputCells r="B80" val="0.322915905211802"/>
      <inputCells r="B81" val="0.00979685301371061"/>
      <inputCells r="B82" val="0.00631530995006026"/>
      <inputCells r="B83" val="0"/>
      <inputCells r="B84" val="0.038710747826695"/>
      <inputCells r="B85" val="0.00342436959358947"/>
      <inputCells r="B86" val="0.0501168244438377"/>
      <inputCells r="B87" val="0.00976283056242509"/>
      <inputCells r="B88" val="0.00657858535813556"/>
      <inputCells r="B89" val="0"/>
      <inputCells r="B90" val="0.0352947264524398"/>
      <inputCells r="B91" val="0.0211089621827631"/>
      <inputCells r="B92" val="0.00434542425596414"/>
      <inputCells r="B93" val="0"/>
      <inputCells r="B94" val="0.0539450192742158"/>
      <inputCells r="B95" val="0"/>
      <inputCells r="B96" val="0.0260867386302071"/>
      <inputCells r="B97" val="0.0333663972608187"/>
      <inputCells r="B98" val="0"/>
      <inputCells r="B99" val="0.0342314821437616"/>
      <inputCells r="B100" val="0.065945035005241"/>
      <inputCells r="B101" val="0.0358160386652125"/>
      <inputCells r="B102" val="0"/>
      <inputCells r="B103" val="0.0786529944223343"/>
      <inputCells r="B104" val="0.0529719451379457"/>
      <inputCells r="B105" val="0"/>
      <inputCells r="B106" val="0.11061381060884"/>
    </scenario>
  </scenarios>
  <mergeCells count="1">
    <mergeCell ref="D37:Q37"/>
  </mergeCells>
  <conditionalFormatting sqref="E108">
    <cfRule type="cellIs" dxfId="17" priority="62" operator="notEqual">
      <formula>1</formula>
    </cfRule>
  </conditionalFormatting>
  <conditionalFormatting sqref="C38:R38">
    <cfRule type="colorScale" priority="26">
      <colorScale>
        <cfvo type="min"/>
        <cfvo type="max"/>
        <color theme="5" tint="0.39997558519241921"/>
        <color theme="5" tint="-0.499984740745262"/>
      </colorScale>
    </cfRule>
    <cfRule type="colorScale" priority="29">
      <colorScale>
        <cfvo type="min"/>
        <cfvo type="max"/>
        <color theme="5" tint="0.79998168889431442"/>
        <color theme="5" tint="-0.249977111117893"/>
      </colorScale>
    </cfRule>
  </conditionalFormatting>
  <conditionalFormatting sqref="D39:R39">
    <cfRule type="colorScale" priority="28">
      <colorScale>
        <cfvo type="min"/>
        <cfvo type="max"/>
        <color theme="9" tint="0.79998168889431442"/>
        <color theme="9" tint="-0.249977111117893"/>
      </colorScale>
    </cfRule>
  </conditionalFormatting>
  <conditionalFormatting sqref="C38:O38">
    <cfRule type="colorScale" priority="27">
      <colorScale>
        <cfvo type="min"/>
        <cfvo type="max"/>
        <color theme="9" tint="0.39997558519241921"/>
        <color theme="9" tint="-0.499984740745262"/>
      </colorScale>
    </cfRule>
  </conditionalFormatting>
  <conditionalFormatting sqref="C39:R39">
    <cfRule type="colorScale" priority="25">
      <colorScale>
        <cfvo type="min"/>
        <cfvo type="max"/>
        <color theme="9" tint="0.59999389629810485"/>
        <color theme="9" tint="-0.499984740745262"/>
      </colorScale>
    </cfRule>
  </conditionalFormatting>
  <conditionalFormatting sqref="C41:R69">
    <cfRule type="colorScale" priority="24">
      <colorScale>
        <cfvo type="min"/>
        <cfvo type="max"/>
        <color rgb="FFFCFCFF"/>
        <color rgb="FFF8696B"/>
      </colorScale>
    </cfRule>
  </conditionalFormatting>
  <conditionalFormatting sqref="U38:X38">
    <cfRule type="colorScale" priority="22">
      <colorScale>
        <cfvo type="min"/>
        <cfvo type="max"/>
        <color theme="5" tint="0.39997558519241921"/>
        <color theme="5" tint="-0.499984740745262"/>
      </colorScale>
    </cfRule>
    <cfRule type="colorScale" priority="23">
      <colorScale>
        <cfvo type="min"/>
        <cfvo type="max"/>
        <color theme="5" tint="0.79998168889431442"/>
        <color theme="5" tint="-0.249977111117893"/>
      </colorScale>
    </cfRule>
  </conditionalFormatting>
  <conditionalFormatting sqref="U39:X39">
    <cfRule type="colorScale" priority="21">
      <colorScale>
        <cfvo type="min"/>
        <cfvo type="max"/>
        <color theme="9" tint="0.79998168889431442"/>
        <color theme="9" tint="-0.249977111117893"/>
      </colorScale>
    </cfRule>
  </conditionalFormatting>
  <conditionalFormatting sqref="U39:X39">
    <cfRule type="colorScale" priority="20">
      <colorScale>
        <cfvo type="min"/>
        <cfvo type="max"/>
        <color theme="9" tint="0.59999389629810485"/>
        <color theme="9" tint="-0.499984740745262"/>
      </colorScale>
    </cfRule>
  </conditionalFormatting>
  <conditionalFormatting sqref="U41:U69">
    <cfRule type="colorScale" priority="19">
      <colorScale>
        <cfvo type="min"/>
        <cfvo type="max"/>
        <color rgb="FFFCFCFF"/>
        <color rgb="FFF8696B"/>
      </colorScale>
    </cfRule>
  </conditionalFormatting>
  <conditionalFormatting sqref="W41:W69">
    <cfRule type="colorScale" priority="18">
      <colorScale>
        <cfvo type="min"/>
        <cfvo type="max"/>
        <color rgb="FFFCFCFF"/>
        <color rgb="FFF8696B"/>
      </colorScale>
    </cfRule>
  </conditionalFormatting>
  <conditionalFormatting sqref="E146">
    <cfRule type="cellIs" dxfId="16" priority="17" operator="notEqual">
      <formula>1</formula>
    </cfRule>
  </conditionalFormatting>
  <conditionalFormatting sqref="E184">
    <cfRule type="cellIs" dxfId="15" priority="16" operator="notEqual">
      <formula>1</formula>
    </cfRule>
  </conditionalFormatting>
  <conditionalFormatting sqref="E222">
    <cfRule type="cellIs" dxfId="14" priority="15" operator="notEqual">
      <formula>1</formula>
    </cfRule>
  </conditionalFormatting>
  <conditionalFormatting sqref="E260">
    <cfRule type="cellIs" dxfId="13" priority="14" operator="notEqual">
      <formula>1</formula>
    </cfRule>
  </conditionalFormatting>
  <conditionalFormatting sqref="E298">
    <cfRule type="cellIs" dxfId="12" priority="13" operator="notEqual">
      <formula>1</formula>
    </cfRule>
  </conditionalFormatting>
  <conditionalFormatting sqref="E336">
    <cfRule type="cellIs" dxfId="11" priority="12" operator="notEqual">
      <formula>1</formula>
    </cfRule>
  </conditionalFormatting>
  <conditionalFormatting sqref="E374">
    <cfRule type="cellIs" dxfId="10" priority="11" operator="notEqual">
      <formula>1</formula>
    </cfRule>
  </conditionalFormatting>
  <conditionalFormatting sqref="E412">
    <cfRule type="cellIs" dxfId="9" priority="10" operator="notEqual">
      <formula>1</formula>
    </cfRule>
  </conditionalFormatting>
  <conditionalFormatting sqref="E450">
    <cfRule type="cellIs" dxfId="8" priority="9" operator="notEqual">
      <formula>1</formula>
    </cfRule>
  </conditionalFormatting>
  <conditionalFormatting sqref="E488">
    <cfRule type="cellIs" dxfId="7" priority="8" operator="notEqual">
      <formula>1</formula>
    </cfRule>
  </conditionalFormatting>
  <conditionalFormatting sqref="E526">
    <cfRule type="cellIs" dxfId="6" priority="7" operator="notEqual">
      <formula>1</formula>
    </cfRule>
  </conditionalFormatting>
  <conditionalFormatting sqref="E564">
    <cfRule type="cellIs" dxfId="5" priority="6" operator="notEqual">
      <formula>1</formula>
    </cfRule>
  </conditionalFormatting>
  <conditionalFormatting sqref="E602">
    <cfRule type="cellIs" dxfId="4" priority="5" operator="notEqual">
      <formula>1</formula>
    </cfRule>
  </conditionalFormatting>
  <conditionalFormatting sqref="E640">
    <cfRule type="cellIs" dxfId="3" priority="4" operator="notEqual">
      <formula>1</formula>
    </cfRule>
  </conditionalFormatting>
  <conditionalFormatting sqref="E678">
    <cfRule type="cellIs" dxfId="2" priority="3" operator="notEqual">
      <formula>1</formula>
    </cfRule>
  </conditionalFormatting>
  <conditionalFormatting sqref="E716">
    <cfRule type="cellIs" dxfId="1" priority="2" operator="notEqual">
      <formula>1</formula>
    </cfRule>
  </conditionalFormatting>
  <conditionalFormatting sqref="E754">
    <cfRule type="cellIs" dxfId="0" priority="1" operator="not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4</xdr:col>
                    <xdr:colOff>0</xdr:colOff>
                    <xdr:row>147</xdr:row>
                    <xdr:rowOff>0</xdr:rowOff>
                  </from>
                  <to>
                    <xdr:col>5</xdr:col>
                    <xdr:colOff>0</xdr:colOff>
                    <xdr:row>147</xdr:row>
                    <xdr:rowOff>247650</xdr:rowOff>
                  </to>
                </anchor>
              </controlPr>
            </control>
          </mc:Choice>
        </mc:AlternateContent>
        <mc:AlternateContent xmlns:mc="http://schemas.openxmlformats.org/markup-compatibility/2006">
          <mc:Choice Requires="x14">
            <control shapeId="2050" r:id="rId5" name="Button 2">
              <controlPr defaultSize="0" print="0" autoFill="0" autoPict="0" macro="[0]!TR2_Button_Click">
                <anchor moveWithCells="1" sizeWithCells="1">
                  <from>
                    <xdr:col>4</xdr:col>
                    <xdr:colOff>9525</xdr:colOff>
                    <xdr:row>185</xdr:row>
                    <xdr:rowOff>9525</xdr:rowOff>
                  </from>
                  <to>
                    <xdr:col>5</xdr:col>
                    <xdr:colOff>0</xdr:colOff>
                    <xdr:row>185</xdr:row>
                    <xdr:rowOff>238125</xdr:rowOff>
                  </to>
                </anchor>
              </controlPr>
            </control>
          </mc:Choice>
        </mc:AlternateContent>
        <mc:AlternateContent xmlns:mc="http://schemas.openxmlformats.org/markup-compatibility/2006">
          <mc:Choice Requires="x14">
            <control shapeId="2051" r:id="rId6" name="Button 3">
              <controlPr defaultSize="0" print="0" autoFill="0" autoPict="0" macro="[0]!TR3_Button_Click">
                <anchor moveWithCells="1" sizeWithCells="1">
                  <from>
                    <xdr:col>4</xdr:col>
                    <xdr:colOff>0</xdr:colOff>
                    <xdr:row>223</xdr:row>
                    <xdr:rowOff>9525</xdr:rowOff>
                  </from>
                  <to>
                    <xdr:col>5</xdr:col>
                    <xdr:colOff>0</xdr:colOff>
                    <xdr:row>223</xdr:row>
                    <xdr:rowOff>247650</xdr:rowOff>
                  </to>
                </anchor>
              </controlPr>
            </control>
          </mc:Choice>
        </mc:AlternateContent>
        <mc:AlternateContent xmlns:mc="http://schemas.openxmlformats.org/markup-compatibility/2006">
          <mc:Choice Requires="x14">
            <control shapeId="2052" r:id="rId7" name="Button 4">
              <controlPr defaultSize="0" print="0" autoFill="0" autoPict="0" macro="[0]!TR4_Button_Click">
                <anchor moveWithCells="1" sizeWithCells="1">
                  <from>
                    <xdr:col>3</xdr:col>
                    <xdr:colOff>914400</xdr:colOff>
                    <xdr:row>261</xdr:row>
                    <xdr:rowOff>0</xdr:rowOff>
                  </from>
                  <to>
                    <xdr:col>5</xdr:col>
                    <xdr:colOff>0</xdr:colOff>
                    <xdr:row>261</xdr:row>
                    <xdr:rowOff>247650</xdr:rowOff>
                  </to>
                </anchor>
              </controlPr>
            </control>
          </mc:Choice>
        </mc:AlternateContent>
        <mc:AlternateContent xmlns:mc="http://schemas.openxmlformats.org/markup-compatibility/2006">
          <mc:Choice Requires="x14">
            <control shapeId="2053" r:id="rId8" name="Button 5">
              <controlPr defaultSize="0" print="0" autoFill="0" autoPict="0" macro="[0]!TR5_Button_Click">
                <anchor moveWithCells="1" sizeWithCells="1">
                  <from>
                    <xdr:col>4</xdr:col>
                    <xdr:colOff>0</xdr:colOff>
                    <xdr:row>299</xdr:row>
                    <xdr:rowOff>0</xdr:rowOff>
                  </from>
                  <to>
                    <xdr:col>4</xdr:col>
                    <xdr:colOff>981075</xdr:colOff>
                    <xdr:row>299</xdr:row>
                    <xdr:rowOff>238125</xdr:rowOff>
                  </to>
                </anchor>
              </controlPr>
            </control>
          </mc:Choice>
        </mc:AlternateContent>
        <mc:AlternateContent xmlns:mc="http://schemas.openxmlformats.org/markup-compatibility/2006">
          <mc:Choice Requires="x14">
            <control shapeId="2054" r:id="rId9" name="Button 6">
              <controlPr defaultSize="0" print="0" autoFill="0" autoPict="0" macro="[0]!TR6_Button_Click">
                <anchor moveWithCells="1" sizeWithCells="1">
                  <from>
                    <xdr:col>4</xdr:col>
                    <xdr:colOff>0</xdr:colOff>
                    <xdr:row>337</xdr:row>
                    <xdr:rowOff>9525</xdr:rowOff>
                  </from>
                  <to>
                    <xdr:col>5</xdr:col>
                    <xdr:colOff>0</xdr:colOff>
                    <xdr:row>337</xdr:row>
                    <xdr:rowOff>238125</xdr:rowOff>
                  </to>
                </anchor>
              </controlPr>
            </control>
          </mc:Choice>
        </mc:AlternateContent>
        <mc:AlternateContent xmlns:mc="http://schemas.openxmlformats.org/markup-compatibility/2006">
          <mc:Choice Requires="x14">
            <control shapeId="2055" r:id="rId10" name="Button 7">
              <controlPr defaultSize="0" print="0" autoFill="0" autoPict="0" macro="[0]!TR7_Button_Click">
                <anchor moveWithCells="1" sizeWithCells="1">
                  <from>
                    <xdr:col>3</xdr:col>
                    <xdr:colOff>914400</xdr:colOff>
                    <xdr:row>375</xdr:row>
                    <xdr:rowOff>9525</xdr:rowOff>
                  </from>
                  <to>
                    <xdr:col>4</xdr:col>
                    <xdr:colOff>981075</xdr:colOff>
                    <xdr:row>375</xdr:row>
                    <xdr:rowOff>247650</xdr:rowOff>
                  </to>
                </anchor>
              </controlPr>
            </control>
          </mc:Choice>
        </mc:AlternateContent>
        <mc:AlternateContent xmlns:mc="http://schemas.openxmlformats.org/markup-compatibility/2006">
          <mc:Choice Requires="x14">
            <control shapeId="2058" r:id="rId11" name="Button 10">
              <controlPr defaultSize="0" print="0" autoFill="0" autoPict="0" macro="[0]!TR8_Button_Click">
                <anchor moveWithCells="1" sizeWithCells="1">
                  <from>
                    <xdr:col>4</xdr:col>
                    <xdr:colOff>0</xdr:colOff>
                    <xdr:row>413</xdr:row>
                    <xdr:rowOff>9525</xdr:rowOff>
                  </from>
                  <to>
                    <xdr:col>5</xdr:col>
                    <xdr:colOff>0</xdr:colOff>
                    <xdr:row>413</xdr:row>
                    <xdr:rowOff>247650</xdr:rowOff>
                  </to>
                </anchor>
              </controlPr>
            </control>
          </mc:Choice>
        </mc:AlternateContent>
        <mc:AlternateContent xmlns:mc="http://schemas.openxmlformats.org/markup-compatibility/2006">
          <mc:Choice Requires="x14">
            <control shapeId="2060" r:id="rId12" name="Button 12">
              <controlPr defaultSize="0" print="0" autoFill="0" autoPict="0" macro="[0]!TR9_Button_Click">
                <anchor moveWithCells="1" sizeWithCells="1">
                  <from>
                    <xdr:col>4</xdr:col>
                    <xdr:colOff>0</xdr:colOff>
                    <xdr:row>451</xdr:row>
                    <xdr:rowOff>0</xdr:rowOff>
                  </from>
                  <to>
                    <xdr:col>5</xdr:col>
                    <xdr:colOff>0</xdr:colOff>
                    <xdr:row>451</xdr:row>
                    <xdr:rowOff>238125</xdr:rowOff>
                  </to>
                </anchor>
              </controlPr>
            </control>
          </mc:Choice>
        </mc:AlternateContent>
        <mc:AlternateContent xmlns:mc="http://schemas.openxmlformats.org/markup-compatibility/2006">
          <mc:Choice Requires="x14">
            <control shapeId="2062" r:id="rId13" name="Button 14">
              <controlPr defaultSize="0" print="0" autoFill="0" autoPict="0" macro="[0]!TR10_Button_Click">
                <anchor moveWithCells="1" sizeWithCells="1">
                  <from>
                    <xdr:col>4</xdr:col>
                    <xdr:colOff>0</xdr:colOff>
                    <xdr:row>489</xdr:row>
                    <xdr:rowOff>9525</xdr:rowOff>
                  </from>
                  <to>
                    <xdr:col>5</xdr:col>
                    <xdr:colOff>0</xdr:colOff>
                    <xdr:row>489</xdr:row>
                    <xdr:rowOff>247650</xdr:rowOff>
                  </to>
                </anchor>
              </controlPr>
            </control>
          </mc:Choice>
        </mc:AlternateContent>
        <mc:AlternateContent xmlns:mc="http://schemas.openxmlformats.org/markup-compatibility/2006">
          <mc:Choice Requires="x14">
            <control shapeId="2063" r:id="rId14" name="Button 15">
              <controlPr defaultSize="0" print="0" autoFill="0" autoPict="0" macro="[0]!TR11_Button_Click">
                <anchor moveWithCells="1" sizeWithCells="1">
                  <from>
                    <xdr:col>4</xdr:col>
                    <xdr:colOff>0</xdr:colOff>
                    <xdr:row>527</xdr:row>
                    <xdr:rowOff>9525</xdr:rowOff>
                  </from>
                  <to>
                    <xdr:col>5</xdr:col>
                    <xdr:colOff>0</xdr:colOff>
                    <xdr:row>527</xdr:row>
                    <xdr:rowOff>247650</xdr:rowOff>
                  </to>
                </anchor>
              </controlPr>
            </control>
          </mc:Choice>
        </mc:AlternateContent>
        <mc:AlternateContent xmlns:mc="http://schemas.openxmlformats.org/markup-compatibility/2006">
          <mc:Choice Requires="x14">
            <control shapeId="2064" r:id="rId15" name="Button 16">
              <controlPr defaultSize="0" print="0" autoFill="0" autoPict="0" macro="[0]!TR12_Button_Click">
                <anchor moveWithCells="1" sizeWithCells="1">
                  <from>
                    <xdr:col>4</xdr:col>
                    <xdr:colOff>0</xdr:colOff>
                    <xdr:row>565</xdr:row>
                    <xdr:rowOff>0</xdr:rowOff>
                  </from>
                  <to>
                    <xdr:col>5</xdr:col>
                    <xdr:colOff>0</xdr:colOff>
                    <xdr:row>565</xdr:row>
                    <xdr:rowOff>238125</xdr:rowOff>
                  </to>
                </anchor>
              </controlPr>
            </control>
          </mc:Choice>
        </mc:AlternateContent>
        <mc:AlternateContent xmlns:mc="http://schemas.openxmlformats.org/markup-compatibility/2006">
          <mc:Choice Requires="x14">
            <control shapeId="2065" r:id="rId16" name="Button 17">
              <controlPr defaultSize="0" print="0" autoFill="0" autoPict="0" macro="[0]!TR13_Button_Click">
                <anchor moveWithCells="1" sizeWithCells="1">
                  <from>
                    <xdr:col>4</xdr:col>
                    <xdr:colOff>0</xdr:colOff>
                    <xdr:row>603</xdr:row>
                    <xdr:rowOff>0</xdr:rowOff>
                  </from>
                  <to>
                    <xdr:col>5</xdr:col>
                    <xdr:colOff>0</xdr:colOff>
                    <xdr:row>603</xdr:row>
                    <xdr:rowOff>238125</xdr:rowOff>
                  </to>
                </anchor>
              </controlPr>
            </control>
          </mc:Choice>
        </mc:AlternateContent>
        <mc:AlternateContent xmlns:mc="http://schemas.openxmlformats.org/markup-compatibility/2006">
          <mc:Choice Requires="x14">
            <control shapeId="2066" r:id="rId17" name="Button 18">
              <controlPr defaultSize="0" print="0" autoFill="0" autoPict="0" macro="[0]!TR14_Button_Click">
                <anchor moveWithCells="1" sizeWithCells="1">
                  <from>
                    <xdr:col>4</xdr:col>
                    <xdr:colOff>0</xdr:colOff>
                    <xdr:row>641</xdr:row>
                    <xdr:rowOff>9525</xdr:rowOff>
                  </from>
                  <to>
                    <xdr:col>5</xdr:col>
                    <xdr:colOff>0</xdr:colOff>
                    <xdr:row>641</xdr:row>
                    <xdr:rowOff>247650</xdr:rowOff>
                  </to>
                </anchor>
              </controlPr>
            </control>
          </mc:Choice>
        </mc:AlternateContent>
        <mc:AlternateContent xmlns:mc="http://schemas.openxmlformats.org/markup-compatibility/2006">
          <mc:Choice Requires="x14">
            <control shapeId="2067" r:id="rId18" name="Button 19">
              <controlPr defaultSize="0" print="0" autoFill="0" autoPict="0" macro="[0]!SolveMaxReturn">
                <anchor moveWithCells="1" sizeWithCells="1">
                  <from>
                    <xdr:col>4</xdr:col>
                    <xdr:colOff>0</xdr:colOff>
                    <xdr:row>679</xdr:row>
                    <xdr:rowOff>9525</xdr:rowOff>
                  </from>
                  <to>
                    <xdr:col>5</xdr:col>
                    <xdr:colOff>0</xdr:colOff>
                    <xdr:row>679</xdr:row>
                    <xdr:rowOff>247650</xdr:rowOff>
                  </to>
                </anchor>
              </controlPr>
            </control>
          </mc:Choice>
        </mc:AlternateContent>
        <mc:AlternateContent xmlns:mc="http://schemas.openxmlformats.org/markup-compatibility/2006">
          <mc:Choice Requires="x14">
            <control shapeId="2068" r:id="rId19" name="Button 20">
              <controlPr defaultSize="0" print="0" autoFill="0" autoPict="0" macro="[0]!SolveTangency">
                <anchor moveWithCells="1" sizeWithCells="1">
                  <from>
                    <xdr:col>4</xdr:col>
                    <xdr:colOff>9525</xdr:colOff>
                    <xdr:row>717</xdr:row>
                    <xdr:rowOff>0</xdr:rowOff>
                  </from>
                  <to>
                    <xdr:col>5</xdr:col>
                    <xdr:colOff>9525</xdr:colOff>
                    <xdr:row>717</xdr:row>
                    <xdr:rowOff>238125</xdr:rowOff>
                  </to>
                </anchor>
              </controlPr>
            </control>
          </mc:Choice>
        </mc:AlternateContent>
        <mc:AlternateContent xmlns:mc="http://schemas.openxmlformats.org/markup-compatibility/2006">
          <mc:Choice Requires="x14">
            <control shapeId="2069" r:id="rId20" name="Button 21">
              <controlPr defaultSize="0" print="0" autoFill="0" autoPict="0" macro="[0]!SolveMinReturn">
                <anchor moveWithCells="1" sizeWithCells="1">
                  <from>
                    <xdr:col>4</xdr:col>
                    <xdr:colOff>9525</xdr:colOff>
                    <xdr:row>109</xdr:row>
                    <xdr:rowOff>0</xdr:rowOff>
                  </from>
                  <to>
                    <xdr:col>5</xdr:col>
                    <xdr:colOff>9525</xdr:colOff>
                    <xdr:row>109</xdr:row>
                    <xdr:rowOff>238125</xdr:rowOff>
                  </to>
                </anchor>
              </controlPr>
            </control>
          </mc:Choice>
        </mc:AlternateContent>
        <mc:AlternateContent xmlns:mc="http://schemas.openxmlformats.org/markup-compatibility/2006">
          <mc:Choice Requires="x14">
            <control shapeId="2070" r:id="rId21" name="Button 22">
              <controlPr defaultSize="0" print="0" autoFill="0" autoPict="0" macro="[0]!SolveAll">
                <anchor moveWithCells="1" sizeWithCells="1">
                  <from>
                    <xdr:col>11</xdr:col>
                    <xdr:colOff>333375</xdr:colOff>
                    <xdr:row>15</xdr:row>
                    <xdr:rowOff>9525</xdr:rowOff>
                  </from>
                  <to>
                    <xdr:col>12</xdr:col>
                    <xdr:colOff>809625</xdr:colOff>
                    <xdr:row>16</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133</vt:i4>
      </vt:variant>
    </vt:vector>
  </HeadingPairs>
  <TitlesOfParts>
    <vt:vector size="137" baseType="lpstr">
      <vt:lpstr>Introduction</vt:lpstr>
      <vt:lpstr>Market Data</vt:lpstr>
      <vt:lpstr>Statistics</vt:lpstr>
      <vt:lpstr>Efficient Frontier</vt:lpstr>
      <vt:lpstr>ALL_RETURN_SERIES</vt:lpstr>
      <vt:lpstr>COVARIANCE_MATRIX_CALCULATOR</vt:lpstr>
      <vt:lpstr>DataFields</vt:lpstr>
      <vt:lpstr>LABEL_ROUNDING</vt:lpstr>
      <vt:lpstr>MAX_PORTFOLIO_EXPECTED_RETURN</vt:lpstr>
      <vt:lpstr>MAX_PORTFOLIO_EXPECTED_RETURNS</vt:lpstr>
      <vt:lpstr>MAX_PORTFOLIO_STANDARD_DEVIATION</vt:lpstr>
      <vt:lpstr>MAX_PORTFOLIO_TARGET_RETURN</vt:lpstr>
      <vt:lpstr>MAX_PORTFOLIO_TICKERS</vt:lpstr>
      <vt:lpstr>MAX_PORTFOLIO_WEIGHTS</vt:lpstr>
      <vt:lpstr>MAX_PORTFOLIO_WEIGHTS_TOTAL</vt:lpstr>
      <vt:lpstr>MEAN_RETURNS</vt:lpstr>
      <vt:lpstr>MIN_PORTFOLIO_EXPECTED_RETURN</vt:lpstr>
      <vt:lpstr>MIN_PORTFOLIO_EXPECTED_RETURNS</vt:lpstr>
      <vt:lpstr>MIN_PORTFOLIO_STANDARD_DEVIATION</vt:lpstr>
      <vt:lpstr>MIN_PORTFOLIO_TARGET_RETURN</vt:lpstr>
      <vt:lpstr>MIN_PORTFOLIO_TICKERS</vt:lpstr>
      <vt:lpstr>MIN_PORTFOLIO_WEIGHTS</vt:lpstr>
      <vt:lpstr>MIN_PORTFOLIO_WEIGHTS_TOTAL</vt:lpstr>
      <vt:lpstr>RISK_FREE_RATE</vt:lpstr>
      <vt:lpstr>SELECTED</vt:lpstr>
      <vt:lpstr>SOLVER_CONSTRAINT</vt:lpstr>
      <vt:lpstr>TANGENCY_EXPECTED_RETURN</vt:lpstr>
      <vt:lpstr>TANGENCY_EXPECTED_RETURNS</vt:lpstr>
      <vt:lpstr>TANGENCY_SHARPE_RATIO</vt:lpstr>
      <vt:lpstr>TANGENCY_STANDARD_DEVIATION</vt:lpstr>
      <vt:lpstr>TANGENCY_WEIGHTS</vt:lpstr>
      <vt:lpstr>TANGENCY_WEIGHTS_TOTAL</vt:lpstr>
      <vt:lpstr>TARGET_RETURN_DELTA</vt:lpstr>
      <vt:lpstr>TEST_PORTFOLIO_EXPECTED_RETURN</vt:lpstr>
      <vt:lpstr>TEST_PORTFOLIO_EXPECTED_RETURNS</vt:lpstr>
      <vt:lpstr>TEST_PORTFOLIO_STANDARD_DEVIATION</vt:lpstr>
      <vt:lpstr>TEST_PORTFOLIO_TICKERS</vt:lpstr>
      <vt:lpstr>TEST_PORTFOLIO_WEIGHTS</vt:lpstr>
      <vt:lpstr>TR1_PORTFOLIO_EXPECTED_RETURN</vt:lpstr>
      <vt:lpstr>TR1_PORTFOLIO_EXPECTED_RETURNS</vt:lpstr>
      <vt:lpstr>TR1_PORTFOLIO_STANDARD_DEVIATION</vt:lpstr>
      <vt:lpstr>TR1_PORTFOLIO_TARGET_RETURN</vt:lpstr>
      <vt:lpstr>TR1_PORTFOLIO_TICKERS</vt:lpstr>
      <vt:lpstr>TR1_PORTFOLIO_WEIGHTS</vt:lpstr>
      <vt:lpstr>TR1_PORTFOLIO_WEIGHTS_TOTAL</vt:lpstr>
      <vt:lpstr>TR10_PORTFOLIO_EXPECTED_RETURN</vt:lpstr>
      <vt:lpstr>TR10_PORTFOLIO_EXPECTED_RETURNS</vt:lpstr>
      <vt:lpstr>TR10_PORTFOLIO_STANDARD_DEVIATION</vt:lpstr>
      <vt:lpstr>TR10_PORTFOLIO_TARGET_RETURN</vt:lpstr>
      <vt:lpstr>TR10_PORTFOLIO_TICKERS</vt:lpstr>
      <vt:lpstr>TR10_PORTFOLIO_WEIGHTS</vt:lpstr>
      <vt:lpstr>TR10_PORTFOLIO_WEIGHTS_TOTAL</vt:lpstr>
      <vt:lpstr>TR11_PORTFOLIO_EXPECTED_RETURN</vt:lpstr>
      <vt:lpstr>TR11_PORTFOLIO_EXPECTED_RETURNS</vt:lpstr>
      <vt:lpstr>TR11_PORTFOLIO_STANDARD_DEVIATION</vt:lpstr>
      <vt:lpstr>TR11_PORTFOLIO_TARGET_RETURN</vt:lpstr>
      <vt:lpstr>TR11_PORTFOLIO_TICKERS</vt:lpstr>
      <vt:lpstr>TR11_PORTFOLIO_WEIGHTS</vt:lpstr>
      <vt:lpstr>TR11_PORTFOLIO_WEIGHTS_TOTAL</vt:lpstr>
      <vt:lpstr>TR12_PORTFOLIO_EXPECTED_RETURN</vt:lpstr>
      <vt:lpstr>TR12_PORTFOLIO_EXPECTED_RETURNS</vt:lpstr>
      <vt:lpstr>TR12_PORTFOLIO_STANDARD_DEVIATION</vt:lpstr>
      <vt:lpstr>TR12_PORTFOLIO_TARGET_RETURN</vt:lpstr>
      <vt:lpstr>TR12_PORTFOLIO_TICKERS</vt:lpstr>
      <vt:lpstr>TR12_PORTFOLIO_WEIGHTS</vt:lpstr>
      <vt:lpstr>TR12_PORTFOLIO_WEIGHTS_TOTAL</vt:lpstr>
      <vt:lpstr>TR13_PORTFOLIO_EXPECTED_RETURN</vt:lpstr>
      <vt:lpstr>TR13_PORTFOLIO_EXPECTED_RETURNS</vt:lpstr>
      <vt:lpstr>TR13_PORTFOLIO_STANDARD_DEVIATION</vt:lpstr>
      <vt:lpstr>TR13_PORTFOLIO_TARGET_RETURN</vt:lpstr>
      <vt:lpstr>TR13_PORTFOLIO_TICKERS</vt:lpstr>
      <vt:lpstr>TR13_PORTFOLIO_WEIGHTS</vt:lpstr>
      <vt:lpstr>TR13_PORTFOLIO_WEIGHTS_TOTAL</vt:lpstr>
      <vt:lpstr>TR14_PORTFOLIO_EXPECTED_RETURN</vt:lpstr>
      <vt:lpstr>TR14_PORTFOLIO_EXPECTED_RETURNS</vt:lpstr>
      <vt:lpstr>TR14_PORTFOLIO_STANDARD_DEVIATION</vt:lpstr>
      <vt:lpstr>TR14_PORTFOLIO_TARGET_RETURN</vt:lpstr>
      <vt:lpstr>TR14_PORTFOLIO_TICKERS</vt:lpstr>
      <vt:lpstr>TR14_PORTFOLIO_WEIGHTS</vt:lpstr>
      <vt:lpstr>TR14_PORTFOLIO_WEIGHTS_TOTAL</vt:lpstr>
      <vt:lpstr>TR2_PORTFOLIO_EXPECTED_RETURN</vt:lpstr>
      <vt:lpstr>TR2_PORTFOLIO_EXPECTED_RETURNS</vt:lpstr>
      <vt:lpstr>TR2_PORTFOLIO_STANDARD_DEVIATION</vt:lpstr>
      <vt:lpstr>TR2_PORTFOLIO_TARGET_RETURN</vt:lpstr>
      <vt:lpstr>TR2_PORTFOLIO_TICKERS</vt:lpstr>
      <vt:lpstr>TR2_PORTFOLIO_WEIGHTS</vt:lpstr>
      <vt:lpstr>TR2_PORTFOLIO_WEIGHTS_TOTAL</vt:lpstr>
      <vt:lpstr>TR3_PORTFOLIO_EXPECTED_RETURN</vt:lpstr>
      <vt:lpstr>TR3_PORTFOLIO_EXPECTED_RETURNS</vt:lpstr>
      <vt:lpstr>TR3_PORTFOLIO_STANDARD_DEVIATION</vt:lpstr>
      <vt:lpstr>TR3_PORTFOLIO_TARGET_RETURN</vt:lpstr>
      <vt:lpstr>TR3_PORTFOLIO_TICKERS</vt:lpstr>
      <vt:lpstr>TR3_PORTFOLIO_WEIGHTS</vt:lpstr>
      <vt:lpstr>TR3_PORTFOLIO_WEIGHTS_TOTAL</vt:lpstr>
      <vt:lpstr>TR4_PORTFOLIO_EXPECTED_RETURN</vt:lpstr>
      <vt:lpstr>TR4_PORTFOLIO_EXPECTED_RETURNS</vt:lpstr>
      <vt:lpstr>TR4_PORTFOLIO_STANDARD_DEVIATION</vt:lpstr>
      <vt:lpstr>TR4_PORTFOLIO_TARGET_RETURN</vt:lpstr>
      <vt:lpstr>TR4_PORTFOLIO_TICKERS</vt:lpstr>
      <vt:lpstr>TR4_PORTFOLIO_WEIGHTS</vt:lpstr>
      <vt:lpstr>TR4_PORTFOLIO_WEIGHTS_TOTAL</vt:lpstr>
      <vt:lpstr>TR5_PORTFOLIO_EXPECTED_RETURN</vt:lpstr>
      <vt:lpstr>TR5_PORTFOLIO_EXPECTED_RETURNS</vt:lpstr>
      <vt:lpstr>TR5_PORTFOLIO_STANDARD_DEVIATION</vt:lpstr>
      <vt:lpstr>TR5_PORTFOLIO_TARGET_RETURN</vt:lpstr>
      <vt:lpstr>TR5_PORTFOLIO_TICKERS</vt:lpstr>
      <vt:lpstr>TR5_PORTFOLIO_WEIGHTS</vt:lpstr>
      <vt:lpstr>TR5_PORTFOLIO_WEIGHTS_TOTAL</vt:lpstr>
      <vt:lpstr>TR6_PORTFOLIO_EXPECTED_RETURN</vt:lpstr>
      <vt:lpstr>TR6_PORTFOLIO_EXPECTED_RETURNS</vt:lpstr>
      <vt:lpstr>TR6_PORTFOLIO_STANDARD_DEVIATION</vt:lpstr>
      <vt:lpstr>TR6_PORTFOLIO_TARGET_RETURN</vt:lpstr>
      <vt:lpstr>TR6_PORTFOLIO_TICKERS</vt:lpstr>
      <vt:lpstr>TR6_PORTFOLIO_WEIGHTS</vt:lpstr>
      <vt:lpstr>TR6_PORTFOLIO_WEIGHTS_TOTAL</vt:lpstr>
      <vt:lpstr>TR7_PORTFOLIO_EXPECTED_RETURN</vt:lpstr>
      <vt:lpstr>TR7_PORTFOLIO_EXPECTED_RETURNS</vt:lpstr>
      <vt:lpstr>TR7_PORTFOLIO_STANDARD_DEVIATION</vt:lpstr>
      <vt:lpstr>TR7_PORTFOLIO_TARGET_RETURN</vt:lpstr>
      <vt:lpstr>TR7_PORTFOLIO_TICKERS</vt:lpstr>
      <vt:lpstr>TR7_PORTFOLIO_WEIGHTS</vt:lpstr>
      <vt:lpstr>TR7_PORTFOLIO_WEIGHTS_TOTAL</vt:lpstr>
      <vt:lpstr>TR8_PORTFOLIO_EXPECTED_RETURN</vt:lpstr>
      <vt:lpstr>TR8_PORTFOLIO_EXPECTED_RETURNS</vt:lpstr>
      <vt:lpstr>TR8_PORTFOLIO_STANDARD_DEVIATION</vt:lpstr>
      <vt:lpstr>TR8_PORTFOLIO_TARGET_RETURN</vt:lpstr>
      <vt:lpstr>TR8_PORTFOLIO_TICKERS</vt:lpstr>
      <vt:lpstr>TR8_PORTFOLIO_WEIGHTS</vt:lpstr>
      <vt:lpstr>TR8_PORTFOLIO_WEIGHTS_TOTAL</vt:lpstr>
      <vt:lpstr>TR9_PORTFOLIO_EXPECTED_RETURN</vt:lpstr>
      <vt:lpstr>TR9_PORTFOLIO_EXPECTED_RETURNS</vt:lpstr>
      <vt:lpstr>TR9_PORTFOLIO_STANDARD_DEVIATION</vt:lpstr>
      <vt:lpstr>TR9_PORTFOLIO_TARGET_RETURN</vt:lpstr>
      <vt:lpstr>TR9_PORTFOLIO_TICKERS</vt:lpstr>
      <vt:lpstr>TR9_PORTFOLIO_WEIGHTS</vt:lpstr>
      <vt:lpstr>TR9_PORTFOLIO_WEIGHTS_TOTAL</vt:lpstr>
      <vt:lpstr>ZERO_SERIES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Elaine McLeod</dc:creator>
  <cp:lastModifiedBy>Jim Moores</cp:lastModifiedBy>
  <dcterms:created xsi:type="dcterms:W3CDTF">2016-11-30T14:24:05Z</dcterms:created>
  <dcterms:modified xsi:type="dcterms:W3CDTF">2017-09-07T18:20:44Z</dcterms:modified>
</cp:coreProperties>
</file>